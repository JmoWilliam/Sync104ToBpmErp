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worksheets/sheet60.xml" ContentType="application/vnd.openxmlformats-officedocument.spreadsheetml.worksheet+xml"/>
  <Override PartName="/xl/worksheets/sheet61.xml" ContentType="application/vnd.openxmlformats-officedocument.spreadsheetml.worksheet+xml"/>
  <Override PartName="/xl/worksheets/sheet62.xml" ContentType="application/vnd.openxmlformats-officedocument.spreadsheetml.worksheet+xml"/>
  <Override PartName="/xl/worksheets/sheet63.xml" ContentType="application/vnd.openxmlformats-officedocument.spreadsheetml.worksheet+xml"/>
  <Override PartName="/xl/worksheets/sheet64.xml" ContentType="application/vnd.openxmlformats-officedocument.spreadsheetml.worksheet+xml"/>
  <Override PartName="/xl/worksheets/sheet65.xml" ContentType="application/vnd.openxmlformats-officedocument.spreadsheetml.worksheet+xml"/>
  <Override PartName="/xl/worksheets/sheet66.xml" ContentType="application/vnd.openxmlformats-officedocument.spreadsheetml.worksheet+xml"/>
  <Override PartName="/xl/worksheets/sheet67.xml" ContentType="application/vnd.openxmlformats-officedocument.spreadsheetml.worksheet+xml"/>
  <Override PartName="/xl/worksheets/sheet68.xml" ContentType="application/vnd.openxmlformats-officedocument.spreadsheetml.worksheet+xml"/>
  <Override PartName="/xl/worksheets/sheet69.xml" ContentType="application/vnd.openxmlformats-officedocument.spreadsheetml.worksheet+xml"/>
  <Override PartName="/xl/worksheets/sheet70.xml" ContentType="application/vnd.openxmlformats-officedocument.spreadsheetml.worksheet+xml"/>
  <Override PartName="/xl/worksheets/sheet71.xml" ContentType="application/vnd.openxmlformats-officedocument.spreadsheetml.worksheet+xml"/>
  <Override PartName="/xl/worksheets/sheet72.xml" ContentType="application/vnd.openxmlformats-officedocument.spreadsheetml.worksheet+xml"/>
  <Override PartName="/xl/worksheets/sheet73.xml" ContentType="application/vnd.openxmlformats-officedocument.spreadsheetml.worksheet+xml"/>
  <Override PartName="/xl/worksheets/sheet74.xml" ContentType="application/vnd.openxmlformats-officedocument.spreadsheetml.worksheet+xml"/>
  <Override PartName="/xl/worksheets/sheet75.xml" ContentType="application/vnd.openxmlformats-officedocument.spreadsheetml.worksheet+xml"/>
  <Override PartName="/xl/worksheets/sheet76.xml" ContentType="application/vnd.openxmlformats-officedocument.spreadsheetml.worksheet+xml"/>
  <Override PartName="/xl/worksheets/sheet77.xml" ContentType="application/vnd.openxmlformats-officedocument.spreadsheetml.worksheet+xml"/>
  <Override PartName="/xl/worksheets/sheet78.xml" ContentType="application/vnd.openxmlformats-officedocument.spreadsheetml.worksheet+xml"/>
  <Override PartName="/xl/worksheets/sheet79.xml" ContentType="application/vnd.openxmlformats-officedocument.spreadsheetml.worksheet+xml"/>
  <Override PartName="/xl/worksheets/sheet80.xml" ContentType="application/vnd.openxmlformats-officedocument.spreadsheetml.worksheet+xml"/>
  <Override PartName="/xl/worksheets/sheet81.xml" ContentType="application/vnd.openxmlformats-officedocument.spreadsheetml.worksheet+xml"/>
  <Override PartName="/xl/worksheets/sheet82.xml" ContentType="application/vnd.openxmlformats-officedocument.spreadsheetml.worksheet+xml"/>
  <Override PartName="/xl/worksheets/sheet83.xml" ContentType="application/vnd.openxmlformats-officedocument.spreadsheetml.worksheet+xml"/>
  <Override PartName="/xl/worksheets/sheet84.xml" ContentType="application/vnd.openxmlformats-officedocument.spreadsheetml.worksheet+xml"/>
  <Override PartName="/xl/worksheets/sheet85.xml" ContentType="application/vnd.openxmlformats-officedocument.spreadsheetml.worksheet+xml"/>
  <Override PartName="/xl/worksheets/sheet86.xml" ContentType="application/vnd.openxmlformats-officedocument.spreadsheetml.worksheet+xml"/>
  <Override PartName="/xl/worksheets/sheet87.xml" ContentType="application/vnd.openxmlformats-officedocument.spreadsheetml.worksheet+xml"/>
  <Override PartName="/xl/worksheets/sheet88.xml" ContentType="application/vnd.openxmlformats-officedocument.spreadsheetml.worksheet+xml"/>
  <Override PartName="/xl/worksheets/sheet89.xml" ContentType="application/vnd.openxmlformats-officedocument.spreadsheetml.worksheet+xml"/>
  <Override PartName="/xl/worksheets/sheet90.xml" ContentType="application/vnd.openxmlformats-officedocument.spreadsheetml.worksheet+xml"/>
  <Override PartName="/xl/worksheets/sheet91.xml" ContentType="application/vnd.openxmlformats-officedocument.spreadsheetml.worksheet+xml"/>
  <Override PartName="/xl/worksheets/sheet92.xml" ContentType="application/vnd.openxmlformats-officedocument.spreadsheetml.worksheet+xml"/>
  <Override PartName="/xl/worksheets/sheet93.xml" ContentType="application/vnd.openxmlformats-officedocument.spreadsheetml.worksheet+xml"/>
  <Override PartName="/xl/worksheets/sheet94.xml" ContentType="application/vnd.openxmlformats-officedocument.spreadsheetml.worksheet+xml"/>
  <Override PartName="/xl/worksheets/sheet95.xml" ContentType="application/vnd.openxmlformats-officedocument.spreadsheetml.worksheet+xml"/>
  <Override PartName="/xl/worksheets/sheet96.xml" ContentType="application/vnd.openxmlformats-officedocument.spreadsheetml.worksheet+xml"/>
  <Override PartName="/xl/worksheets/sheet97.xml" ContentType="application/vnd.openxmlformats-officedocument.spreadsheetml.worksheet+xml"/>
  <Override PartName="/xl/worksheets/sheet98.xml" ContentType="application/vnd.openxmlformats-officedocument.spreadsheetml.worksheet+xml"/>
  <Override PartName="/xl/worksheets/sheet99.xml" ContentType="application/vnd.openxmlformats-officedocument.spreadsheetml.worksheet+xml"/>
  <Override PartName="/xl/worksheets/sheet100.xml" ContentType="application/vnd.openxmlformats-officedocument.spreadsheetml.worksheet+xml"/>
  <Override PartName="/xl/worksheets/sheet101.xml" ContentType="application/vnd.openxmlformats-officedocument.spreadsheetml.worksheet+xml"/>
  <Override PartName="/xl/worksheets/sheet102.xml" ContentType="application/vnd.openxmlformats-officedocument.spreadsheetml.worksheet+xml"/>
  <Override PartName="/xl/worksheets/sheet103.xml" ContentType="application/vnd.openxmlformats-officedocument.spreadsheetml.worksheet+xml"/>
  <Override PartName="/xl/worksheets/sheet104.xml" ContentType="application/vnd.openxmlformats-officedocument.spreadsheetml.worksheet+xml"/>
  <Override PartName="/xl/worksheets/sheet105.xml" ContentType="application/vnd.openxmlformats-officedocument.spreadsheetml.worksheet+xml"/>
  <Override PartName="/xl/worksheets/sheet106.xml" ContentType="application/vnd.openxmlformats-officedocument.spreadsheetml.worksheet+xml"/>
  <Override PartName="/xl/worksheets/sheet107.xml" ContentType="application/vnd.openxmlformats-officedocument.spreadsheetml.worksheet+xml"/>
  <Override PartName="/xl/worksheets/sheet108.xml" ContentType="application/vnd.openxmlformats-officedocument.spreadsheetml.worksheet+xml"/>
  <Override PartName="/xl/worksheets/sheet109.xml" ContentType="application/vnd.openxmlformats-officedocument.spreadsheetml.worksheet+xml"/>
  <Override PartName="/xl/worksheets/sheet110.xml" ContentType="application/vnd.openxmlformats-officedocument.spreadsheetml.worksheet+xml"/>
  <Override PartName="/xl/worksheets/sheet111.xml" ContentType="application/vnd.openxmlformats-officedocument.spreadsheetml.worksheet+xml"/>
  <Override PartName="/xl/worksheets/sheet112.xml" ContentType="application/vnd.openxmlformats-officedocument.spreadsheetml.worksheet+xml"/>
  <Override PartName="/xl/worksheets/sheet113.xml" ContentType="application/vnd.openxmlformats-officedocument.spreadsheetml.worksheet+xml"/>
  <Override PartName="/xl/worksheets/sheet114.xml" ContentType="application/vnd.openxmlformats-officedocument.spreadsheetml.worksheet+xml"/>
  <Override PartName="/xl/worksheets/sheet115.xml" ContentType="application/vnd.openxmlformats-officedocument.spreadsheetml.worksheet+xml"/>
  <Override PartName="/xl/worksheets/sheet116.xml" ContentType="application/vnd.openxmlformats-officedocument.spreadsheetml.worksheet+xml"/>
  <Override PartName="/xl/worksheets/sheet117.xml" ContentType="application/vnd.openxmlformats-officedocument.spreadsheetml.worksheet+xml"/>
  <Override PartName="/xl/worksheets/sheet118.xml" ContentType="application/vnd.openxmlformats-officedocument.spreadsheetml.worksheet+xml"/>
  <Override PartName="/xl/worksheets/sheet119.xml" ContentType="application/vnd.openxmlformats-officedocument.spreadsheetml.worksheet+xml"/>
  <Override PartName="/xl/worksheets/sheet120.xml" ContentType="application/vnd.openxmlformats-officedocument.spreadsheetml.worksheet+xml"/>
  <Override PartName="/xl/worksheets/sheet121.xml" ContentType="application/vnd.openxmlformats-officedocument.spreadsheetml.worksheet+xml"/>
  <Override PartName="/xl/worksheets/sheet122.xml" ContentType="application/vnd.openxmlformats-officedocument.spreadsheetml.worksheet+xml"/>
  <Override PartName="/xl/worksheets/sheet123.xml" ContentType="application/vnd.openxmlformats-officedocument.spreadsheetml.worksheet+xml"/>
  <Override PartName="/xl/worksheets/sheet124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429" codeName="{00000000-0000-0000-0000-000000000000}"/>
  <workbookPr codeName="ThisWorkbook"/>
  <mc:AlternateContent xmlns:mc="http://schemas.openxmlformats.org/markup-compatibility/2006">
    <mc:Choice Requires="x15">
      <x15ac:absPath xmlns:x15ac="http://schemas.microsoft.com/office/spreadsheetml/2010/11/ac" url="D:\working\waccache\OS1PEPF00001992\EXCELCNV\f6c7a932-1eca-45f0-a102-80ce98ad3c50\"/>
    </mc:Choice>
  </mc:AlternateContent>
  <xr:revisionPtr revIDLastSave="0" documentId="8_{425A8867-7DD9-45CF-8290-C3A43DDBCC11}" xr6:coauthVersionLast="47" xr6:coauthVersionMax="47" xr10:uidLastSave="{00000000-0000-0000-0000-000000000000}"/>
  <bookViews>
    <workbookView xWindow="-60" yWindow="-60" windowWidth="15480" windowHeight="11640" tabRatio="657" firstSheet="107" activeTab="107" xr2:uid="{63B3C734-AF0C-4709-8BA5-0CD97C8A25F4}"/>
  </bookViews>
  <sheets>
    <sheet name="異動履歷" sheetId="33" r:id="rId1"/>
    <sheet name="回傳代碼" sheetId="252" r:id="rId2"/>
    <sheet name="介面" sheetId="1" r:id="rId3"/>
    <sheet name="200" sheetId="244" r:id="rId4"/>
    <sheet name="210" sheetId="243" r:id="rId5"/>
    <sheet name="211" sheetId="245" r:id="rId6"/>
    <sheet name="310" sheetId="167" r:id="rId7"/>
    <sheet name="320" sheetId="168" r:id="rId8"/>
    <sheet name="321" sheetId="293" r:id="rId9"/>
    <sheet name="330" sheetId="200" r:id="rId10"/>
    <sheet name="400" sheetId="174" r:id="rId11"/>
    <sheet name="401" sheetId="175" r:id="rId12"/>
    <sheet name="402" sheetId="176" r:id="rId13"/>
    <sheet name="404" sheetId="178" r:id="rId14"/>
    <sheet name="405" sheetId="179" r:id="rId15"/>
    <sheet name="406" sheetId="180" r:id="rId16"/>
    <sheet name="407" sheetId="181" r:id="rId17"/>
    <sheet name="408" sheetId="182" r:id="rId18"/>
    <sheet name="409" sheetId="183" r:id="rId19"/>
    <sheet name="410" sheetId="184" r:id="rId20"/>
    <sheet name="411" sheetId="185" r:id="rId21"/>
    <sheet name="412" sheetId="186" r:id="rId22"/>
    <sheet name="413" sheetId="187" r:id="rId23"/>
    <sheet name="414" sheetId="188" r:id="rId24"/>
    <sheet name="415" sheetId="189" r:id="rId25"/>
    <sheet name="416" sheetId="190" r:id="rId26"/>
    <sheet name="418" sheetId="192" r:id="rId27"/>
    <sheet name="430" sheetId="194" r:id="rId28"/>
    <sheet name="431" sheetId="201" r:id="rId29"/>
    <sheet name="432" sheetId="272" r:id="rId30"/>
    <sheet name="440" sheetId="204" r:id="rId31"/>
    <sheet name="441" sheetId="203" r:id="rId32"/>
    <sheet name="442" sheetId="202" r:id="rId33"/>
    <sheet name="450" sheetId="196" r:id="rId34"/>
    <sheet name="460" sheetId="295" r:id="rId35"/>
    <sheet name="500" sheetId="205" r:id="rId36"/>
    <sheet name="501" sheetId="206" r:id="rId37"/>
    <sheet name="502" sheetId="207" r:id="rId38"/>
    <sheet name="503" sheetId="208" r:id="rId39"/>
    <sheet name="504" sheetId="209" r:id="rId40"/>
    <sheet name="505" sheetId="210" r:id="rId41"/>
    <sheet name="510" sheetId="211" r:id="rId42"/>
    <sheet name="520" sheetId="214" r:id="rId43"/>
    <sheet name="521" sheetId="215" r:id="rId44"/>
    <sheet name="522" sheetId="216" r:id="rId45"/>
    <sheet name="530" sheetId="217" r:id="rId46"/>
    <sheet name="531" sheetId="218" r:id="rId47"/>
    <sheet name="532" sheetId="260" r:id="rId48"/>
    <sheet name="535" sheetId="281" r:id="rId49"/>
    <sheet name="540" sheetId="273" r:id="rId50"/>
    <sheet name="541" sheetId="283" r:id="rId51"/>
    <sheet name="542" sheetId="282" r:id="rId52"/>
    <sheet name="550" sheetId="299" r:id="rId53"/>
    <sheet name="560" sheetId="300" r:id="rId54"/>
    <sheet name="561" sheetId="301" r:id="rId55"/>
    <sheet name="562" sheetId="302" r:id="rId56"/>
    <sheet name="563" sheetId="303" r:id="rId57"/>
    <sheet name="600" sheetId="219" r:id="rId58"/>
    <sheet name="601" sheetId="220" r:id="rId59"/>
    <sheet name="602" sheetId="231" r:id="rId60"/>
    <sheet name="610" sheetId="221" r:id="rId61"/>
    <sheet name="620" sheetId="222" r:id="rId62"/>
    <sheet name="621" sheetId="229" r:id="rId63"/>
    <sheet name="622" sheetId="230" r:id="rId64"/>
    <sheet name="630" sheetId="223" r:id="rId65"/>
    <sheet name="631" sheetId="224" r:id="rId66"/>
    <sheet name="640" sheetId="267" r:id="rId67"/>
    <sheet name="641" sheetId="268" r:id="rId68"/>
    <sheet name="642" sheetId="269" r:id="rId69"/>
    <sheet name="643" sheetId="270" r:id="rId70"/>
    <sheet name="690" sheetId="294" r:id="rId71"/>
    <sheet name="691" sheetId="296" r:id="rId72"/>
    <sheet name="711" sheetId="212" r:id="rId73"/>
    <sheet name="712" sheetId="232" r:id="rId74"/>
    <sheet name="713" sheetId="233" r:id="rId75"/>
    <sheet name="714" sheetId="213" r:id="rId76"/>
    <sheet name="715" sheetId="292" r:id="rId77"/>
    <sheet name="716" sheetId="234" r:id="rId78"/>
    <sheet name="717" sheetId="235" r:id="rId79"/>
    <sheet name="718" sheetId="236" r:id="rId80"/>
    <sheet name="719" sheetId="285" r:id="rId81"/>
    <sheet name="720" sheetId="238" r:id="rId82"/>
    <sheet name="721" sheetId="237" r:id="rId83"/>
    <sheet name="730" sheetId="239" r:id="rId84"/>
    <sheet name="731" sheetId="240" r:id="rId85"/>
    <sheet name="732" sheetId="286" r:id="rId86"/>
    <sheet name="733" sheetId="241" r:id="rId87"/>
    <sheet name="734" sheetId="242" r:id="rId88"/>
    <sheet name="735" sheetId="297" r:id="rId89"/>
    <sheet name="740" sheetId="246" r:id="rId90"/>
    <sheet name="741" sheetId="249" r:id="rId91"/>
    <sheet name="742" sheetId="248" r:id="rId92"/>
    <sheet name="743" sheetId="247" r:id="rId93"/>
    <sheet name="750" sheetId="259" r:id="rId94"/>
    <sheet name="760" sheetId="262" r:id="rId95"/>
    <sheet name="761" sheetId="261" r:id="rId96"/>
    <sheet name="762" sheetId="263" r:id="rId97"/>
    <sheet name="763" sheetId="313" r:id="rId98"/>
    <sheet name="770" sheetId="266" r:id="rId99"/>
    <sheet name="771" sheetId="265" r:id="rId100"/>
    <sheet name="772" sheetId="264" r:id="rId101"/>
    <sheet name="773" sheetId="280" r:id="rId102"/>
    <sheet name="774" sheetId="278" r:id="rId103"/>
    <sheet name="775" sheetId="279" r:id="rId104"/>
    <sheet name="776" sheetId="291" r:id="rId105"/>
    <sheet name="790" sheetId="304" r:id="rId106"/>
    <sheet name="791" sheetId="305" r:id="rId107"/>
    <sheet name="792" sheetId="314" r:id="rId108"/>
    <sheet name="793" sheetId="315" r:id="rId109"/>
    <sheet name="794" sheetId="318" r:id="rId110"/>
    <sheet name="800" sheetId="253" r:id="rId111"/>
    <sheet name="810" sheetId="308" r:id="rId112"/>
    <sheet name="811" sheetId="309" r:id="rId113"/>
    <sheet name="812" sheetId="310" r:id="rId114"/>
    <sheet name="813" sheetId="311" r:id="rId115"/>
    <sheet name="814" sheetId="312" r:id="rId116"/>
    <sheet name="815" sheetId="316" r:id="rId117"/>
    <sheet name="816" sheetId="317" r:id="rId118"/>
    <sheet name="820" sheetId="321" r:id="rId119"/>
    <sheet name="821" sheetId="320" r:id="rId120"/>
    <sheet name="822" sheetId="319" r:id="rId121"/>
    <sheet name="900" sheetId="254" r:id="rId122"/>
    <sheet name="901" sheetId="255" r:id="rId123"/>
    <sheet name="902" sheetId="256" r:id="rId124"/>
  </sheets>
  <externalReferences>
    <externalReference r:id="rId125"/>
    <externalReference r:id="rId126"/>
  </externalReferences>
  <definedNames>
    <definedName name="_xlnm._FilterDatabase" localSheetId="2" hidden="1">介面!$A$1:$I$104</definedName>
    <definedName name="_hhh4">[2]當日主檔對應表!#REF!</definedName>
    <definedName name="_Subsystem">[1]List!$B$2:$B$12</definedName>
    <definedName name="DDD">#REF!</definedName>
    <definedName name="dddd">#REF!</definedName>
    <definedName name="FILE">介面!#REF!</definedName>
    <definedName name="HOME">介面!#REF!</definedName>
    <definedName name="sdfsd">[2]當日主檔對應表!#REF!</definedName>
    <definedName name="ヘッダ部">#REF!</definedName>
    <definedName name="以">[2]介面!#REF!</definedName>
    <definedName name="益">[2]介面!#REF!</definedName>
    <definedName name="單位選單">#REF!</definedName>
  </definedNames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7" i="319" l="1"/>
  <c r="B8" i="319"/>
  <c r="A1" i="319"/>
  <c r="B11" i="320"/>
  <c r="B12" i="320" s="1"/>
  <c r="B13" i="320" s="1"/>
  <c r="A1" i="320"/>
  <c r="B11" i="321"/>
  <c r="B12" i="321"/>
  <c r="A1" i="321"/>
  <c r="B10" i="216"/>
  <c r="B11" i="216" s="1"/>
  <c r="B12" i="216" s="1"/>
  <c r="B13" i="216" s="1"/>
  <c r="B14" i="216" s="1"/>
  <c r="B11" i="215"/>
  <c r="B12" i="215"/>
  <c r="B13" i="215"/>
  <c r="B14" i="215"/>
  <c r="B15" i="215"/>
  <c r="B5" i="214"/>
  <c r="B6" i="214" s="1"/>
  <c r="B7" i="214" s="1"/>
  <c r="B8" i="214" s="1"/>
  <c r="B9" i="214" s="1"/>
  <c r="B10" i="214" s="1"/>
  <c r="B11" i="214" s="1"/>
  <c r="B12" i="214" s="1"/>
  <c r="B13" i="214" s="1"/>
  <c r="B14" i="214" s="1"/>
  <c r="B15" i="214" s="1"/>
  <c r="A1" i="318"/>
  <c r="AE104" i="1"/>
  <c r="E104" i="1"/>
  <c r="A104" i="1"/>
  <c r="B12" i="317"/>
  <c r="B13" i="317"/>
  <c r="B14" i="317"/>
  <c r="B15" i="317"/>
  <c r="B16" i="317"/>
  <c r="B17" i="317"/>
  <c r="A1" i="317"/>
  <c r="E110" i="1"/>
  <c r="A110" i="1"/>
  <c r="E111" i="1"/>
  <c r="A114" i="1"/>
  <c r="A113" i="1"/>
  <c r="A112" i="1"/>
  <c r="A111" i="1"/>
  <c r="A109" i="1"/>
  <c r="A108" i="1"/>
  <c r="A107" i="1"/>
  <c r="A106" i="1"/>
  <c r="A105" i="1"/>
  <c r="B12" i="316"/>
  <c r="B13" i="316"/>
  <c r="B14" i="316"/>
  <c r="B15" i="316"/>
  <c r="B16" i="316"/>
  <c r="B17" i="316"/>
  <c r="B18" i="316"/>
  <c r="A1" i="316"/>
  <c r="A1" i="315"/>
  <c r="A1" i="314"/>
  <c r="B11" i="313"/>
  <c r="B12" i="313" s="1"/>
  <c r="B13" i="313" s="1"/>
  <c r="B14" i="313" s="1"/>
  <c r="B15" i="313" s="1"/>
  <c r="B16" i="313" s="1"/>
  <c r="B17" i="313" s="1"/>
  <c r="B18" i="313" s="1"/>
  <c r="B19" i="313" s="1"/>
  <c r="B20" i="313" s="1"/>
  <c r="B21" i="313" s="1"/>
  <c r="B22" i="313" s="1"/>
  <c r="B23" i="313" s="1"/>
  <c r="B24" i="313" s="1"/>
  <c r="B25" i="313" s="1"/>
  <c r="B26" i="313" s="1"/>
  <c r="A1" i="313"/>
  <c r="AE96" i="1"/>
  <c r="E96" i="1"/>
  <c r="A96" i="1"/>
  <c r="A1" i="312"/>
  <c r="E109" i="1"/>
  <c r="A1" i="311"/>
  <c r="E108" i="1"/>
  <c r="A1" i="310"/>
  <c r="E107" i="1"/>
  <c r="A1" i="309"/>
  <c r="E106" i="1"/>
  <c r="A1" i="308"/>
  <c r="E105" i="1"/>
  <c r="A1" i="305"/>
  <c r="A1" i="304"/>
  <c r="E103" i="1"/>
  <c r="AE103" i="1"/>
  <c r="E102" i="1"/>
  <c r="AE102" i="1"/>
  <c r="E101" i="1"/>
  <c r="AE101" i="1"/>
  <c r="E100" i="1"/>
  <c r="AE100" i="1"/>
  <c r="A100" i="1"/>
  <c r="A101" i="1"/>
  <c r="A102" i="1"/>
  <c r="A103" i="1"/>
  <c r="B10" i="303"/>
  <c r="B11" i="303"/>
  <c r="B12" i="303"/>
  <c r="B13" i="303"/>
  <c r="B14" i="303"/>
  <c r="B15" i="303"/>
  <c r="B5" i="303"/>
  <c r="A1" i="303"/>
  <c r="B10" i="302"/>
  <c r="B11" i="302" s="1"/>
  <c r="B12" i="302" s="1"/>
  <c r="B13" i="302" s="1"/>
  <c r="B14" i="302" s="1"/>
  <c r="B15" i="302" s="1"/>
  <c r="B5" i="302"/>
  <c r="A1" i="302"/>
  <c r="B10" i="301"/>
  <c r="B11" i="301"/>
  <c r="B12" i="301"/>
  <c r="B13" i="301"/>
  <c r="B14" i="301"/>
  <c r="B15" i="301"/>
  <c r="B5" i="301"/>
  <c r="A1" i="301"/>
  <c r="B10" i="300"/>
  <c r="B11" i="300"/>
  <c r="B12" i="300"/>
  <c r="B13" i="300"/>
  <c r="B14" i="300"/>
  <c r="B15" i="300"/>
  <c r="B5" i="300"/>
  <c r="A1" i="300"/>
  <c r="E54" i="1"/>
  <c r="AE54" i="1"/>
  <c r="E53" i="1"/>
  <c r="AE53" i="1"/>
  <c r="E52" i="1"/>
  <c r="AE52" i="1"/>
  <c r="A50" i="1"/>
  <c r="A51" i="1"/>
  <c r="A52" i="1"/>
  <c r="A53" i="1"/>
  <c r="A54" i="1"/>
  <c r="E51" i="1"/>
  <c r="AE51" i="1"/>
  <c r="B12" i="294"/>
  <c r="B13" i="294"/>
  <c r="B14" i="294"/>
  <c r="B15" i="294"/>
  <c r="B16" i="294"/>
  <c r="B17" i="294"/>
  <c r="B18" i="294"/>
  <c r="B19" i="294"/>
  <c r="B20" i="294"/>
  <c r="B21" i="294"/>
  <c r="B22" i="294"/>
  <c r="B23" i="294"/>
  <c r="B24" i="294"/>
  <c r="B25" i="294"/>
  <c r="B14" i="299"/>
  <c r="B15" i="299"/>
  <c r="B16" i="299"/>
  <c r="B17" i="299"/>
  <c r="B18" i="299"/>
  <c r="B19" i="299"/>
  <c r="B20" i="299"/>
  <c r="B21" i="299"/>
  <c r="B22" i="299"/>
  <c r="B23" i="299"/>
  <c r="B24" i="299"/>
  <c r="B25" i="299"/>
  <c r="B26" i="299"/>
  <c r="B27" i="299"/>
  <c r="B28" i="299"/>
  <c r="B29" i="299"/>
  <c r="B30" i="299"/>
  <c r="B31" i="299"/>
  <c r="B32" i="299"/>
  <c r="B33" i="299"/>
  <c r="B34" i="299"/>
  <c r="B35" i="299"/>
  <c r="B36" i="299"/>
  <c r="B37" i="299"/>
  <c r="A1" i="299"/>
  <c r="E50" i="1"/>
  <c r="AE50" i="1"/>
  <c r="E82" i="1"/>
  <c r="B13" i="297"/>
  <c r="B14" i="297"/>
  <c r="B15" i="297"/>
  <c r="A1" i="297"/>
  <c r="E87" i="1"/>
  <c r="A87" i="1"/>
  <c r="B13" i="296"/>
  <c r="B14" i="296"/>
  <c r="B15" i="296"/>
  <c r="B16" i="296"/>
  <c r="B17" i="296"/>
  <c r="B18" i="296"/>
  <c r="B19" i="296"/>
  <c r="B20" i="296"/>
  <c r="B21" i="296"/>
  <c r="B22" i="296"/>
  <c r="B23" i="296"/>
  <c r="B24" i="296"/>
  <c r="B25" i="296"/>
  <c r="B26" i="296"/>
  <c r="B27" i="296"/>
  <c r="B28" i="296"/>
  <c r="B29" i="296"/>
  <c r="B30" i="296"/>
  <c r="B31" i="296"/>
  <c r="B32" i="296"/>
  <c r="B33" i="296"/>
  <c r="B34" i="296"/>
  <c r="B35" i="296"/>
  <c r="B36" i="296"/>
  <c r="B37" i="296"/>
  <c r="A1" i="296"/>
  <c r="E70" i="1"/>
  <c r="AE70" i="1"/>
  <c r="B12" i="295"/>
  <c r="B13" i="295"/>
  <c r="B14" i="295"/>
  <c r="B15" i="295"/>
  <c r="B16" i="295"/>
  <c r="B17" i="295"/>
  <c r="B18" i="295"/>
  <c r="B19" i="295"/>
  <c r="B20" i="295"/>
  <c r="B21" i="295"/>
  <c r="B22" i="295"/>
  <c r="B23" i="295"/>
  <c r="B24" i="295"/>
  <c r="B25" i="295"/>
  <c r="B26" i="295"/>
  <c r="B27" i="295"/>
  <c r="B28" i="295"/>
  <c r="B29" i="295"/>
  <c r="B30" i="295"/>
  <c r="B31" i="295"/>
  <c r="B32" i="295"/>
  <c r="B33" i="295"/>
  <c r="B34" i="295"/>
  <c r="E33" i="1"/>
  <c r="AE33" i="1"/>
  <c r="B5" i="295"/>
  <c r="A1" i="295"/>
  <c r="A1" i="294"/>
  <c r="E69" i="1"/>
  <c r="AE69" i="1"/>
  <c r="A69" i="1"/>
  <c r="AB15" i="293"/>
  <c r="AB16" i="293"/>
  <c r="B5" i="293"/>
  <c r="E7" i="1"/>
  <c r="A7" i="1"/>
  <c r="AB276" i="293"/>
  <c r="AB275" i="293"/>
  <c r="AB274" i="293"/>
  <c r="AB273" i="293"/>
  <c r="AB272" i="293"/>
  <c r="AB271" i="293"/>
  <c r="AB270" i="293"/>
  <c r="AB269" i="293"/>
  <c r="AB268" i="293"/>
  <c r="AB267" i="293"/>
  <c r="AB266" i="293"/>
  <c r="AB265" i="293"/>
  <c r="AB264" i="293"/>
  <c r="AB263" i="293"/>
  <c r="AB262" i="293"/>
  <c r="AB261" i="293"/>
  <c r="AB260" i="293"/>
  <c r="AB259" i="293"/>
  <c r="AB258" i="293"/>
  <c r="AB257" i="293"/>
  <c r="AB256" i="293"/>
  <c r="AB255" i="293"/>
  <c r="AB254" i="293"/>
  <c r="AB253" i="293"/>
  <c r="AB252" i="293"/>
  <c r="AB251" i="293"/>
  <c r="AB250" i="293"/>
  <c r="AB249" i="293"/>
  <c r="AB248" i="293"/>
  <c r="AB247" i="293"/>
  <c r="AB246" i="293"/>
  <c r="AB245" i="293"/>
  <c r="AB244" i="293"/>
  <c r="AB243" i="293"/>
  <c r="AB242" i="293"/>
  <c r="AB241" i="293"/>
  <c r="AB240" i="293"/>
  <c r="AB239" i="293"/>
  <c r="AB238" i="293"/>
  <c r="AB237" i="293"/>
  <c r="AB236" i="293"/>
  <c r="AB235" i="293"/>
  <c r="AB234" i="293"/>
  <c r="AB233" i="293"/>
  <c r="AB232" i="293"/>
  <c r="AB231" i="293"/>
  <c r="AB230" i="293"/>
  <c r="AB229" i="293"/>
  <c r="AB228" i="293"/>
  <c r="AB227" i="293"/>
  <c r="AB226" i="293"/>
  <c r="AB225" i="293"/>
  <c r="AB224" i="293"/>
  <c r="AB223" i="293"/>
  <c r="AB222" i="293"/>
  <c r="AB221" i="293"/>
  <c r="AB220" i="293"/>
  <c r="AB219" i="293"/>
  <c r="AB218" i="293"/>
  <c r="AB217" i="293"/>
  <c r="AB216" i="293"/>
  <c r="AB215" i="293"/>
  <c r="AB214" i="293"/>
  <c r="AB213" i="293"/>
  <c r="AB212" i="293"/>
  <c r="AB211" i="293"/>
  <c r="AB210" i="293"/>
  <c r="AB209" i="293"/>
  <c r="AB208" i="293"/>
  <c r="AB207" i="293"/>
  <c r="AB206" i="293"/>
  <c r="AB205" i="293"/>
  <c r="AB204" i="293"/>
  <c r="AB203" i="293"/>
  <c r="AB202" i="293"/>
  <c r="AB201" i="293"/>
  <c r="AB200" i="293"/>
  <c r="AB199" i="293"/>
  <c r="AB198" i="293"/>
  <c r="AB197" i="293"/>
  <c r="AB196" i="293"/>
  <c r="AB195" i="293"/>
  <c r="AB194" i="293"/>
  <c r="AB193" i="293"/>
  <c r="AB192" i="293"/>
  <c r="AB191" i="293"/>
  <c r="AB190" i="293"/>
  <c r="AB189" i="293"/>
  <c r="AB188" i="293"/>
  <c r="AB187" i="293"/>
  <c r="AB186" i="293"/>
  <c r="AB185" i="293"/>
  <c r="AB184" i="293"/>
  <c r="AB183" i="293"/>
  <c r="AB182" i="293"/>
  <c r="AB181" i="293"/>
  <c r="AB180" i="293"/>
  <c r="AB179" i="293"/>
  <c r="AB178" i="293"/>
  <c r="AB177" i="293"/>
  <c r="AB176" i="293"/>
  <c r="AB175" i="293"/>
  <c r="AB174" i="293"/>
  <c r="AB173" i="293"/>
  <c r="AB172" i="293"/>
  <c r="AB171" i="293"/>
  <c r="AB170" i="293"/>
  <c r="AB169" i="293"/>
  <c r="AB168" i="293"/>
  <c r="AB167" i="293"/>
  <c r="AB166" i="293"/>
  <c r="AB165" i="293"/>
  <c r="AB164" i="293"/>
  <c r="AB163" i="293"/>
  <c r="AB162" i="293"/>
  <c r="AB161" i="293"/>
  <c r="AB160" i="293"/>
  <c r="AB159" i="293"/>
  <c r="AB158" i="293"/>
  <c r="AB157" i="293"/>
  <c r="AB156" i="293"/>
  <c r="AB155" i="293"/>
  <c r="AB154" i="293"/>
  <c r="AB153" i="293"/>
  <c r="AB152" i="293"/>
  <c r="AB151" i="293"/>
  <c r="AB150" i="293"/>
  <c r="AB149" i="293"/>
  <c r="AB148" i="293"/>
  <c r="AB147" i="293"/>
  <c r="AB146" i="293"/>
  <c r="AB145" i="293"/>
  <c r="AB144" i="293"/>
  <c r="AB143" i="293"/>
  <c r="AB142" i="293"/>
  <c r="AB141" i="293"/>
  <c r="AB140" i="293"/>
  <c r="AB139" i="293"/>
  <c r="AB138" i="293"/>
  <c r="AB137" i="293"/>
  <c r="AB136" i="293"/>
  <c r="AB135" i="293"/>
  <c r="AB134" i="293"/>
  <c r="AB133" i="293"/>
  <c r="AB132" i="293"/>
  <c r="AB131" i="293"/>
  <c r="AB130" i="293"/>
  <c r="AB129" i="293"/>
  <c r="AB128" i="293"/>
  <c r="AB127" i="293"/>
  <c r="AB126" i="293"/>
  <c r="AB125" i="293"/>
  <c r="AB124" i="293"/>
  <c r="AB123" i="293"/>
  <c r="AB122" i="293"/>
  <c r="AB121" i="293"/>
  <c r="AB120" i="293"/>
  <c r="AB119" i="293"/>
  <c r="AB118" i="293"/>
  <c r="AB117" i="293"/>
  <c r="AB116" i="293"/>
  <c r="AB115" i="293"/>
  <c r="AB114" i="293"/>
  <c r="AB113" i="293"/>
  <c r="AB112" i="293"/>
  <c r="AB111" i="293"/>
  <c r="AB110" i="293"/>
  <c r="AB109" i="293"/>
  <c r="AB108" i="293"/>
  <c r="AB107" i="293"/>
  <c r="AB106" i="293"/>
  <c r="AB105" i="293"/>
  <c r="AB104" i="293"/>
  <c r="AB103" i="293"/>
  <c r="AB102" i="293"/>
  <c r="AB101" i="293"/>
  <c r="AB100" i="293"/>
  <c r="AB99" i="293"/>
  <c r="AB98" i="293"/>
  <c r="AB97" i="293"/>
  <c r="AB96" i="293"/>
  <c r="AB95" i="293"/>
  <c r="AB94" i="293"/>
  <c r="AB93" i="293"/>
  <c r="AB92" i="293"/>
  <c r="AB91" i="293"/>
  <c r="AB90" i="293"/>
  <c r="AB89" i="293"/>
  <c r="AB88" i="293"/>
  <c r="AB87" i="293"/>
  <c r="AB86" i="293"/>
  <c r="AB85" i="293"/>
  <c r="AB84" i="293"/>
  <c r="AB83" i="293"/>
  <c r="AB82" i="293"/>
  <c r="AB81" i="293"/>
  <c r="AB80" i="293"/>
  <c r="AB79" i="293"/>
  <c r="AB78" i="293"/>
  <c r="AB77" i="293"/>
  <c r="AB76" i="293"/>
  <c r="AB75" i="293"/>
  <c r="AB74" i="293"/>
  <c r="AB73" i="293"/>
  <c r="AB72" i="293"/>
  <c r="AB71" i="293"/>
  <c r="AB70" i="293"/>
  <c r="AB69" i="293"/>
  <c r="AB68" i="293"/>
  <c r="AB67" i="293"/>
  <c r="AB66" i="293"/>
  <c r="AB65" i="293"/>
  <c r="AB64" i="293"/>
  <c r="AB63" i="293"/>
  <c r="AB62" i="293"/>
  <c r="AB61" i="293"/>
  <c r="AB60" i="293"/>
  <c r="AB59" i="293"/>
  <c r="AB58" i="293"/>
  <c r="AB57" i="293"/>
  <c r="AB56" i="293"/>
  <c r="AB55" i="293"/>
  <c r="AB54" i="293"/>
  <c r="AB53" i="293"/>
  <c r="AB52" i="293"/>
  <c r="AB51" i="293"/>
  <c r="AB50" i="293"/>
  <c r="AB49" i="293"/>
  <c r="AB48" i="293"/>
  <c r="AB47" i="293"/>
  <c r="AB46" i="293"/>
  <c r="AB45" i="293"/>
  <c r="AB44" i="293"/>
  <c r="AB43" i="293"/>
  <c r="AB42" i="293"/>
  <c r="AB41" i="293"/>
  <c r="AB40" i="293"/>
  <c r="AB39" i="293"/>
  <c r="AB38" i="293"/>
  <c r="AB37" i="293"/>
  <c r="AB36" i="293"/>
  <c r="AB35" i="293"/>
  <c r="AB34" i="293"/>
  <c r="AB33" i="293"/>
  <c r="AB32" i="293"/>
  <c r="AB31" i="293"/>
  <c r="AB30" i="293"/>
  <c r="AB29" i="293"/>
  <c r="AB28" i="293"/>
  <c r="AB27" i="293"/>
  <c r="AB26" i="293"/>
  <c r="AB25" i="293"/>
  <c r="AB24" i="293"/>
  <c r="AB23" i="293"/>
  <c r="AB22" i="293"/>
  <c r="AB18" i="293"/>
  <c r="AB12" i="293"/>
  <c r="B12" i="293"/>
  <c r="B13" i="293"/>
  <c r="B14" i="293"/>
  <c r="B15" i="293"/>
  <c r="B16" i="293"/>
  <c r="B17" i="293"/>
  <c r="B18" i="293"/>
  <c r="B19" i="293"/>
  <c r="B20" i="293"/>
  <c r="B21" i="293"/>
  <c r="AB11" i="293"/>
  <c r="A1" i="293"/>
  <c r="B13" i="292"/>
  <c r="B14" i="292"/>
  <c r="B15" i="292"/>
  <c r="B16" i="292"/>
  <c r="B17" i="292"/>
  <c r="B18" i="292"/>
  <c r="B19" i="292" s="1"/>
  <c r="B20" i="292" s="1"/>
  <c r="B21" i="292" s="1"/>
  <c r="B22" i="292" s="1"/>
  <c r="B23" i="292" s="1"/>
  <c r="B24" i="292" s="1"/>
  <c r="A1" i="292"/>
  <c r="E75" i="1"/>
  <c r="AE75" i="1"/>
  <c r="A75" i="1"/>
  <c r="A1" i="291"/>
  <c r="B12" i="286"/>
  <c r="B13" i="286"/>
  <c r="B14" i="286"/>
  <c r="B15" i="286"/>
  <c r="B16" i="286" s="1"/>
  <c r="B17" i="286" s="1"/>
  <c r="B18" i="286" s="1"/>
  <c r="A1" i="286"/>
  <c r="E84" i="1"/>
  <c r="AE84" i="1"/>
  <c r="A84" i="1"/>
  <c r="B11" i="285"/>
  <c r="B12" i="285"/>
  <c r="B13" i="285"/>
  <c r="B14" i="285"/>
  <c r="B15" i="285"/>
  <c r="B16" i="285"/>
  <c r="A1" i="285"/>
  <c r="AE79" i="1"/>
  <c r="E79" i="1"/>
  <c r="A79" i="1"/>
  <c r="A1" i="283"/>
  <c r="AE48" i="1"/>
  <c r="E48" i="1"/>
  <c r="A48" i="1"/>
  <c r="A1" i="282"/>
  <c r="AE47" i="1"/>
  <c r="E47" i="1"/>
  <c r="A47" i="1"/>
  <c r="A1" i="281"/>
  <c r="AE46" i="1"/>
  <c r="E46" i="1"/>
  <c r="A46" i="1"/>
  <c r="A1" i="280"/>
  <c r="A1" i="279"/>
  <c r="A1" i="278"/>
  <c r="A1" i="273"/>
  <c r="E49" i="1"/>
  <c r="AE49" i="1"/>
  <c r="A49" i="1"/>
  <c r="A55" i="1"/>
  <c r="E55" i="1"/>
  <c r="AE55" i="1"/>
  <c r="A56" i="1"/>
  <c r="E56" i="1"/>
  <c r="AE56" i="1"/>
  <c r="E27" i="1"/>
  <c r="AE27" i="1"/>
  <c r="B11" i="272"/>
  <c r="B5" i="272"/>
  <c r="B6" i="272"/>
  <c r="A1" i="272"/>
  <c r="A27" i="1"/>
  <c r="B10" i="267"/>
  <c r="B11" i="267"/>
  <c r="B12" i="267"/>
  <c r="B13" i="267"/>
  <c r="A1" i="270"/>
  <c r="A1" i="269"/>
  <c r="AE66" i="1"/>
  <c r="E66" i="1"/>
  <c r="A66" i="1"/>
  <c r="AE65" i="1"/>
  <c r="E65" i="1"/>
  <c r="A65" i="1"/>
  <c r="B10" i="268"/>
  <c r="B11" i="268"/>
  <c r="B12" i="268"/>
  <c r="B13" i="268"/>
  <c r="B14" i="268"/>
  <c r="A1" i="268"/>
  <c r="AE64" i="1"/>
  <c r="E64" i="1"/>
  <c r="A64" i="1"/>
  <c r="A1" i="267"/>
  <c r="E67" i="1"/>
  <c r="AE67" i="1"/>
  <c r="A67" i="1"/>
  <c r="A1" i="264"/>
  <c r="A1" i="265"/>
  <c r="A1" i="266"/>
  <c r="AE99" i="1"/>
  <c r="E99" i="1"/>
  <c r="A99" i="1"/>
  <c r="AE98" i="1"/>
  <c r="E98" i="1"/>
  <c r="A98" i="1"/>
  <c r="AE97" i="1"/>
  <c r="E97" i="1"/>
  <c r="A97" i="1"/>
  <c r="A1" i="263"/>
  <c r="A1" i="261"/>
  <c r="AE94" i="1"/>
  <c r="E94" i="1"/>
  <c r="A94" i="1"/>
  <c r="A1" i="262"/>
  <c r="AE95" i="1"/>
  <c r="E95" i="1"/>
  <c r="A95" i="1"/>
  <c r="AE93" i="1"/>
  <c r="E93" i="1"/>
  <c r="A93" i="1"/>
  <c r="A1" i="259"/>
  <c r="B9" i="260"/>
  <c r="B10" i="260"/>
  <c r="B11" i="260"/>
  <c r="B12" i="260"/>
  <c r="B13" i="260"/>
  <c r="B14" i="260"/>
  <c r="B15" i="260"/>
  <c r="B5" i="260"/>
  <c r="A1" i="260"/>
  <c r="AE92" i="1"/>
  <c r="E92" i="1"/>
  <c r="A92" i="1"/>
  <c r="A1" i="254"/>
  <c r="A1" i="256"/>
  <c r="A1" i="255"/>
  <c r="E114" i="1"/>
  <c r="E113" i="1"/>
  <c r="A68" i="1"/>
  <c r="A91" i="1"/>
  <c r="A90" i="1"/>
  <c r="A89" i="1"/>
  <c r="A88" i="1"/>
  <c r="A86" i="1"/>
  <c r="A85" i="1"/>
  <c r="A83" i="1"/>
  <c r="A82" i="1"/>
  <c r="A81" i="1"/>
  <c r="A80" i="1"/>
  <c r="A78" i="1"/>
  <c r="A77" i="1"/>
  <c r="A76" i="1"/>
  <c r="A74" i="1"/>
  <c r="A73" i="1"/>
  <c r="A72" i="1"/>
  <c r="A71" i="1"/>
  <c r="A63" i="1"/>
  <c r="A62" i="1"/>
  <c r="A61" i="1"/>
  <c r="A60" i="1"/>
  <c r="A59" i="1"/>
  <c r="A58" i="1"/>
  <c r="A57" i="1"/>
  <c r="A45" i="1"/>
  <c r="A44" i="1"/>
  <c r="A43" i="1"/>
  <c r="A42" i="1"/>
  <c r="A41" i="1"/>
  <c r="A40" i="1"/>
  <c r="A39" i="1"/>
  <c r="A38" i="1"/>
  <c r="A37" i="1"/>
  <c r="A36" i="1"/>
  <c r="A35" i="1"/>
  <c r="A34" i="1"/>
  <c r="A32" i="1"/>
  <c r="A31" i="1"/>
  <c r="A30" i="1"/>
  <c r="A29" i="1"/>
  <c r="A28" i="1"/>
  <c r="A26" i="1"/>
  <c r="A25" i="1"/>
  <c r="A24" i="1"/>
  <c r="A23" i="1"/>
  <c r="A22" i="1"/>
  <c r="A21" i="1"/>
  <c r="A20" i="1"/>
  <c r="A19" i="1"/>
  <c r="A18" i="1"/>
  <c r="A17" i="1"/>
  <c r="A16" i="1"/>
  <c r="A15" i="1"/>
  <c r="A14" i="1"/>
  <c r="A13" i="1"/>
  <c r="A12" i="1"/>
  <c r="A11" i="1"/>
  <c r="A10" i="1"/>
  <c r="A9" i="1"/>
  <c r="A8" i="1"/>
  <c r="A6" i="1"/>
  <c r="A5" i="1"/>
  <c r="A4" i="1"/>
  <c r="A3" i="1"/>
  <c r="A2" i="1"/>
  <c r="E112" i="1"/>
  <c r="B10" i="253"/>
  <c r="E68" i="1"/>
  <c r="A1" i="253"/>
  <c r="A1" i="230"/>
  <c r="A1" i="222"/>
  <c r="A1" i="219"/>
  <c r="A1" i="186"/>
  <c r="A1" i="184"/>
  <c r="A1" i="183"/>
  <c r="A1" i="179"/>
  <c r="A1" i="200"/>
  <c r="X282" i="252"/>
  <c r="X281" i="252"/>
  <c r="X280" i="252"/>
  <c r="X279" i="252"/>
  <c r="X278" i="252"/>
  <c r="X277" i="252"/>
  <c r="X276" i="252"/>
  <c r="X275" i="252"/>
  <c r="X274" i="252"/>
  <c r="X273" i="252"/>
  <c r="X272" i="252"/>
  <c r="X271" i="252"/>
  <c r="X270" i="252"/>
  <c r="X269" i="252"/>
  <c r="X268" i="252"/>
  <c r="X267" i="252"/>
  <c r="X266" i="252"/>
  <c r="X265" i="252"/>
  <c r="X264" i="252"/>
  <c r="X263" i="252"/>
  <c r="X262" i="252"/>
  <c r="X261" i="252"/>
  <c r="X260" i="252"/>
  <c r="X259" i="252"/>
  <c r="X258" i="252"/>
  <c r="X257" i="252"/>
  <c r="X256" i="252"/>
  <c r="X255" i="252"/>
  <c r="X254" i="252"/>
  <c r="X253" i="252"/>
  <c r="X252" i="252"/>
  <c r="X251" i="252"/>
  <c r="X250" i="252"/>
  <c r="X249" i="252"/>
  <c r="X248" i="252"/>
  <c r="X247" i="252"/>
  <c r="X246" i="252"/>
  <c r="X245" i="252"/>
  <c r="X244" i="252"/>
  <c r="X243" i="252"/>
  <c r="X242" i="252"/>
  <c r="X241" i="252"/>
  <c r="X240" i="252"/>
  <c r="X239" i="252"/>
  <c r="X238" i="252"/>
  <c r="X237" i="252"/>
  <c r="X236" i="252"/>
  <c r="X235" i="252"/>
  <c r="X234" i="252"/>
  <c r="X233" i="252"/>
  <c r="X232" i="252"/>
  <c r="X231" i="252"/>
  <c r="X230" i="252"/>
  <c r="X229" i="252"/>
  <c r="X228" i="252"/>
  <c r="X227" i="252"/>
  <c r="X226" i="252"/>
  <c r="X225" i="252"/>
  <c r="X224" i="252"/>
  <c r="X223" i="252"/>
  <c r="X222" i="252"/>
  <c r="X221" i="252"/>
  <c r="X220" i="252"/>
  <c r="X219" i="252"/>
  <c r="X218" i="252"/>
  <c r="X217" i="252"/>
  <c r="X216" i="252"/>
  <c r="X215" i="252"/>
  <c r="X214" i="252"/>
  <c r="X213" i="252"/>
  <c r="X212" i="252"/>
  <c r="X211" i="252"/>
  <c r="X210" i="252"/>
  <c r="X209" i="252"/>
  <c r="X208" i="252"/>
  <c r="X207" i="252"/>
  <c r="X206" i="252"/>
  <c r="X205" i="252"/>
  <c r="X204" i="252"/>
  <c r="X203" i="252"/>
  <c r="X202" i="252"/>
  <c r="X201" i="252"/>
  <c r="X200" i="252"/>
  <c r="X199" i="252"/>
  <c r="X198" i="252"/>
  <c r="X197" i="252"/>
  <c r="X196" i="252"/>
  <c r="X195" i="252"/>
  <c r="X194" i="252"/>
  <c r="X193" i="252"/>
  <c r="X192" i="252"/>
  <c r="X191" i="252"/>
  <c r="X190" i="252"/>
  <c r="X189" i="252"/>
  <c r="X188" i="252"/>
  <c r="X187" i="252"/>
  <c r="X186" i="252"/>
  <c r="X185" i="252"/>
  <c r="X184" i="252"/>
  <c r="X183" i="252"/>
  <c r="X182" i="252"/>
  <c r="X181" i="252"/>
  <c r="X180" i="252"/>
  <c r="X179" i="252"/>
  <c r="X178" i="252"/>
  <c r="X177" i="252"/>
  <c r="X176" i="252"/>
  <c r="X175" i="252"/>
  <c r="X174" i="252"/>
  <c r="X173" i="252"/>
  <c r="X172" i="252"/>
  <c r="X171" i="252"/>
  <c r="X170" i="252"/>
  <c r="X169" i="252"/>
  <c r="X168" i="252"/>
  <c r="X167" i="252"/>
  <c r="X166" i="252"/>
  <c r="X165" i="252"/>
  <c r="X164" i="252"/>
  <c r="X163" i="252"/>
  <c r="X162" i="252"/>
  <c r="X161" i="252"/>
  <c r="X160" i="252"/>
  <c r="X159" i="252"/>
  <c r="X158" i="252"/>
  <c r="X157" i="252"/>
  <c r="X156" i="252"/>
  <c r="X155" i="252"/>
  <c r="X154" i="252"/>
  <c r="X153" i="252"/>
  <c r="X152" i="252"/>
  <c r="X151" i="252"/>
  <c r="X150" i="252"/>
  <c r="X149" i="252"/>
  <c r="X148" i="252"/>
  <c r="X147" i="252"/>
  <c r="X146" i="252"/>
  <c r="X145" i="252"/>
  <c r="X144" i="252"/>
  <c r="X143" i="252"/>
  <c r="X142" i="252"/>
  <c r="X141" i="252"/>
  <c r="X140" i="252"/>
  <c r="X139" i="252"/>
  <c r="X138" i="252"/>
  <c r="X137" i="252"/>
  <c r="X136" i="252"/>
  <c r="X135" i="252"/>
  <c r="X134" i="252"/>
  <c r="X133" i="252"/>
  <c r="X132" i="252"/>
  <c r="X131" i="252"/>
  <c r="X130" i="252"/>
  <c r="X129" i="252"/>
  <c r="X128" i="252"/>
  <c r="X127" i="252"/>
  <c r="X126" i="252"/>
  <c r="X125" i="252"/>
  <c r="X124" i="252"/>
  <c r="X123" i="252"/>
  <c r="X122" i="252"/>
  <c r="X121" i="252"/>
  <c r="X120" i="252"/>
  <c r="X119" i="252"/>
  <c r="X118" i="252"/>
  <c r="X117" i="252"/>
  <c r="X116" i="252"/>
  <c r="X115" i="252"/>
  <c r="X114" i="252"/>
  <c r="X113" i="252"/>
  <c r="X112" i="252"/>
  <c r="X111" i="252"/>
  <c r="X110" i="252"/>
  <c r="X109" i="252"/>
  <c r="X108" i="252"/>
  <c r="X107" i="252"/>
  <c r="X106" i="252"/>
  <c r="X105" i="252"/>
  <c r="X104" i="252"/>
  <c r="X103" i="252"/>
  <c r="X102" i="252"/>
  <c r="X101" i="252"/>
  <c r="X100" i="252"/>
  <c r="X99" i="252"/>
  <c r="X98" i="252"/>
  <c r="X97" i="252"/>
  <c r="X96" i="252"/>
  <c r="X95" i="252"/>
  <c r="X94" i="252"/>
  <c r="X93" i="252"/>
  <c r="X92" i="252"/>
  <c r="X91" i="252"/>
  <c r="X90" i="252"/>
  <c r="X89" i="252"/>
  <c r="X88" i="252"/>
  <c r="X87" i="252"/>
  <c r="X86" i="252"/>
  <c r="X85" i="252"/>
  <c r="X84" i="252"/>
  <c r="X83" i="252"/>
  <c r="X82" i="252"/>
  <c r="X81" i="252"/>
  <c r="X80" i="252"/>
  <c r="X79" i="252"/>
  <c r="X78" i="252"/>
  <c r="X77" i="252"/>
  <c r="X76" i="252"/>
  <c r="X75" i="252"/>
  <c r="X74" i="252"/>
  <c r="X73" i="252"/>
  <c r="X72" i="252"/>
  <c r="X71" i="252"/>
  <c r="X70" i="252"/>
  <c r="X69" i="252"/>
  <c r="X68" i="252"/>
  <c r="X67" i="252"/>
  <c r="X66" i="252"/>
  <c r="X65" i="252"/>
  <c r="X64" i="252"/>
  <c r="X63" i="252"/>
  <c r="X62" i="252"/>
  <c r="X61" i="252"/>
  <c r="X60" i="252"/>
  <c r="X59" i="252"/>
  <c r="X58" i="252"/>
  <c r="X57" i="252"/>
  <c r="X56" i="252"/>
  <c r="X55" i="252"/>
  <c r="X54" i="252"/>
  <c r="X53" i="252"/>
  <c r="X52" i="252"/>
  <c r="X51" i="252"/>
  <c r="X50" i="252"/>
  <c r="X49" i="252"/>
  <c r="X48" i="252"/>
  <c r="X47" i="252"/>
  <c r="X46" i="252"/>
  <c r="X45" i="252"/>
  <c r="X44" i="252"/>
  <c r="X43" i="252"/>
  <c r="X42" i="252"/>
  <c r="X41" i="252"/>
  <c r="X40" i="252"/>
  <c r="X39" i="252"/>
  <c r="X38" i="252"/>
  <c r="X37" i="252"/>
  <c r="X36" i="252"/>
  <c r="X35" i="252"/>
  <c r="X34" i="252"/>
  <c r="X33" i="252"/>
  <c r="X32" i="252"/>
  <c r="X31" i="252"/>
  <c r="X30" i="252"/>
  <c r="X29" i="252"/>
  <c r="X28" i="252"/>
  <c r="X27" i="252"/>
  <c r="X26" i="252"/>
  <c r="X25" i="252"/>
  <c r="X24" i="252"/>
  <c r="X23" i="252"/>
  <c r="X22" i="252"/>
  <c r="X21" i="252"/>
  <c r="X20" i="252"/>
  <c r="X19" i="252"/>
  <c r="X18" i="252"/>
  <c r="X17" i="252"/>
  <c r="X16" i="252"/>
  <c r="X15" i="252"/>
  <c r="X14" i="252"/>
  <c r="X13" i="252"/>
  <c r="X12" i="252"/>
  <c r="X11" i="252"/>
  <c r="X10" i="252"/>
  <c r="X9" i="252"/>
  <c r="B11" i="244"/>
  <c r="B12" i="244"/>
  <c r="A1" i="247"/>
  <c r="A1" i="248"/>
  <c r="A1" i="249"/>
  <c r="A1" i="246"/>
  <c r="E91" i="1"/>
  <c r="E90" i="1"/>
  <c r="E89" i="1"/>
  <c r="AE91" i="1"/>
  <c r="AE90" i="1"/>
  <c r="AE89" i="1"/>
  <c r="AE88" i="1"/>
  <c r="E88" i="1"/>
  <c r="A1" i="242"/>
  <c r="A1" i="241"/>
  <c r="A1" i="240"/>
  <c r="B18" i="239"/>
  <c r="B19" i="239"/>
  <c r="A1" i="239"/>
  <c r="A1" i="237"/>
  <c r="A1" i="238"/>
  <c r="A1" i="236"/>
  <c r="B22" i="235"/>
  <c r="A1" i="235"/>
  <c r="B13" i="234"/>
  <c r="B14" i="234"/>
  <c r="B15" i="234"/>
  <c r="B16" i="234"/>
  <c r="B17" i="234"/>
  <c r="B18" i="234"/>
  <c r="B19" i="234"/>
  <c r="B20" i="234"/>
  <c r="B21" i="234"/>
  <c r="B22" i="234"/>
  <c r="B23" i="234"/>
  <c r="B24" i="234"/>
  <c r="B25" i="234"/>
  <c r="B26" i="234"/>
  <c r="B27" i="234"/>
  <c r="B28" i="234"/>
  <c r="B29" i="234"/>
  <c r="B30" i="234"/>
  <c r="B31" i="234"/>
  <c r="B32" i="234"/>
  <c r="B33" i="234"/>
  <c r="B34" i="234"/>
  <c r="B35" i="234"/>
  <c r="B36" i="234"/>
  <c r="B37" i="234"/>
  <c r="A1" i="234"/>
  <c r="B14" i="232"/>
  <c r="B15" i="232"/>
  <c r="B16" i="232"/>
  <c r="B17" i="232"/>
  <c r="B18" i="232"/>
  <c r="B19" i="232"/>
  <c r="B20" i="232"/>
  <c r="B21" i="232"/>
  <c r="B17" i="213"/>
  <c r="B18" i="213"/>
  <c r="B19" i="213"/>
  <c r="B20" i="213"/>
  <c r="B21" i="213"/>
  <c r="B22" i="213"/>
  <c r="B23" i="213"/>
  <c r="B24" i="213"/>
  <c r="B25" i="213"/>
  <c r="B26" i="213"/>
  <c r="A1" i="213"/>
  <c r="B14" i="233"/>
  <c r="B15" i="233"/>
  <c r="B16" i="233"/>
  <c r="B17" i="233"/>
  <c r="B18" i="233"/>
  <c r="B19" i="233"/>
  <c r="B20" i="233"/>
  <c r="B21" i="233"/>
  <c r="A1" i="233"/>
  <c r="A1" i="232"/>
  <c r="A1" i="212"/>
  <c r="B15" i="223"/>
  <c r="B16" i="223"/>
  <c r="B17" i="223"/>
  <c r="B18" i="223"/>
  <c r="B19" i="223"/>
  <c r="B20" i="223"/>
  <c r="B21" i="223"/>
  <c r="B22" i="223"/>
  <c r="B23" i="223"/>
  <c r="B24" i="223"/>
  <c r="B25" i="223"/>
  <c r="B26" i="223"/>
  <c r="B27" i="223"/>
  <c r="B28" i="223"/>
  <c r="B29" i="223"/>
  <c r="B30" i="223"/>
  <c r="B31" i="223"/>
  <c r="B32" i="223"/>
  <c r="B33" i="223"/>
  <c r="B34" i="223"/>
  <c r="B35" i="223"/>
  <c r="B36" i="223"/>
  <c r="B37" i="223"/>
  <c r="B38" i="223"/>
  <c r="B39" i="223"/>
  <c r="B40" i="223"/>
  <c r="B15" i="224"/>
  <c r="B16" i="224"/>
  <c r="B17" i="224"/>
  <c r="B18" i="224"/>
  <c r="B19" i="224"/>
  <c r="A1" i="224"/>
  <c r="A1" i="223"/>
  <c r="B13" i="230"/>
  <c r="B14" i="230"/>
  <c r="B15" i="230"/>
  <c r="B16" i="230"/>
  <c r="B5" i="230"/>
  <c r="B6" i="230"/>
  <c r="B13" i="229"/>
  <c r="B14" i="229"/>
  <c r="B15" i="229"/>
  <c r="B16" i="229"/>
  <c r="B17" i="229"/>
  <c r="B18" i="229"/>
  <c r="B19" i="229"/>
  <c r="B20" i="229"/>
  <c r="B21" i="229"/>
  <c r="B22" i="229"/>
  <c r="B23" i="229"/>
  <c r="A1" i="229"/>
  <c r="B13" i="222"/>
  <c r="B14" i="222"/>
  <c r="B15" i="222"/>
  <c r="B16" i="222"/>
  <c r="B17" i="222"/>
  <c r="B18" i="222"/>
  <c r="B19" i="222"/>
  <c r="B20" i="222"/>
  <c r="B21" i="222" s="1"/>
  <c r="B22" i="222" s="1"/>
  <c r="B23" i="222" s="1"/>
  <c r="B24" i="222" s="1"/>
  <c r="B25" i="222" s="1"/>
  <c r="B26" i="222" s="1"/>
  <c r="B27" i="222" s="1"/>
  <c r="B28" i="222" s="1"/>
  <c r="B29" i="222" s="1"/>
  <c r="B30" i="222" s="1"/>
  <c r="B11" i="221"/>
  <c r="B12" i="221"/>
  <c r="B13" i="221"/>
  <c r="B14" i="221"/>
  <c r="B15" i="221"/>
  <c r="B16" i="221"/>
  <c r="B17" i="221"/>
  <c r="A1" i="221"/>
  <c r="B10" i="231"/>
  <c r="B11" i="231" s="1"/>
  <c r="B12" i="231" s="1"/>
  <c r="B13" i="231" s="1"/>
  <c r="B14" i="231" s="1"/>
  <c r="B15" i="231" s="1"/>
  <c r="B5" i="231"/>
  <c r="A1" i="231"/>
  <c r="B9" i="220"/>
  <c r="B10" i="220"/>
  <c r="B11" i="220"/>
  <c r="A1" i="220"/>
  <c r="B10" i="219"/>
  <c r="B11" i="219"/>
  <c r="B12" i="219"/>
  <c r="B13" i="219"/>
  <c r="B14" i="219"/>
  <c r="B15" i="219"/>
  <c r="B16" i="219"/>
  <c r="B17" i="219"/>
  <c r="B18" i="219"/>
  <c r="B19" i="219"/>
  <c r="B20" i="219"/>
  <c r="B21" i="219"/>
  <c r="B5" i="219"/>
  <c r="A1" i="218"/>
  <c r="B18" i="217"/>
  <c r="B19" i="217"/>
  <c r="B20" i="217"/>
  <c r="B21" i="217"/>
  <c r="B22" i="217"/>
  <c r="B23" i="217"/>
  <c r="B24" i="217"/>
  <c r="B25" i="217"/>
  <c r="B26" i="217"/>
  <c r="B27" i="217"/>
  <c r="B28" i="217"/>
  <c r="B29" i="217"/>
  <c r="B30" i="217"/>
  <c r="B31" i="217"/>
  <c r="B32" i="217"/>
  <c r="B33" i="217"/>
  <c r="B34" i="217"/>
  <c r="B35" i="217"/>
  <c r="B38" i="217"/>
  <c r="B39" i="217"/>
  <c r="B40" i="217"/>
  <c r="B41" i="217"/>
  <c r="B42" i="217"/>
  <c r="B43" i="217"/>
  <c r="B44" i="217"/>
  <c r="B45" i="217"/>
  <c r="B46" i="217"/>
  <c r="B47" i="217"/>
  <c r="B48" i="217"/>
  <c r="B49" i="217"/>
  <c r="B50" i="217"/>
  <c r="B51" i="217"/>
  <c r="B52" i="217"/>
  <c r="B53" i="217"/>
  <c r="B54" i="217"/>
  <c r="B55" i="217"/>
  <c r="B56" i="217"/>
  <c r="B57" i="217"/>
  <c r="B58" i="217"/>
  <c r="B59" i="217"/>
  <c r="B60" i="217"/>
  <c r="B61" i="217"/>
  <c r="B62" i="217"/>
  <c r="A1" i="217"/>
  <c r="B20" i="216"/>
  <c r="B21" i="216"/>
  <c r="B22" i="216"/>
  <c r="B23" i="216"/>
  <c r="B24" i="216"/>
  <c r="B25" i="216"/>
  <c r="B26" i="216"/>
  <c r="B27" i="216"/>
  <c r="B28" i="216"/>
  <c r="B29" i="216"/>
  <c r="B30" i="216"/>
  <c r="B31" i="216"/>
  <c r="B32" i="216"/>
  <c r="B33" i="216"/>
  <c r="B34" i="216"/>
  <c r="B35" i="216"/>
  <c r="B36" i="216"/>
  <c r="B37" i="216"/>
  <c r="B38" i="216"/>
  <c r="B39" i="216"/>
  <c r="B40" i="216"/>
  <c r="A1" i="216"/>
  <c r="B20" i="215"/>
  <c r="B21" i="215"/>
  <c r="B22" i="215"/>
  <c r="B23" i="215"/>
  <c r="B24" i="215"/>
  <c r="B25" i="215"/>
  <c r="B26" i="215"/>
  <c r="B27" i="215"/>
  <c r="B28" i="215"/>
  <c r="B29" i="215"/>
  <c r="B30" i="215"/>
  <c r="B31" i="215"/>
  <c r="B32" i="215"/>
  <c r="B33" i="215"/>
  <c r="B34" i="215"/>
  <c r="B35" i="215"/>
  <c r="B36" i="215"/>
  <c r="B37" i="215"/>
  <c r="B38" i="215"/>
  <c r="B39" i="215"/>
  <c r="B40" i="215"/>
  <c r="B41" i="215"/>
  <c r="B42" i="215"/>
  <c r="B43" i="215"/>
  <c r="A1" i="215"/>
  <c r="B20" i="214"/>
  <c r="B21" i="214"/>
  <c r="B22" i="214"/>
  <c r="B23" i="214"/>
  <c r="B24" i="214"/>
  <c r="B25" i="214"/>
  <c r="B26" i="214"/>
  <c r="B27" i="214"/>
  <c r="B28" i="214"/>
  <c r="B29" i="214"/>
  <c r="B30" i="214"/>
  <c r="B31" i="214"/>
  <c r="B32" i="214"/>
  <c r="B33" i="214"/>
  <c r="B34" i="214"/>
  <c r="B35" i="214"/>
  <c r="B36" i="214"/>
  <c r="B37" i="214"/>
  <c r="B38" i="214"/>
  <c r="B39" i="214"/>
  <c r="A1" i="214"/>
  <c r="B10" i="211"/>
  <c r="B11" i="211"/>
  <c r="B12" i="211"/>
  <c r="B13" i="211" s="1"/>
  <c r="B14" i="211" s="1"/>
  <c r="B15" i="211" s="1"/>
  <c r="B16" i="211" s="1"/>
  <c r="B17" i="211" s="1"/>
  <c r="B18" i="211" s="1"/>
  <c r="B19" i="211" s="1"/>
  <c r="B5" i="211"/>
  <c r="A1" i="211"/>
  <c r="B14" i="210"/>
  <c r="B15" i="210"/>
  <c r="B16" i="210"/>
  <c r="B17" i="210"/>
  <c r="B18" i="210"/>
  <c r="B19" i="210"/>
  <c r="B20" i="210"/>
  <c r="B21" i="210"/>
  <c r="B22" i="210"/>
  <c r="B23" i="210"/>
  <c r="B24" i="210"/>
  <c r="B25" i="210"/>
  <c r="B26" i="210"/>
  <c r="B27" i="210"/>
  <c r="B28" i="210"/>
  <c r="B29" i="210"/>
  <c r="B30" i="210"/>
  <c r="B31" i="210"/>
  <c r="B32" i="210"/>
  <c r="B33" i="210"/>
  <c r="B34" i="210"/>
  <c r="A1" i="210"/>
  <c r="B12" i="209"/>
  <c r="B13" i="209"/>
  <c r="B14" i="209"/>
  <c r="B15" i="209"/>
  <c r="B5" i="209"/>
  <c r="B6" i="209"/>
  <c r="B7" i="209"/>
  <c r="A1" i="209"/>
  <c r="B10" i="208"/>
  <c r="B11" i="208"/>
  <c r="B12" i="208"/>
  <c r="B13" i="208"/>
  <c r="B14" i="208"/>
  <c r="B15" i="208"/>
  <c r="B5" i="208"/>
  <c r="A1" i="208"/>
  <c r="B9" i="207"/>
  <c r="B10" i="207"/>
  <c r="B11" i="207"/>
  <c r="B12" i="207"/>
  <c r="B13" i="207"/>
  <c r="A1" i="207"/>
  <c r="B11" i="206"/>
  <c r="B12" i="206" s="1"/>
  <c r="B13" i="206" s="1"/>
  <c r="B14" i="206" s="1"/>
  <c r="B15" i="206" s="1"/>
  <c r="B5" i="206"/>
  <c r="B6" i="206"/>
  <c r="A1" i="206"/>
  <c r="B10" i="205"/>
  <c r="B11" i="205"/>
  <c r="B12" i="205"/>
  <c r="B13" i="205"/>
  <c r="B14" i="205"/>
  <c r="B15" i="205"/>
  <c r="B16" i="205"/>
  <c r="B17" i="205"/>
  <c r="B18" i="205"/>
  <c r="B19" i="205"/>
  <c r="B20" i="205"/>
  <c r="B5" i="205"/>
  <c r="A1" i="205"/>
  <c r="B13" i="196"/>
  <c r="B14" i="196"/>
  <c r="B15" i="196"/>
  <c r="B16" i="196"/>
  <c r="B17" i="196"/>
  <c r="B18" i="196"/>
  <c r="B19" i="196"/>
  <c r="B20" i="196"/>
  <c r="B21" i="196"/>
  <c r="B22" i="196"/>
  <c r="B23" i="196"/>
  <c r="B24" i="196"/>
  <c r="B25" i="196"/>
  <c r="B26" i="196"/>
  <c r="B27" i="196"/>
  <c r="B28" i="196"/>
  <c r="B29" i="196"/>
  <c r="B30" i="196"/>
  <c r="B31" i="196"/>
  <c r="B32" i="196"/>
  <c r="B33" i="196"/>
  <c r="B34" i="196"/>
  <c r="B35" i="196"/>
  <c r="B36" i="196"/>
  <c r="B37" i="196"/>
  <c r="B38" i="196"/>
  <c r="B39" i="196"/>
  <c r="B40" i="196"/>
  <c r="B41" i="196"/>
  <c r="B42" i="196"/>
  <c r="B43" i="196"/>
  <c r="B44" i="196"/>
  <c r="B45" i="196"/>
  <c r="B46" i="196"/>
  <c r="B47" i="196"/>
  <c r="B48" i="196"/>
  <c r="B49" i="196"/>
  <c r="B50" i="196"/>
  <c r="B51" i="196"/>
  <c r="B52" i="196"/>
  <c r="B53" i="196"/>
  <c r="B54" i="196"/>
  <c r="B55" i="196"/>
  <c r="B56" i="196"/>
  <c r="B57" i="196"/>
  <c r="B58" i="196"/>
  <c r="B59" i="196"/>
  <c r="B60" i="196"/>
  <c r="B61" i="196"/>
  <c r="B62" i="196"/>
  <c r="B63" i="196"/>
  <c r="B64" i="196"/>
  <c r="B65" i="196"/>
  <c r="B66" i="196"/>
  <c r="B67" i="196"/>
  <c r="B68" i="196"/>
  <c r="B69" i="196"/>
  <c r="B70" i="196"/>
  <c r="B71" i="196"/>
  <c r="B72" i="196"/>
  <c r="B73" i="196"/>
  <c r="B74" i="196"/>
  <c r="B5" i="196"/>
  <c r="A1" i="196"/>
  <c r="B15" i="202"/>
  <c r="B16" i="202"/>
  <c r="B17" i="202"/>
  <c r="B18" i="202"/>
  <c r="B19" i="202"/>
  <c r="B20" i="202"/>
  <c r="B21" i="202"/>
  <c r="B22" i="202"/>
  <c r="B23" i="202"/>
  <c r="B24" i="202"/>
  <c r="B5" i="202"/>
  <c r="A1" i="202"/>
  <c r="B15" i="203"/>
  <c r="B16" i="203"/>
  <c r="B17" i="203"/>
  <c r="B18" i="203"/>
  <c r="B19" i="203"/>
  <c r="B20" i="203"/>
  <c r="B21" i="203"/>
  <c r="B22" i="203"/>
  <c r="B23" i="203"/>
  <c r="B24" i="203"/>
  <c r="B25" i="203"/>
  <c r="B26" i="203"/>
  <c r="B27" i="203"/>
  <c r="B28" i="203"/>
  <c r="B29" i="203"/>
  <c r="B5" i="203"/>
  <c r="B6" i="203"/>
  <c r="B7" i="203"/>
  <c r="A1" i="203"/>
  <c r="B14" i="204"/>
  <c r="B15" i="204"/>
  <c r="B16" i="204"/>
  <c r="B17" i="204"/>
  <c r="B18" i="204"/>
  <c r="B19" i="204"/>
  <c r="B20" i="204"/>
  <c r="B21" i="204"/>
  <c r="B22" i="204"/>
  <c r="B23" i="204"/>
  <c r="B24" i="204"/>
  <c r="B25" i="204"/>
  <c r="B26" i="204"/>
  <c r="B27" i="204"/>
  <c r="B28" i="204"/>
  <c r="B5" i="204"/>
  <c r="A1" i="204"/>
  <c r="B5" i="201"/>
  <c r="B6" i="201"/>
  <c r="A1" i="201"/>
  <c r="B16" i="194"/>
  <c r="B17" i="194"/>
  <c r="B18" i="194"/>
  <c r="B19" i="194"/>
  <c r="B20" i="194"/>
  <c r="B21" i="194"/>
  <c r="B22" i="194"/>
  <c r="B23" i="194"/>
  <c r="B24" i="194"/>
  <c r="B25" i="194"/>
  <c r="B26" i="194"/>
  <c r="B27" i="194"/>
  <c r="B28" i="194"/>
  <c r="B29" i="194"/>
  <c r="B30" i="194"/>
  <c r="B31" i="194"/>
  <c r="B32" i="194"/>
  <c r="B33" i="194"/>
  <c r="B34" i="194"/>
  <c r="B35" i="194"/>
  <c r="B36" i="194"/>
  <c r="B37" i="194"/>
  <c r="B38" i="194"/>
  <c r="B39" i="194"/>
  <c r="B40" i="194"/>
  <c r="B41" i="194"/>
  <c r="B42" i="194"/>
  <c r="B43" i="194"/>
  <c r="B44" i="194"/>
  <c r="B45" i="194"/>
  <c r="B46" i="194"/>
  <c r="B47" i="194"/>
  <c r="B48" i="194"/>
  <c r="B49" i="194"/>
  <c r="B50" i="194"/>
  <c r="B51" i="194"/>
  <c r="B52" i="194"/>
  <c r="B53" i="194"/>
  <c r="B54" i="194"/>
  <c r="B55" i="194"/>
  <c r="B56" i="194"/>
  <c r="B57" i="194"/>
  <c r="B58" i="194"/>
  <c r="B59" i="194"/>
  <c r="B60" i="194"/>
  <c r="B61" i="194"/>
  <c r="B62" i="194"/>
  <c r="B63" i="194"/>
  <c r="B64" i="194"/>
  <c r="B65" i="194"/>
  <c r="B66" i="194"/>
  <c r="B67" i="194"/>
  <c r="B68" i="194"/>
  <c r="B69" i="194"/>
  <c r="B70" i="194"/>
  <c r="B71" i="194"/>
  <c r="B72" i="194"/>
  <c r="B73" i="194"/>
  <c r="B74" i="194"/>
  <c r="B75" i="194"/>
  <c r="B76" i="194"/>
  <c r="B77" i="194"/>
  <c r="B78" i="194"/>
  <c r="B79" i="194"/>
  <c r="B80" i="194"/>
  <c r="B81" i="194"/>
  <c r="B82" i="194"/>
  <c r="B83" i="194"/>
  <c r="B84" i="194"/>
  <c r="B85" i="194"/>
  <c r="B86" i="194"/>
  <c r="B87" i="194"/>
  <c r="B88" i="194"/>
  <c r="B89" i="194"/>
  <c r="B90" i="194"/>
  <c r="B91" i="194"/>
  <c r="B92" i="194"/>
  <c r="B93" i="194"/>
  <c r="B94" i="194"/>
  <c r="B95" i="194"/>
  <c r="B96" i="194"/>
  <c r="B97" i="194"/>
  <c r="B98" i="194"/>
  <c r="B99" i="194"/>
  <c r="B100" i="194"/>
  <c r="B101" i="194"/>
  <c r="B102" i="194"/>
  <c r="B103" i="194"/>
  <c r="B104" i="194"/>
  <c r="B105" i="194"/>
  <c r="B106" i="194"/>
  <c r="B107" i="194"/>
  <c r="B108" i="194"/>
  <c r="B109" i="194"/>
  <c r="B110" i="194"/>
  <c r="B111" i="194"/>
  <c r="B112" i="194"/>
  <c r="B113" i="194"/>
  <c r="B114" i="194"/>
  <c r="B115" i="194"/>
  <c r="B116" i="194"/>
  <c r="B117" i="194"/>
  <c r="B118" i="194"/>
  <c r="B119" i="194"/>
  <c r="B120" i="194"/>
  <c r="B121" i="194"/>
  <c r="B122" i="194"/>
  <c r="B123" i="194"/>
  <c r="B124" i="194"/>
  <c r="B125" i="194"/>
  <c r="B126" i="194"/>
  <c r="B127" i="194"/>
  <c r="B128" i="194"/>
  <c r="B129" i="194"/>
  <c r="B130" i="194"/>
  <c r="B131" i="194"/>
  <c r="B132" i="194"/>
  <c r="B133" i="194"/>
  <c r="B134" i="194"/>
  <c r="B135" i="194"/>
  <c r="B136" i="194"/>
  <c r="B137" i="194"/>
  <c r="B138" i="194"/>
  <c r="B139" i="194"/>
  <c r="B140" i="194"/>
  <c r="B141" i="194"/>
  <c r="B142" i="194"/>
  <c r="B143" i="194"/>
  <c r="B144" i="194"/>
  <c r="B145" i="194"/>
  <c r="B146" i="194"/>
  <c r="B147" i="194"/>
  <c r="B148" i="194"/>
  <c r="B149" i="194"/>
  <c r="B150" i="194"/>
  <c r="B151" i="194"/>
  <c r="B152" i="194"/>
  <c r="B153" i="194"/>
  <c r="B154" i="194"/>
  <c r="B155" i="194"/>
  <c r="B156" i="194"/>
  <c r="B157" i="194"/>
  <c r="B158" i="194"/>
  <c r="B159" i="194"/>
  <c r="B160" i="194"/>
  <c r="B161" i="194"/>
  <c r="B162" i="194"/>
  <c r="B163" i="194"/>
  <c r="B164" i="194"/>
  <c r="B165" i="194"/>
  <c r="B166" i="194"/>
  <c r="B167" i="194"/>
  <c r="B168" i="194"/>
  <c r="B169" i="194"/>
  <c r="B170" i="194"/>
  <c r="B171" i="194"/>
  <c r="B172" i="194"/>
  <c r="B173" i="194"/>
  <c r="B174" i="194"/>
  <c r="B5" i="194"/>
  <c r="A1" i="194"/>
  <c r="B10" i="192"/>
  <c r="B11" i="192" s="1"/>
  <c r="B12" i="192" s="1"/>
  <c r="B13" i="192" s="1"/>
  <c r="B14" i="192" s="1"/>
  <c r="B15" i="192" s="1"/>
  <c r="B16" i="192" s="1"/>
  <c r="B17" i="192" s="1"/>
  <c r="B18" i="192" s="1"/>
  <c r="B5" i="192"/>
  <c r="A1" i="192"/>
  <c r="B10" i="190"/>
  <c r="B11" i="190"/>
  <c r="B12" i="190"/>
  <c r="B13" i="190"/>
  <c r="B14" i="190"/>
  <c r="B15" i="190"/>
  <c r="B5" i="190"/>
  <c r="A1" i="190"/>
  <c r="B10" i="189"/>
  <c r="B11" i="189" s="1"/>
  <c r="B12" i="189" s="1"/>
  <c r="B13" i="189" s="1"/>
  <c r="B14" i="189" s="1"/>
  <c r="B15" i="189" s="1"/>
  <c r="B16" i="189" s="1"/>
  <c r="B17" i="189" s="1"/>
  <c r="B5" i="189"/>
  <c r="A1" i="189"/>
  <c r="B10" i="188"/>
  <c r="B11" i="188"/>
  <c r="B12" i="188"/>
  <c r="B13" i="188" s="1"/>
  <c r="B14" i="188" s="1"/>
  <c r="B15" i="188" s="1"/>
  <c r="B5" i="188"/>
  <c r="A1" i="188"/>
  <c r="B10" i="187"/>
  <c r="B11" i="187"/>
  <c r="B12" i="187"/>
  <c r="B13" i="187"/>
  <c r="B14" i="187"/>
  <c r="B15" i="187"/>
  <c r="B5" i="187"/>
  <c r="A1" i="187"/>
  <c r="B10" i="186"/>
  <c r="B11" i="186" s="1"/>
  <c r="B12" i="186" s="1"/>
  <c r="B13" i="186" s="1"/>
  <c r="B14" i="186" s="1"/>
  <c r="B15" i="186" s="1"/>
  <c r="B5" i="186"/>
  <c r="B10" i="185"/>
  <c r="B11" i="185"/>
  <c r="B12" i="185"/>
  <c r="B13" i="185"/>
  <c r="B14" i="185"/>
  <c r="B15" i="185"/>
  <c r="B5" i="185"/>
  <c r="A1" i="185"/>
  <c r="B10" i="184"/>
  <c r="B11" i="184"/>
  <c r="B5" i="184"/>
  <c r="B10" i="183"/>
  <c r="B11" i="183" s="1"/>
  <c r="B12" i="183" s="1"/>
  <c r="B13" i="183" s="1"/>
  <c r="B14" i="183" s="1"/>
  <c r="B15" i="183" s="1"/>
  <c r="B5" i="183"/>
  <c r="B10" i="182"/>
  <c r="B11" i="182" s="1"/>
  <c r="B12" i="182" s="1"/>
  <c r="B13" i="182" s="1"/>
  <c r="B14" i="182" s="1"/>
  <c r="B15" i="182" s="1"/>
  <c r="B5" i="182"/>
  <c r="A1" i="182"/>
  <c r="B10" i="181"/>
  <c r="B11" i="181"/>
  <c r="B12" i="181"/>
  <c r="B13" i="181"/>
  <c r="B14" i="181"/>
  <c r="B15" i="181"/>
  <c r="B5" i="181"/>
  <c r="A1" i="181"/>
  <c r="B10" i="180"/>
  <c r="B11" i="180" s="1"/>
  <c r="B12" i="180" s="1"/>
  <c r="B13" i="180" s="1"/>
  <c r="B14" i="180" s="1"/>
  <c r="B15" i="180" s="1"/>
  <c r="B5" i="180"/>
  <c r="A1" i="180"/>
  <c r="B10" i="179"/>
  <c r="B11" i="179" s="1"/>
  <c r="B12" i="179" s="1"/>
  <c r="B13" i="179" s="1"/>
  <c r="B14" i="179" s="1"/>
  <c r="B15" i="179" s="1"/>
  <c r="B5" i="179"/>
  <c r="B10" i="178"/>
  <c r="B11" i="178"/>
  <c r="B12" i="178" s="1"/>
  <c r="B13" i="178" s="1"/>
  <c r="B14" i="178" s="1"/>
  <c r="B15" i="178" s="1"/>
  <c r="B5" i="178"/>
  <c r="A1" i="178"/>
  <c r="B10" i="176"/>
  <c r="B11" i="176"/>
  <c r="B12" i="176"/>
  <c r="B13" i="176"/>
  <c r="B14" i="176"/>
  <c r="B15" i="176"/>
  <c r="B16" i="176"/>
  <c r="B17" i="176"/>
  <c r="B18" i="176"/>
  <c r="B5" i="176"/>
  <c r="A1" i="176"/>
  <c r="B10" i="175"/>
  <c r="B11" i="175"/>
  <c r="B12" i="175"/>
  <c r="B13" i="175"/>
  <c r="B14" i="175"/>
  <c r="B5" i="175"/>
  <c r="A1" i="175"/>
  <c r="B9" i="174"/>
  <c r="B10" i="174" s="1"/>
  <c r="B11" i="174" s="1"/>
  <c r="B12" i="174" s="1"/>
  <c r="B13" i="174" s="1"/>
  <c r="B14" i="174" s="1"/>
  <c r="B15" i="174" s="1"/>
  <c r="B5" i="174"/>
  <c r="A1" i="174"/>
  <c r="B10" i="200"/>
  <c r="B11" i="200"/>
  <c r="B12" i="200"/>
  <c r="B13" i="200"/>
  <c r="B14" i="200"/>
  <c r="B5" i="200"/>
  <c r="A1" i="245"/>
  <c r="AE4" i="1"/>
  <c r="E4" i="1"/>
  <c r="B12" i="168"/>
  <c r="B13" i="168"/>
  <c r="B14" i="168"/>
  <c r="B15" i="168"/>
  <c r="B16" i="168"/>
  <c r="B17" i="168"/>
  <c r="B18" i="168"/>
  <c r="B19" i="168"/>
  <c r="B20" i="168"/>
  <c r="B21" i="168"/>
  <c r="B22" i="168"/>
  <c r="B23" i="168"/>
  <c r="B24" i="168"/>
  <c r="B25" i="168"/>
  <c r="B26" i="168"/>
  <c r="B27" i="168"/>
  <c r="B28" i="168"/>
  <c r="B29" i="168"/>
  <c r="B30" i="168"/>
  <c r="B31" i="168"/>
  <c r="B32" i="168"/>
  <c r="B33" i="168"/>
  <c r="B34" i="168"/>
  <c r="B35" i="168"/>
  <c r="B36" i="168"/>
  <c r="B37" i="168"/>
  <c r="B38" i="168"/>
  <c r="B39" i="168"/>
  <c r="B40" i="168"/>
  <c r="B41" i="168"/>
  <c r="B42" i="168"/>
  <c r="B43" i="168"/>
  <c r="B44" i="168"/>
  <c r="B45" i="168"/>
  <c r="B46" i="168"/>
  <c r="B47" i="168"/>
  <c r="B48" i="168"/>
  <c r="B49" i="168"/>
  <c r="B50" i="168"/>
  <c r="B51" i="168"/>
  <c r="A1" i="168"/>
  <c r="B10" i="167"/>
  <c r="B11" i="167"/>
  <c r="B12" i="167"/>
  <c r="B13" i="167"/>
  <c r="B14" i="167"/>
  <c r="B15" i="167"/>
  <c r="B16" i="167"/>
  <c r="B17" i="167"/>
  <c r="A1" i="167"/>
  <c r="A1" i="243"/>
  <c r="B5" i="244"/>
  <c r="A1" i="244"/>
  <c r="B11" i="212"/>
  <c r="B12" i="212"/>
  <c r="B13" i="212"/>
  <c r="B14" i="212"/>
  <c r="B15" i="212"/>
  <c r="B16" i="212"/>
  <c r="B17" i="212"/>
  <c r="B18" i="212"/>
  <c r="B19" i="212"/>
  <c r="B20" i="212"/>
  <c r="B21" i="212"/>
  <c r="B22" i="212"/>
  <c r="B23" i="212"/>
  <c r="B24" i="212"/>
  <c r="B25" i="212"/>
  <c r="B26" i="212"/>
  <c r="AE86" i="1"/>
  <c r="E86" i="1"/>
  <c r="AE85" i="1"/>
  <c r="E85" i="1"/>
  <c r="AE83" i="1"/>
  <c r="E83" i="1"/>
  <c r="AE82" i="1"/>
  <c r="AE81" i="1"/>
  <c r="E81" i="1"/>
  <c r="AE80" i="1"/>
  <c r="E80" i="1"/>
  <c r="AE78" i="1"/>
  <c r="E78" i="1"/>
  <c r="AE77" i="1"/>
  <c r="E77" i="1"/>
  <c r="AE76" i="1"/>
  <c r="E76" i="1"/>
  <c r="AE73" i="1"/>
  <c r="E73" i="1"/>
  <c r="AE72" i="1"/>
  <c r="E72" i="1"/>
  <c r="AE57" i="1"/>
  <c r="E57" i="1"/>
  <c r="AE61" i="1"/>
  <c r="E61" i="1"/>
  <c r="AE60" i="1"/>
  <c r="E60" i="1"/>
  <c r="AE63" i="1"/>
  <c r="E63" i="1"/>
  <c r="AE62" i="1"/>
  <c r="E62" i="1"/>
  <c r="AE58" i="1"/>
  <c r="E58" i="1"/>
  <c r="AE74" i="1"/>
  <c r="E74" i="1"/>
  <c r="AE71" i="1"/>
  <c r="E71" i="1"/>
  <c r="AE39" i="1"/>
  <c r="E39" i="1"/>
  <c r="AE37" i="1"/>
  <c r="E37" i="1"/>
  <c r="AE36" i="1"/>
  <c r="E36" i="1"/>
  <c r="AE31" i="1"/>
  <c r="E31" i="1"/>
  <c r="AE30" i="1"/>
  <c r="E30" i="1"/>
  <c r="AE29" i="1"/>
  <c r="E29" i="1"/>
  <c r="AE28" i="1"/>
  <c r="E28" i="1"/>
  <c r="AE34" i="1"/>
  <c r="E34" i="1"/>
  <c r="Z21" i="168"/>
  <c r="Y21" i="168"/>
  <c r="X21" i="168"/>
  <c r="W21" i="168"/>
  <c r="Z19" i="168"/>
  <c r="Y19" i="168"/>
  <c r="X19" i="168"/>
  <c r="W19" i="168"/>
  <c r="Z18" i="168"/>
  <c r="Y18" i="168"/>
  <c r="X18" i="168"/>
  <c r="W18" i="168"/>
  <c r="Z16" i="168"/>
  <c r="Y16" i="168"/>
  <c r="X16" i="168"/>
  <c r="W16" i="168"/>
  <c r="AB271" i="200"/>
  <c r="AB270" i="200"/>
  <c r="AB269" i="200"/>
  <c r="AB268" i="200"/>
  <c r="AB267" i="200"/>
  <c r="AB266" i="200"/>
  <c r="AB265" i="200"/>
  <c r="AB264" i="200"/>
  <c r="AB263" i="200"/>
  <c r="AB262" i="200"/>
  <c r="AB261" i="200"/>
  <c r="AB260" i="200"/>
  <c r="AB259" i="200"/>
  <c r="AB258" i="200"/>
  <c r="AB257" i="200"/>
  <c r="AB256" i="200"/>
  <c r="AB255" i="200"/>
  <c r="AB254" i="200"/>
  <c r="AB253" i="200"/>
  <c r="AB252" i="200"/>
  <c r="AB251" i="200"/>
  <c r="AB250" i="200"/>
  <c r="AB249" i="200"/>
  <c r="AB248" i="200"/>
  <c r="AB247" i="200"/>
  <c r="AB246" i="200"/>
  <c r="AB245" i="200"/>
  <c r="AB244" i="200"/>
  <c r="AB243" i="200"/>
  <c r="AB242" i="200"/>
  <c r="AB241" i="200"/>
  <c r="AB240" i="200"/>
  <c r="AB239" i="200"/>
  <c r="AB238" i="200"/>
  <c r="AB237" i="200"/>
  <c r="AB236" i="200"/>
  <c r="AB235" i="200"/>
  <c r="AB234" i="200"/>
  <c r="AB233" i="200"/>
  <c r="AB232" i="200"/>
  <c r="AB231" i="200"/>
  <c r="AB230" i="200"/>
  <c r="AB229" i="200"/>
  <c r="AB228" i="200"/>
  <c r="AB227" i="200"/>
  <c r="AB226" i="200"/>
  <c r="AB225" i="200"/>
  <c r="AB224" i="200"/>
  <c r="AB223" i="200"/>
  <c r="AB222" i="200"/>
  <c r="AB221" i="200"/>
  <c r="AB220" i="200"/>
  <c r="AB219" i="200"/>
  <c r="AB218" i="200"/>
  <c r="AB217" i="200"/>
  <c r="AB216" i="200"/>
  <c r="AB215" i="200"/>
  <c r="AB214" i="200"/>
  <c r="AB213" i="200"/>
  <c r="AB212" i="200"/>
  <c r="AB211" i="200"/>
  <c r="AB210" i="200"/>
  <c r="AB209" i="200"/>
  <c r="AB208" i="200"/>
  <c r="AB207" i="200"/>
  <c r="AB206" i="200"/>
  <c r="AB205" i="200"/>
  <c r="AB204" i="200"/>
  <c r="AB203" i="200"/>
  <c r="AB202" i="200"/>
  <c r="AB201" i="200"/>
  <c r="AB200" i="200"/>
  <c r="AB199" i="200"/>
  <c r="AB198" i="200"/>
  <c r="AB197" i="200"/>
  <c r="AB196" i="200"/>
  <c r="AB195" i="200"/>
  <c r="AB194" i="200"/>
  <c r="AB193" i="200"/>
  <c r="AB192" i="200"/>
  <c r="AB191" i="200"/>
  <c r="AB190" i="200"/>
  <c r="AB189" i="200"/>
  <c r="AB188" i="200"/>
  <c r="AB187" i="200"/>
  <c r="AB186" i="200"/>
  <c r="AB185" i="200"/>
  <c r="AB184" i="200"/>
  <c r="AB183" i="200"/>
  <c r="AB182" i="200"/>
  <c r="AB181" i="200"/>
  <c r="AB180" i="200"/>
  <c r="AB179" i="200"/>
  <c r="AB178" i="200"/>
  <c r="AB177" i="200"/>
  <c r="AB176" i="200"/>
  <c r="AB175" i="200"/>
  <c r="AB174" i="200"/>
  <c r="AB173" i="200"/>
  <c r="AB172" i="200"/>
  <c r="AB171" i="200"/>
  <c r="AB170" i="200"/>
  <c r="AB169" i="200"/>
  <c r="AB168" i="200"/>
  <c r="AB167" i="200"/>
  <c r="AB166" i="200"/>
  <c r="AB165" i="200"/>
  <c r="AB164" i="200"/>
  <c r="AB163" i="200"/>
  <c r="AB162" i="200"/>
  <c r="AB161" i="200"/>
  <c r="AB160" i="200"/>
  <c r="AB159" i="200"/>
  <c r="AB158" i="200"/>
  <c r="AB157" i="200"/>
  <c r="AB156" i="200"/>
  <c r="AB155" i="200"/>
  <c r="AB154" i="200"/>
  <c r="AB153" i="200"/>
  <c r="AB152" i="200"/>
  <c r="AB151" i="200"/>
  <c r="AB150" i="200"/>
  <c r="AB149" i="200"/>
  <c r="AB148" i="200"/>
  <c r="AB147" i="200"/>
  <c r="AB146" i="200"/>
  <c r="AB145" i="200"/>
  <c r="AB144" i="200"/>
  <c r="AB143" i="200"/>
  <c r="AB142" i="200"/>
  <c r="AB141" i="200"/>
  <c r="AB140" i="200"/>
  <c r="AB139" i="200"/>
  <c r="AB138" i="200"/>
  <c r="AB137" i="200"/>
  <c r="AB136" i="200"/>
  <c r="AB135" i="200"/>
  <c r="AB134" i="200"/>
  <c r="AB133" i="200"/>
  <c r="AB132" i="200"/>
  <c r="AB131" i="200"/>
  <c r="AB130" i="200"/>
  <c r="AB129" i="200"/>
  <c r="AB128" i="200"/>
  <c r="AB127" i="200"/>
  <c r="AB126" i="200"/>
  <c r="AB125" i="200"/>
  <c r="AB124" i="200"/>
  <c r="AB123" i="200"/>
  <c r="AB122" i="200"/>
  <c r="AB121" i="200"/>
  <c r="AB120" i="200"/>
  <c r="AB119" i="200"/>
  <c r="AB118" i="200"/>
  <c r="AB117" i="200"/>
  <c r="AB116" i="200"/>
  <c r="AB115" i="200"/>
  <c r="AB114" i="200"/>
  <c r="AB113" i="200"/>
  <c r="AB112" i="200"/>
  <c r="AB111" i="200"/>
  <c r="AB110" i="200"/>
  <c r="AB109" i="200"/>
  <c r="AB108" i="200"/>
  <c r="AB107" i="200"/>
  <c r="AB106" i="200"/>
  <c r="AB105" i="200"/>
  <c r="AB104" i="200"/>
  <c r="AB103" i="200"/>
  <c r="AB102" i="200"/>
  <c r="AB101" i="200"/>
  <c r="AB100" i="200"/>
  <c r="AB99" i="200"/>
  <c r="AB98" i="200"/>
  <c r="AB97" i="200"/>
  <c r="AB96" i="200"/>
  <c r="AB95" i="200"/>
  <c r="AB94" i="200"/>
  <c r="AB93" i="200"/>
  <c r="AB92" i="200"/>
  <c r="AB91" i="200"/>
  <c r="AB90" i="200"/>
  <c r="AB89" i="200"/>
  <c r="AB88" i="200"/>
  <c r="AB87" i="200"/>
  <c r="AB86" i="200"/>
  <c r="AB85" i="200"/>
  <c r="AB84" i="200"/>
  <c r="AB83" i="200"/>
  <c r="AB82" i="200"/>
  <c r="AB81" i="200"/>
  <c r="AB80" i="200"/>
  <c r="AB79" i="200"/>
  <c r="AB78" i="200"/>
  <c r="AB77" i="200"/>
  <c r="AB76" i="200"/>
  <c r="AB75" i="200"/>
  <c r="AB74" i="200"/>
  <c r="AB73" i="200"/>
  <c r="AB72" i="200"/>
  <c r="AB71" i="200"/>
  <c r="AB70" i="200"/>
  <c r="AB69" i="200"/>
  <c r="AB68" i="200"/>
  <c r="AB67" i="200"/>
  <c r="AB66" i="200"/>
  <c r="AB65" i="200"/>
  <c r="AB64" i="200"/>
  <c r="AB63" i="200"/>
  <c r="AB62" i="200"/>
  <c r="AB61" i="200"/>
  <c r="AB60" i="200"/>
  <c r="AB59" i="200"/>
  <c r="AB58" i="200"/>
  <c r="AB57" i="200"/>
  <c r="AB56" i="200"/>
  <c r="AB55" i="200"/>
  <c r="AB54" i="200"/>
  <c r="AB53" i="200"/>
  <c r="AB52" i="200"/>
  <c r="AB51" i="200"/>
  <c r="AB50" i="200"/>
  <c r="AB49" i="200"/>
  <c r="AB48" i="200"/>
  <c r="AB47" i="200"/>
  <c r="AB46" i="200"/>
  <c r="AB45" i="200"/>
  <c r="AB44" i="200"/>
  <c r="AB43" i="200"/>
  <c r="AB42" i="200"/>
  <c r="AB41" i="200"/>
  <c r="AB40" i="200"/>
  <c r="AB39" i="200"/>
  <c r="AB38" i="200"/>
  <c r="AB37" i="200"/>
  <c r="AB36" i="200"/>
  <c r="AB35" i="200"/>
  <c r="AB34" i="200"/>
  <c r="AB33" i="200"/>
  <c r="AB32" i="200"/>
  <c r="AB31" i="200"/>
  <c r="AB30" i="200"/>
  <c r="AB29" i="200"/>
  <c r="AB28" i="200"/>
  <c r="AB27" i="200"/>
  <c r="AB26" i="200"/>
  <c r="AB25" i="200"/>
  <c r="AB24" i="200"/>
  <c r="AB23" i="200"/>
  <c r="AB22" i="200"/>
  <c r="AB21" i="200"/>
  <c r="AB20" i="200"/>
  <c r="AB19" i="200"/>
  <c r="AB18" i="200"/>
  <c r="AB17" i="200"/>
  <c r="AB16" i="200"/>
  <c r="AB15" i="200"/>
  <c r="AB14" i="200"/>
  <c r="AB13" i="200"/>
  <c r="AB12" i="200"/>
  <c r="AB11" i="200"/>
  <c r="AB10" i="200"/>
  <c r="AB9" i="200"/>
  <c r="AE8" i="1"/>
  <c r="E8" i="1"/>
  <c r="AE6" i="1"/>
  <c r="E6" i="1"/>
  <c r="AE5" i="1"/>
  <c r="E5" i="1"/>
  <c r="AE3" i="1"/>
  <c r="E3" i="1"/>
  <c r="AE2" i="1"/>
  <c r="E2" i="1"/>
  <c r="AE302" i="1"/>
  <c r="AE301" i="1"/>
  <c r="AE300" i="1"/>
  <c r="AE299" i="1"/>
  <c r="AE298" i="1"/>
  <c r="AE297" i="1"/>
  <c r="AE296" i="1"/>
  <c r="AE295" i="1"/>
  <c r="AE294" i="1"/>
  <c r="AE293" i="1"/>
  <c r="AE292" i="1"/>
  <c r="AE291" i="1"/>
  <c r="AE290" i="1"/>
  <c r="AE289" i="1"/>
  <c r="AE288" i="1"/>
  <c r="AE287" i="1"/>
  <c r="AE286" i="1"/>
  <c r="AE285" i="1"/>
  <c r="AE284" i="1"/>
  <c r="AE283" i="1"/>
  <c r="AE282" i="1"/>
  <c r="AE281" i="1"/>
  <c r="AE280" i="1"/>
  <c r="AE279" i="1"/>
  <c r="AE278" i="1"/>
  <c r="AE277" i="1"/>
  <c r="AE276" i="1"/>
  <c r="AE275" i="1"/>
  <c r="AE274" i="1"/>
  <c r="AE273" i="1"/>
  <c r="AE272" i="1"/>
  <c r="AE271" i="1"/>
  <c r="AE270" i="1"/>
  <c r="AE269" i="1"/>
  <c r="AE268" i="1"/>
  <c r="AE267" i="1"/>
  <c r="AE266" i="1"/>
  <c r="AE265" i="1"/>
  <c r="AE264" i="1"/>
  <c r="AE263" i="1"/>
  <c r="AE262" i="1"/>
  <c r="AE261" i="1"/>
  <c r="AE260" i="1"/>
  <c r="AE259" i="1"/>
  <c r="AE258" i="1"/>
  <c r="AE257" i="1"/>
  <c r="AE256" i="1"/>
  <c r="AE255" i="1"/>
  <c r="AE254" i="1"/>
  <c r="AE253" i="1"/>
  <c r="AE252" i="1"/>
  <c r="AE251" i="1"/>
  <c r="AE250" i="1"/>
  <c r="AE249" i="1"/>
  <c r="AE248" i="1"/>
  <c r="AE247" i="1"/>
  <c r="AE246" i="1"/>
  <c r="AE245" i="1"/>
  <c r="AE244" i="1"/>
  <c r="AE243" i="1"/>
  <c r="AE242" i="1"/>
  <c r="AE241" i="1"/>
  <c r="AE240" i="1"/>
  <c r="AE239" i="1"/>
  <c r="AE238" i="1"/>
  <c r="AE237" i="1"/>
  <c r="AE236" i="1"/>
  <c r="AE235" i="1"/>
  <c r="AE234" i="1"/>
  <c r="AE233" i="1"/>
  <c r="AE232" i="1"/>
  <c r="AE231" i="1"/>
  <c r="AE230" i="1"/>
  <c r="AE229" i="1"/>
  <c r="AE228" i="1"/>
  <c r="AE227" i="1"/>
  <c r="AE226" i="1"/>
  <c r="AE225" i="1"/>
  <c r="AE224" i="1"/>
  <c r="AE223" i="1"/>
  <c r="AE222" i="1"/>
  <c r="AE221" i="1"/>
  <c r="AE220" i="1"/>
  <c r="AE219" i="1"/>
  <c r="AE218" i="1"/>
  <c r="AE217" i="1"/>
  <c r="AE216" i="1"/>
  <c r="AE215" i="1"/>
  <c r="AE214" i="1"/>
  <c r="AE213" i="1"/>
  <c r="AE212" i="1"/>
  <c r="AE211" i="1"/>
  <c r="AE210" i="1"/>
  <c r="AE209" i="1"/>
  <c r="AE208" i="1"/>
  <c r="AE207" i="1"/>
  <c r="AE206" i="1"/>
  <c r="AE205" i="1"/>
  <c r="AE204" i="1"/>
  <c r="AE203" i="1"/>
  <c r="AE202" i="1"/>
  <c r="AE201" i="1"/>
  <c r="AE200" i="1"/>
  <c r="AE199" i="1"/>
  <c r="AE198" i="1"/>
  <c r="AE197" i="1"/>
  <c r="AE196" i="1"/>
  <c r="AE195" i="1"/>
  <c r="AE194" i="1"/>
  <c r="AE193" i="1"/>
  <c r="AE192" i="1"/>
  <c r="AE191" i="1"/>
  <c r="AE190" i="1"/>
  <c r="AE189" i="1"/>
  <c r="AE188" i="1"/>
  <c r="AE187" i="1"/>
  <c r="AE186" i="1"/>
  <c r="AE185" i="1"/>
  <c r="AE184" i="1"/>
  <c r="AE183" i="1"/>
  <c r="AE182" i="1"/>
  <c r="AE181" i="1"/>
  <c r="AE180" i="1"/>
  <c r="AE179" i="1"/>
  <c r="AE178" i="1"/>
  <c r="AE177" i="1"/>
  <c r="AE176" i="1"/>
  <c r="AE175" i="1"/>
  <c r="AE174" i="1"/>
  <c r="AE173" i="1"/>
  <c r="AE172" i="1"/>
  <c r="AE171" i="1"/>
  <c r="AE170" i="1"/>
  <c r="AE169" i="1"/>
  <c r="AE168" i="1"/>
  <c r="AE167" i="1"/>
  <c r="AE166" i="1"/>
  <c r="AE165" i="1"/>
  <c r="AE164" i="1"/>
  <c r="AE163" i="1"/>
  <c r="AE162" i="1"/>
  <c r="AE161" i="1"/>
  <c r="AE160" i="1"/>
  <c r="AE159" i="1"/>
  <c r="AE158" i="1"/>
  <c r="AE157" i="1"/>
  <c r="AE156" i="1"/>
  <c r="AE155" i="1"/>
  <c r="AE154" i="1"/>
  <c r="AE153" i="1"/>
  <c r="AE152" i="1"/>
  <c r="AE151" i="1"/>
  <c r="AE150" i="1"/>
  <c r="AE149" i="1"/>
  <c r="AE148" i="1"/>
  <c r="AE147" i="1"/>
  <c r="AE146" i="1"/>
  <c r="AE145" i="1"/>
  <c r="AE144" i="1"/>
  <c r="AE143" i="1"/>
  <c r="AE142" i="1"/>
  <c r="AE141" i="1"/>
  <c r="AE140" i="1"/>
  <c r="AE139" i="1"/>
  <c r="AE138" i="1"/>
  <c r="AE137" i="1"/>
  <c r="AE136" i="1"/>
  <c r="AE135" i="1"/>
  <c r="AE134" i="1"/>
  <c r="AE133" i="1"/>
  <c r="AE132" i="1"/>
  <c r="AE131" i="1"/>
  <c r="AE130" i="1"/>
  <c r="AE129" i="1"/>
  <c r="AE128" i="1"/>
  <c r="AE127" i="1"/>
  <c r="AE126" i="1"/>
  <c r="AE125" i="1"/>
  <c r="AE124" i="1"/>
  <c r="AE123" i="1"/>
  <c r="AE122" i="1"/>
  <c r="AE121" i="1"/>
  <c r="AE120" i="1"/>
  <c r="AE119" i="1"/>
  <c r="AE118" i="1"/>
  <c r="AE117" i="1"/>
  <c r="AE116" i="1"/>
  <c r="AE115" i="1"/>
  <c r="AE45" i="1"/>
  <c r="AE44" i="1"/>
  <c r="AE43" i="1"/>
  <c r="AE42" i="1"/>
  <c r="AE41" i="1"/>
  <c r="AE59" i="1"/>
  <c r="AE40" i="1"/>
  <c r="AE38" i="1"/>
  <c r="AE35" i="1"/>
  <c r="AE32" i="1"/>
  <c r="AE26" i="1"/>
  <c r="AE25" i="1"/>
  <c r="AE24" i="1"/>
  <c r="AE23" i="1"/>
  <c r="AE22" i="1"/>
  <c r="AE21" i="1"/>
  <c r="AE20" i="1"/>
  <c r="AE19" i="1"/>
  <c r="AE18" i="1"/>
  <c r="AE17" i="1"/>
  <c r="AE16" i="1"/>
  <c r="AE15" i="1"/>
  <c r="AE14" i="1"/>
  <c r="AE13" i="1"/>
  <c r="AE12" i="1"/>
  <c r="AE11" i="1"/>
  <c r="AE10" i="1"/>
  <c r="AE9" i="1"/>
  <c r="AE1" i="1"/>
  <c r="AE299" i="33"/>
  <c r="AE298" i="33"/>
  <c r="AE297" i="33"/>
  <c r="AE296" i="33"/>
  <c r="AE295" i="33"/>
  <c r="AE294" i="33"/>
  <c r="AE293" i="33"/>
  <c r="AE292" i="33"/>
  <c r="AE291" i="33"/>
  <c r="AE290" i="33"/>
  <c r="AE289" i="33"/>
  <c r="AE288" i="33"/>
  <c r="AE287" i="33"/>
  <c r="AE286" i="33"/>
  <c r="AE285" i="33"/>
  <c r="AE284" i="33"/>
  <c r="AE283" i="33"/>
  <c r="AE282" i="33"/>
  <c r="AE281" i="33"/>
  <c r="AE280" i="33"/>
  <c r="AE279" i="33"/>
  <c r="AE278" i="33"/>
  <c r="AE277" i="33"/>
  <c r="AE276" i="33"/>
  <c r="AE275" i="33"/>
  <c r="AE274" i="33"/>
  <c r="AE273" i="33"/>
  <c r="AE272" i="33"/>
  <c r="AE271" i="33"/>
  <c r="AE270" i="33"/>
  <c r="AE269" i="33"/>
  <c r="AE268" i="33"/>
  <c r="AE267" i="33"/>
  <c r="AE266" i="33"/>
  <c r="AE265" i="33"/>
  <c r="AE264" i="33"/>
  <c r="AE263" i="33"/>
  <c r="AE262" i="33"/>
  <c r="AE261" i="33"/>
  <c r="AE260" i="33"/>
  <c r="AE259" i="33"/>
  <c r="AE258" i="33"/>
  <c r="AE257" i="33"/>
  <c r="AE256" i="33"/>
  <c r="AE255" i="33"/>
  <c r="AE254" i="33"/>
  <c r="AE253" i="33"/>
  <c r="AE252" i="33"/>
  <c r="AE251" i="33"/>
  <c r="AE250" i="33"/>
  <c r="AE249" i="33"/>
  <c r="AE248" i="33"/>
  <c r="AE247" i="33"/>
  <c r="AE246" i="33"/>
  <c r="AE245" i="33"/>
  <c r="AE244" i="33"/>
  <c r="AE243" i="33"/>
  <c r="AE242" i="33"/>
  <c r="AE241" i="33"/>
  <c r="AE240" i="33"/>
  <c r="AE239" i="33"/>
  <c r="AE238" i="33"/>
  <c r="AE237" i="33"/>
  <c r="AE236" i="33"/>
  <c r="AE235" i="33"/>
  <c r="AE234" i="33"/>
  <c r="AE233" i="33"/>
  <c r="AE232" i="33"/>
  <c r="AE231" i="33"/>
  <c r="AE230" i="33"/>
  <c r="AE229" i="33"/>
  <c r="AE228" i="33"/>
  <c r="AE227" i="33"/>
  <c r="AE226" i="33"/>
  <c r="AE225" i="33"/>
  <c r="AE224" i="33"/>
  <c r="AE223" i="33"/>
  <c r="AE222" i="33"/>
  <c r="AE221" i="33"/>
  <c r="AE220" i="33"/>
  <c r="AE219" i="33"/>
  <c r="AE218" i="33"/>
  <c r="AE217" i="33"/>
  <c r="AE216" i="33"/>
  <c r="AE215" i="33"/>
  <c r="AE214" i="33"/>
  <c r="AE213" i="33"/>
  <c r="AE212" i="33"/>
  <c r="AE211" i="33"/>
  <c r="AE210" i="33"/>
  <c r="AE209" i="33"/>
  <c r="AE208" i="33"/>
  <c r="AE207" i="33"/>
  <c r="AE206" i="33"/>
  <c r="AE205" i="33"/>
  <c r="AE204" i="33"/>
  <c r="AE203" i="33"/>
  <c r="AE202" i="33"/>
  <c r="AE201" i="33"/>
  <c r="AE200" i="33"/>
  <c r="AE199" i="33"/>
  <c r="AE198" i="33"/>
  <c r="AE197" i="33"/>
  <c r="AE196" i="33"/>
  <c r="AE195" i="33"/>
  <c r="AE194" i="33"/>
  <c r="AE193" i="33"/>
  <c r="AE192" i="33"/>
  <c r="AE191" i="33"/>
  <c r="AE190" i="33"/>
  <c r="AE189" i="33"/>
  <c r="AE188" i="33"/>
  <c r="AE187" i="33"/>
  <c r="AE186" i="33"/>
  <c r="AE185" i="33"/>
  <c r="AE184" i="33"/>
  <c r="AE183" i="33"/>
  <c r="AE182" i="33"/>
  <c r="AE181" i="33"/>
  <c r="AE180" i="33"/>
  <c r="AE179" i="33"/>
  <c r="AE178" i="33"/>
  <c r="AE177" i="33"/>
  <c r="AE176" i="33"/>
  <c r="AE175" i="33"/>
  <c r="AE174" i="33"/>
  <c r="AE173" i="33"/>
  <c r="AE172" i="33"/>
  <c r="AE171" i="33"/>
  <c r="AE170" i="33"/>
  <c r="AE169" i="33"/>
  <c r="AE168" i="33"/>
  <c r="AE167" i="33"/>
  <c r="AE166" i="33"/>
  <c r="AE165" i="33"/>
  <c r="AE164" i="33"/>
  <c r="AE163" i="33"/>
  <c r="AE162" i="33"/>
  <c r="AE161" i="33"/>
  <c r="AE160" i="33"/>
  <c r="AE159" i="33"/>
  <c r="AE158" i="33"/>
  <c r="AE157" i="33"/>
  <c r="AE156" i="33"/>
  <c r="AE155" i="33"/>
  <c r="AE154" i="33"/>
  <c r="AE153" i="33"/>
  <c r="AE152" i="33"/>
  <c r="AE151" i="33"/>
  <c r="AE150" i="33"/>
  <c r="AE149" i="33"/>
  <c r="AE148" i="33"/>
  <c r="AE147" i="33"/>
  <c r="AE146" i="33"/>
  <c r="AE145" i="33"/>
  <c r="AE144" i="33"/>
  <c r="AE143" i="33"/>
  <c r="AE142" i="33"/>
  <c r="AE141" i="33"/>
  <c r="AE140" i="33"/>
  <c r="AE139" i="33"/>
  <c r="AE138" i="33"/>
  <c r="AE137" i="33"/>
  <c r="AE136" i="33"/>
  <c r="AE135" i="33"/>
  <c r="AE134" i="33"/>
  <c r="AE133" i="33"/>
  <c r="AE132" i="33"/>
  <c r="AE131" i="33"/>
  <c r="AE130" i="33"/>
  <c r="AE129" i="33"/>
  <c r="AE128" i="33"/>
  <c r="AE127" i="33"/>
  <c r="AE126" i="33"/>
  <c r="AE125" i="33"/>
  <c r="AE124" i="33"/>
  <c r="AE123" i="33"/>
  <c r="AE122" i="33"/>
  <c r="AE121" i="33"/>
  <c r="AE120" i="33"/>
  <c r="AE119" i="33"/>
  <c r="AE118" i="33"/>
  <c r="AE117" i="33"/>
  <c r="AE116" i="33"/>
  <c r="AE115" i="33"/>
  <c r="AE114" i="33"/>
  <c r="AE113" i="33"/>
  <c r="AE112" i="33"/>
  <c r="AE111" i="33"/>
  <c r="AE110" i="33"/>
  <c r="AE109" i="33"/>
  <c r="AE108" i="33"/>
  <c r="AE107" i="33"/>
  <c r="AE106" i="33"/>
  <c r="AE105" i="33"/>
  <c r="AE104" i="33"/>
  <c r="AE103" i="33"/>
  <c r="AE102" i="33"/>
  <c r="AE101" i="33"/>
  <c r="AE100" i="33"/>
  <c r="AE99" i="33"/>
  <c r="AE98" i="33"/>
  <c r="AE97" i="33"/>
  <c r="AE96" i="33"/>
  <c r="AE95" i="33"/>
  <c r="AE94" i="33"/>
  <c r="AE93" i="33"/>
  <c r="AE92" i="33"/>
  <c r="AE91" i="33"/>
  <c r="AE90" i="33"/>
  <c r="AE89" i="33"/>
  <c r="AE88" i="33"/>
  <c r="AE87" i="33"/>
  <c r="AE86" i="33"/>
  <c r="AE85" i="33"/>
  <c r="AE84" i="33"/>
  <c r="AE83" i="33"/>
  <c r="AE82" i="33"/>
  <c r="AE81" i="33"/>
  <c r="AE80" i="33"/>
  <c r="AE79" i="33"/>
  <c r="AE78" i="33"/>
  <c r="AE77" i="33"/>
  <c r="AE76" i="33"/>
  <c r="AE75" i="33"/>
  <c r="AE74" i="33"/>
  <c r="AE73" i="33"/>
  <c r="AE72" i="33"/>
  <c r="AE71" i="33"/>
  <c r="AE70" i="33"/>
  <c r="AE69" i="33"/>
  <c r="AE68" i="33"/>
  <c r="AE67" i="33"/>
  <c r="AE66" i="33"/>
  <c r="AE65" i="33"/>
  <c r="AE64" i="33"/>
  <c r="AE63" i="33"/>
  <c r="AE62" i="33"/>
  <c r="AE61" i="33"/>
  <c r="AE60" i="33"/>
  <c r="AE59" i="33"/>
  <c r="AE58" i="33"/>
  <c r="AE57" i="33"/>
  <c r="AE56" i="33"/>
  <c r="AE55" i="33"/>
  <c r="AE54" i="33"/>
  <c r="AE53" i="33"/>
  <c r="AE52" i="33"/>
  <c r="AE51" i="33"/>
  <c r="AE50" i="33"/>
  <c r="AE49" i="33"/>
  <c r="AE48" i="33"/>
  <c r="AE47" i="33"/>
  <c r="AE46" i="33"/>
  <c r="AE45" i="33"/>
  <c r="AE44" i="33"/>
  <c r="AE43" i="33"/>
  <c r="AE42" i="33"/>
  <c r="AE41" i="33"/>
  <c r="AE40" i="33"/>
  <c r="AE39" i="33"/>
  <c r="AE38" i="33"/>
  <c r="AE37" i="33"/>
  <c r="AE36" i="33"/>
  <c r="AE35" i="33"/>
  <c r="AE34" i="33"/>
  <c r="AE33" i="33"/>
  <c r="AE32" i="33"/>
  <c r="AE31" i="33"/>
  <c r="AE30" i="33"/>
  <c r="AE29" i="33"/>
  <c r="AE28" i="33"/>
  <c r="AE27" i="33"/>
  <c r="AE26" i="33"/>
  <c r="AE25" i="33"/>
  <c r="AE24" i="33"/>
  <c r="AE23" i="33"/>
  <c r="AE22" i="33"/>
  <c r="AE21" i="33"/>
  <c r="AE20" i="33"/>
  <c r="AE19" i="33"/>
  <c r="AE18" i="33"/>
  <c r="AE17" i="33"/>
  <c r="AE16" i="33"/>
  <c r="AE15" i="33"/>
  <c r="AE14" i="33"/>
  <c r="AE13" i="33"/>
  <c r="AE12" i="33"/>
  <c r="AE11" i="33"/>
  <c r="AE10" i="33"/>
  <c r="AE9" i="33"/>
  <c r="AE8" i="33"/>
  <c r="AE7" i="33"/>
  <c r="AE6" i="33"/>
  <c r="AE5" i="33"/>
  <c r="AE4" i="33"/>
  <c r="AE3" i="33"/>
  <c r="AE2" i="33"/>
  <c r="AE1" i="33"/>
  <c r="E9" i="1"/>
  <c r="E10" i="1"/>
  <c r="E11" i="1"/>
  <c r="E12" i="1"/>
  <c r="E13" i="1"/>
  <c r="E14" i="1"/>
  <c r="E15" i="1"/>
  <c r="E16" i="1"/>
  <c r="E17" i="1"/>
  <c r="E18" i="1"/>
  <c r="E19" i="1"/>
  <c r="E20" i="1"/>
  <c r="E21" i="1"/>
  <c r="E22" i="1"/>
  <c r="E23" i="1"/>
  <c r="E24" i="1"/>
  <c r="E25" i="1"/>
  <c r="E26" i="1"/>
  <c r="E32" i="1"/>
  <c r="E35" i="1"/>
  <c r="E38" i="1"/>
  <c r="E40" i="1"/>
  <c r="E59" i="1"/>
  <c r="E41" i="1"/>
  <c r="E42" i="1"/>
  <c r="E43" i="1"/>
  <c r="E44" i="1"/>
  <c r="E45" i="1"/>
  <c r="B6" i="196"/>
  <c r="B6" i="202"/>
  <c r="B7" i="202"/>
  <c r="B6" i="204"/>
  <c r="B7" i="204"/>
  <c r="B15" i="184"/>
  <c r="B16" i="184"/>
  <c r="B17" i="184"/>
  <c r="B18" i="184"/>
  <c r="B19" i="184"/>
  <c r="B12" i="184"/>
  <c r="B13" i="184"/>
  <c r="B14" i="184"/>
  <c r="B20" i="224"/>
  <c r="B21" i="224"/>
  <c r="B22" i="224"/>
  <c r="B23" i="224"/>
  <c r="B24" i="224"/>
  <c r="B17" i="285"/>
  <c r="B18" i="285"/>
  <c r="B19" i="285"/>
  <c r="B20" i="285"/>
  <c r="B21" i="285"/>
  <c r="B15" i="175"/>
  <c r="B16" i="175"/>
  <c r="B17" i="175"/>
  <c r="B18" i="175"/>
  <c r="B19" i="175"/>
  <c r="B29" i="204"/>
  <c r="B30" i="204" s="1"/>
  <c r="B31" i="204" s="1"/>
  <c r="B32" i="204" s="1"/>
  <c r="B33" i="204" s="1"/>
  <c r="B34" i="204" s="1"/>
  <c r="B35" i="204" s="1"/>
  <c r="B36" i="204" s="1"/>
  <c r="B37" i="204" s="1"/>
  <c r="B38" i="204" s="1"/>
  <c r="B39" i="204" s="1"/>
</calcChain>
</file>

<file path=xl/sharedStrings.xml><?xml version="1.0" encoding="utf-8"?>
<sst xmlns="http://schemas.openxmlformats.org/spreadsheetml/2006/main" count="10744" uniqueCount="2483">
  <si>
    <t>異動履歷</t>
    <phoneticPr fontId="11" type="noConversion"/>
  </si>
  <si>
    <t>版本</t>
    <phoneticPr fontId="11" type="noConversion"/>
  </si>
  <si>
    <t>異動日期</t>
    <phoneticPr fontId="11" type="noConversion"/>
  </si>
  <si>
    <t>異動內容</t>
    <phoneticPr fontId="11" type="noConversion"/>
  </si>
  <si>
    <t>異動者</t>
    <phoneticPr fontId="11" type="noConversion"/>
  </si>
  <si>
    <t>v2.13.0</t>
    <phoneticPr fontId="5" type="noConversion"/>
  </si>
  <si>
    <t>增加出差單和預先加班API</t>
    <phoneticPr fontId="5" type="noConversion"/>
  </si>
  <si>
    <t>王松培</t>
    <phoneticPr fontId="5" type="noConversion"/>
  </si>
  <si>
    <t>v2.15.0</t>
    <phoneticPr fontId="5" type="noConversion"/>
  </si>
  <si>
    <t>代碼 (code)</t>
    <phoneticPr fontId="7" type="noConversion"/>
  </si>
  <si>
    <t>說明</t>
    <phoneticPr fontId="5" type="noConversion"/>
  </si>
  <si>
    <t>備註</t>
    <phoneticPr fontId="5" type="noConversion"/>
  </si>
  <si>
    <t>成功, 並回傳欄位 data []</t>
    <phoneticPr fontId="5" type="noConversion"/>
  </si>
  <si>
    <t>認證失敗 (請更新 accessToken 再試一次)</t>
    <phoneticPr fontId="5" type="noConversion"/>
  </si>
  <si>
    <t>1.無正確登入
2. accessToken過期</t>
    <phoneticPr fontId="5" type="noConversion"/>
  </si>
  <si>
    <t>權限不足</t>
    <phoneticPr fontId="5" type="noConversion"/>
  </si>
  <si>
    <t>1.無此API權限
2.無此公司權限</t>
    <phoneticPr fontId="5" type="noConversion"/>
  </si>
  <si>
    <t>參數錯誤 (請檢查 parameters 或 request body 的欄位、格式是否完整及正確)</t>
    <phoneticPr fontId="5" type="noConversion"/>
  </si>
  <si>
    <t>邏輯錯誤</t>
    <phoneticPr fontId="5" type="noConversion"/>
  </si>
  <si>
    <t>回傳失敗原因: ex: 假勤資料重複</t>
    <phoneticPr fontId="5" type="noConversion"/>
  </si>
  <si>
    <t>DB錯誤</t>
    <phoneticPr fontId="5" type="noConversion"/>
  </si>
  <si>
    <t>無預期DB錯誤</t>
    <phoneticPr fontId="5" type="noConversion"/>
  </si>
  <si>
    <t>系統異常</t>
    <phoneticPr fontId="5" type="noConversion"/>
  </si>
  <si>
    <t>無預期錯誤</t>
    <phoneticPr fontId="5" type="noConversion"/>
  </si>
  <si>
    <t>項次</t>
    <phoneticPr fontId="5" type="noConversion"/>
  </si>
  <si>
    <t>模組代號</t>
    <phoneticPr fontId="5" type="noConversion"/>
  </si>
  <si>
    <t>類型</t>
    <phoneticPr fontId="5" type="noConversion"/>
  </si>
  <si>
    <t>頁面</t>
    <phoneticPr fontId="5" type="noConversion"/>
  </si>
  <si>
    <t>Link</t>
    <phoneticPr fontId="5" type="noConversion"/>
  </si>
  <si>
    <t>TABLE/FILE NAME</t>
    <phoneticPr fontId="5" type="noConversion"/>
  </si>
  <si>
    <t>中文名稱</t>
    <phoneticPr fontId="5" type="noConversion"/>
  </si>
  <si>
    <t>資料頁面</t>
    <phoneticPr fontId="5" type="noConversion"/>
  </si>
  <si>
    <t>API</t>
    <phoneticPr fontId="5" type="noConversion"/>
  </si>
  <si>
    <t>Auth</t>
    <phoneticPr fontId="5" type="noConversion"/>
  </si>
  <si>
    <t>/api/auth/signIn</t>
    <phoneticPr fontId="5" type="noConversion"/>
  </si>
  <si>
    <t>登入</t>
    <phoneticPr fontId="5" type="noConversion"/>
  </si>
  <si>
    <t>/api/auth/signOut</t>
    <phoneticPr fontId="5" type="noConversion"/>
  </si>
  <si>
    <t>登出</t>
    <phoneticPr fontId="5" type="noConversion"/>
  </si>
  <si>
    <t>/api/auth/token/refresh</t>
    <phoneticPr fontId="5" type="noConversion"/>
  </si>
  <si>
    <t>更新access token</t>
    <phoneticPr fontId="5" type="noConversion"/>
  </si>
  <si>
    <t>OS</t>
    <phoneticPr fontId="5" type="noConversion"/>
  </si>
  <si>
    <t>/api/os/company</t>
    <phoneticPr fontId="5" type="noConversion"/>
  </si>
  <si>
    <t>取得公司資訊</t>
    <phoneticPr fontId="5" type="noConversion"/>
  </si>
  <si>
    <t>/api/os/dept</t>
    <phoneticPr fontId="5" type="noConversion"/>
  </si>
  <si>
    <t>取得部門資訊</t>
    <phoneticPr fontId="5" type="noConversion"/>
  </si>
  <si>
    <t>/api/os/dept_level</t>
    <phoneticPr fontId="5" type="noConversion"/>
  </si>
  <si>
    <t>取得部門層級</t>
    <phoneticPr fontId="5" type="noConversion"/>
  </si>
  <si>
    <t>/api/os/company_sno</t>
    <phoneticPr fontId="5" type="noConversion"/>
  </si>
  <si>
    <t>取得扣繳單位統編</t>
    <phoneticPr fontId="5" type="noConversion"/>
  </si>
  <si>
    <t>ED</t>
    <phoneticPr fontId="5" type="noConversion"/>
  </si>
  <si>
    <t>/api/ed/grade</t>
    <phoneticPr fontId="5" type="noConversion"/>
  </si>
  <si>
    <t>取得職等代碼</t>
    <phoneticPr fontId="5" type="noConversion"/>
  </si>
  <si>
    <t>/api/ed/level</t>
  </si>
  <si>
    <t>取得職級代碼</t>
    <phoneticPr fontId="5" type="noConversion"/>
  </si>
  <si>
    <t>/api/ed/job</t>
  </si>
  <si>
    <t>取得職位代碼</t>
    <phoneticPr fontId="5" type="noConversion"/>
  </si>
  <si>
    <t>/api/ed/job_cat</t>
  </si>
  <si>
    <t>取得職務類別代碼</t>
    <phoneticPr fontId="5" type="noConversion"/>
  </si>
  <si>
    <t>/api/ed/job_style</t>
    <phoneticPr fontId="5" type="noConversion"/>
  </si>
  <si>
    <t>取得職種代碼</t>
    <phoneticPr fontId="5" type="noConversion"/>
  </si>
  <si>
    <t>/api/ed/job_desc</t>
  </si>
  <si>
    <t>取得職務說明書代碼</t>
    <phoneticPr fontId="5" type="noConversion"/>
  </si>
  <si>
    <t>/api/ed/job_biz</t>
  </si>
  <si>
    <t>取得名片職務代碼</t>
    <phoneticPr fontId="5" type="noConversion"/>
  </si>
  <si>
    <t>/api/ed/identity</t>
  </si>
  <si>
    <t>取得身分類別代碼</t>
    <phoneticPr fontId="5" type="noConversion"/>
  </si>
  <si>
    <t>/api/ed/area</t>
    <phoneticPr fontId="5" type="noConversion"/>
  </si>
  <si>
    <t>取得工作區域代碼</t>
    <phoneticPr fontId="5" type="noConversion"/>
  </si>
  <si>
    <t>/api/ed/site</t>
  </si>
  <si>
    <t>取得工作地點代碼</t>
    <phoneticPr fontId="5" type="noConversion"/>
  </si>
  <si>
    <t>/api/ed/factory</t>
  </si>
  <si>
    <t>取得廠別代碼</t>
    <phoneticPr fontId="5" type="noConversion"/>
  </si>
  <si>
    <t>/api/ed/vars_cause</t>
  </si>
  <si>
    <t>取得異動原因代碼</t>
    <phoneticPr fontId="5" type="noConversion"/>
  </si>
  <si>
    <t>/api/ed/quit_cause</t>
  </si>
  <si>
    <t>取得留停離職原因代碼</t>
    <phoneticPr fontId="5" type="noConversion"/>
  </si>
  <si>
    <t>/api/ed/course_type</t>
  </si>
  <si>
    <t>取得訓練課程分類代碼</t>
    <phoneticPr fontId="5" type="noConversion"/>
  </si>
  <si>
    <t>/api/ed/reward</t>
  </si>
  <si>
    <t>取得獎懲項目代碼</t>
    <phoneticPr fontId="5" type="noConversion"/>
  </si>
  <si>
    <t>/api/ed/perf_type</t>
  </si>
  <si>
    <t>取得績效種類代碼</t>
    <phoneticPr fontId="5" type="noConversion"/>
  </si>
  <si>
    <t>/api/ed/perf_rating</t>
  </si>
  <si>
    <t>取得績效評核等級代碼</t>
    <phoneticPr fontId="5" type="noConversion"/>
  </si>
  <si>
    <t>/api/ed/emp</t>
    <phoneticPr fontId="5" type="noConversion"/>
  </si>
  <si>
    <t>取得員工基本資料</t>
    <phoneticPr fontId="5" type="noConversion"/>
  </si>
  <si>
    <t>/api/ed/emp_id</t>
    <phoneticPr fontId="5" type="noConversion"/>
  </si>
  <si>
    <t>取得員工ID</t>
    <phoneticPr fontId="5" type="noConversion"/>
  </si>
  <si>
    <t>/api/ed/emp_photo</t>
  </si>
  <si>
    <t>取得員工照片檔</t>
    <phoneticPr fontId="5" type="noConversion"/>
  </si>
  <si>
    <t>/api/ed/emp_training</t>
  </si>
  <si>
    <t>取得員工訓練資料</t>
    <phoneticPr fontId="5" type="noConversion"/>
  </si>
  <si>
    <t>/api/ed/emp_perf</t>
  </si>
  <si>
    <t>取得員工績效資料</t>
    <phoneticPr fontId="5" type="noConversion"/>
  </si>
  <si>
    <t>/api/ed/emp_reward</t>
  </si>
  <si>
    <t>取得員工獎懲資料</t>
    <phoneticPr fontId="5" type="noConversion"/>
  </si>
  <si>
    <t>/api/ed/emp_rollback</t>
  </si>
  <si>
    <t>取得員工時光回朔</t>
    <phoneticPr fontId="5" type="noConversion"/>
  </si>
  <si>
    <t>/api/ed/emp_parttime</t>
    <phoneticPr fontId="5" type="noConversion"/>
  </si>
  <si>
    <t>取得員工兼職資料</t>
    <phoneticPr fontId="5" type="noConversion"/>
  </si>
  <si>
    <t>AM</t>
    <phoneticPr fontId="5" type="noConversion"/>
  </si>
  <si>
    <t>/api/am/shift</t>
    <phoneticPr fontId="5" type="noConversion"/>
  </si>
  <si>
    <t>取得班別代碼</t>
    <phoneticPr fontId="5" type="noConversion"/>
  </si>
  <si>
    <t>/api/am/shift_worktime</t>
  </si>
  <si>
    <t>取得班別工作時間檔</t>
    <phoneticPr fontId="5" type="noConversion"/>
  </si>
  <si>
    <t>/api/am/calendar_leave</t>
  </si>
  <si>
    <t>取得行事曆類別</t>
    <phoneticPr fontId="5" type="noConversion"/>
  </si>
  <si>
    <t>/api/am/calendar_basic</t>
  </si>
  <si>
    <t>取得行事曆基本資料</t>
    <phoneticPr fontId="5" type="noConversion"/>
  </si>
  <si>
    <t>/api/am/calendar_day</t>
  </si>
  <si>
    <t>取得行事曆日檔</t>
    <phoneticPr fontId="5" type="noConversion"/>
  </si>
  <si>
    <t>/api/am/emp_worktime</t>
  </si>
  <si>
    <t>取得員工班別展開</t>
    <phoneticPr fontId="5" type="noConversion"/>
  </si>
  <si>
    <t>/api/am/leaveitem</t>
    <phoneticPr fontId="5" type="noConversion"/>
  </si>
  <si>
    <t>取得假勤項目代碼</t>
    <phoneticPr fontId="5" type="noConversion"/>
  </si>
  <si>
    <t>/api/am/emp_leave</t>
    <phoneticPr fontId="5" type="noConversion"/>
  </si>
  <si>
    <t>取得員工請假主檔</t>
    <phoneticPr fontId="5" type="noConversion"/>
  </si>
  <si>
    <t>/api/am/emp_leave/daily</t>
  </si>
  <si>
    <t>取得員工請假日檔</t>
    <phoneticPr fontId="5" type="noConversion"/>
  </si>
  <si>
    <t>/api/am/emp_ot</t>
    <phoneticPr fontId="5" type="noConversion"/>
  </si>
  <si>
    <t>取得員工加班主檔</t>
    <phoneticPr fontId="5" type="noConversion"/>
  </si>
  <si>
    <t>/api/am/emp_cardmatch</t>
    <phoneticPr fontId="5" type="noConversion"/>
  </si>
  <si>
    <t>取得員工打卡比對結果檔</t>
    <phoneticPr fontId="5" type="noConversion"/>
  </si>
  <si>
    <t>/api/am/emp_carddata</t>
  </si>
  <si>
    <t>取得員工打卡明細資料檔</t>
    <phoneticPr fontId="5" type="noConversion"/>
  </si>
  <si>
    <t>/api/am/section/import</t>
    <phoneticPr fontId="5" type="noConversion"/>
  </si>
  <si>
    <t>時段排班班表匯入 (行事曆別班別不合併)</t>
    <phoneticPr fontId="5" type="noConversion"/>
  </si>
  <si>
    <t>/api/am/clock/insert</t>
    <phoneticPr fontId="5" type="noConversion"/>
  </si>
  <si>
    <t>打卡資料寫入</t>
    <phoneticPr fontId="5" type="noConversion"/>
  </si>
  <si>
    <t>/api/am/clock/format</t>
    <phoneticPr fontId="5" type="noConversion"/>
  </si>
  <si>
    <t>取得打卡匯入範本</t>
    <phoneticPr fontId="5" type="noConversion"/>
  </si>
  <si>
    <t>/api/am/clock/import</t>
    <phoneticPr fontId="5" type="noConversion"/>
  </si>
  <si>
    <t>批次打卡資料寫入</t>
    <phoneticPr fontId="5" type="noConversion"/>
  </si>
  <si>
    <t>/api/am/emp_biz</t>
    <phoneticPr fontId="5" type="noConversion"/>
  </si>
  <si>
    <t>取得員工出差資料</t>
    <phoneticPr fontId="5" type="noConversion"/>
  </si>
  <si>
    <t>/api/am/biz_area</t>
    <phoneticPr fontId="5" type="noConversion"/>
  </si>
  <si>
    <t>取得出差地點代碼</t>
    <phoneticPr fontId="5" type="noConversion"/>
  </si>
  <si>
    <t>/api/am/biz_property</t>
    <phoneticPr fontId="5" type="noConversion"/>
  </si>
  <si>
    <t>取得出差性質代碼</t>
    <phoneticPr fontId="5" type="noConversion"/>
  </si>
  <si>
    <t>/api/am/biz_todo</t>
    <phoneticPr fontId="5" type="noConversion"/>
  </si>
  <si>
    <t>取得委辦事項代碼</t>
    <phoneticPr fontId="5" type="noConversion"/>
  </si>
  <si>
    <t>/api/am/biz_trans</t>
    <phoneticPr fontId="5" type="noConversion"/>
  </si>
  <si>
    <t>取得交通工具代碼</t>
    <phoneticPr fontId="5" type="noConversion"/>
  </si>
  <si>
    <t>PB</t>
    <phoneticPr fontId="5" type="noConversion"/>
  </si>
  <si>
    <t>/api/pb/salary_item</t>
    <phoneticPr fontId="5" type="noConversion"/>
  </si>
  <si>
    <t>取得薪資科目代碼檔</t>
    <phoneticPr fontId="5" type="noConversion"/>
  </si>
  <si>
    <t>/api/pb/salary_item/default</t>
    <phoneticPr fontId="5" type="noConversion"/>
  </si>
  <si>
    <t>取得薪資科目預設檔</t>
    <phoneticPr fontId="5" type="noConversion"/>
  </si>
  <si>
    <t>/api/pb/rccc</t>
  </si>
  <si>
    <t>取得成本中心代碼檔</t>
    <phoneticPr fontId="5" type="noConversion"/>
  </si>
  <si>
    <t>/api/pb/emp_bank</t>
  </si>
  <si>
    <t>取得員工薪資帳號</t>
    <phoneticPr fontId="5" type="noConversion"/>
  </si>
  <si>
    <t>/api/pb/emp_basic</t>
    <phoneticPr fontId="5" type="noConversion"/>
  </si>
  <si>
    <t>取得員工計薪方式及投保</t>
    <phoneticPr fontId="5" type="noConversion"/>
  </si>
  <si>
    <t>/api/pb/emp_structure</t>
  </si>
  <si>
    <t>取得員工薪資結構明細</t>
    <phoneticPr fontId="5" type="noConversion"/>
  </si>
  <si>
    <t>/api/pb/emp_rccc</t>
  </si>
  <si>
    <t>取得員工成本中心明細</t>
    <phoneticPr fontId="5" type="noConversion"/>
  </si>
  <si>
    <t>/api/pb/emp_salary</t>
    <phoneticPr fontId="5" type="noConversion"/>
  </si>
  <si>
    <t>取得員工每月計薪結果-主檔</t>
    <phoneticPr fontId="5" type="noConversion"/>
  </si>
  <si>
    <t>/api/pb/emp_salary/detail</t>
    <phoneticPr fontId="5" type="noConversion"/>
  </si>
  <si>
    <t>取得員工每月計薪結果-明細</t>
    <phoneticPr fontId="5" type="noConversion"/>
  </si>
  <si>
    <t>/api/pb/salary_item/currency</t>
    <phoneticPr fontId="5" type="noConversion"/>
  </si>
  <si>
    <t>取得加扣項幣別</t>
    <phoneticPr fontId="5" type="noConversion"/>
  </si>
  <si>
    <t>/api/pb/salary_item/list</t>
    <phoneticPr fontId="5" type="noConversion"/>
  </si>
  <si>
    <t>取得加扣項薪資科目</t>
    <phoneticPr fontId="5" type="noConversion"/>
  </si>
  <si>
    <t>/api/pb/salary_item/check</t>
    <phoneticPr fontId="5" type="noConversion"/>
  </si>
  <si>
    <t>加扣項檢查</t>
    <phoneticPr fontId="5" type="noConversion"/>
  </si>
  <si>
    <t>/api/pb/salary_item/insert</t>
    <phoneticPr fontId="5" type="noConversion"/>
  </si>
  <si>
    <t>加扣項寫入</t>
    <phoneticPr fontId="5" type="noConversion"/>
  </si>
  <si>
    <t>SYS</t>
    <phoneticPr fontId="5" type="noConversion"/>
  </si>
  <si>
    <t>/api/sys/code</t>
    <phoneticPr fontId="5" type="noConversion"/>
  </si>
  <si>
    <t>系統共用代號檔</t>
    <phoneticPr fontId="5" type="noConversion"/>
  </si>
  <si>
    <t>WF</t>
    <phoneticPr fontId="5" type="noConversion"/>
  </si>
  <si>
    <t>/api/wf/getAgentSign</t>
    <phoneticPr fontId="5" type="noConversion"/>
  </si>
  <si>
    <t>取得簽核代理人資訊</t>
    <phoneticPr fontId="5" type="noConversion"/>
  </si>
  <si>
    <t>/api/wf/getBatchAgents</t>
    <phoneticPr fontId="5" type="noConversion"/>
  </si>
  <si>
    <t>批次取得員工職務代理人清單</t>
    <phoneticPr fontId="5" type="noConversion"/>
  </si>
  <si>
    <t>WF010</t>
    <phoneticPr fontId="5" type="noConversion"/>
  </si>
  <si>
    <t>/api/wf/wf010/leaveitems</t>
    <phoneticPr fontId="5" type="noConversion"/>
  </si>
  <si>
    <t>取得某員工適用假勤項目</t>
    <phoneticPr fontId="5" type="noConversion"/>
  </si>
  <si>
    <t>/api/wf/wf010/leaveEvent</t>
    <phoneticPr fontId="5" type="noConversion"/>
  </si>
  <si>
    <t>取得某員工某假勤項目事件發生日</t>
    <phoneticPr fontId="5" type="noConversion"/>
  </si>
  <si>
    <t>/api/wf/wf010/leaveTime</t>
    <phoneticPr fontId="5" type="noConversion"/>
  </si>
  <si>
    <t>得到請假時數計算資訊</t>
    <phoneticPr fontId="5" type="noConversion"/>
  </si>
  <si>
    <t>/api/wf/wf010/getUsed</t>
    <phoneticPr fontId="5" type="noConversion"/>
  </si>
  <si>
    <t>取得員工單一假勤剩餘時數</t>
    <phoneticPr fontId="5" type="noConversion"/>
  </si>
  <si>
    <t>/api/wf/wf010/getRemainLeave</t>
    <phoneticPr fontId="5" type="noConversion"/>
  </si>
  <si>
    <t>取得員工年度剩餘假勤列表</t>
    <phoneticPr fontId="5" type="noConversion"/>
  </si>
  <si>
    <t>/api/wf/wf010/agents</t>
    <phoneticPr fontId="5" type="noConversion"/>
  </si>
  <si>
    <t>取得員工職務代理人清單</t>
    <phoneticPr fontId="5" type="noConversion"/>
  </si>
  <si>
    <t>/api/wf/wf010/checkLeave</t>
    <phoneticPr fontId="5" type="noConversion"/>
  </si>
  <si>
    <t>假勤檢查</t>
    <phoneticPr fontId="5" type="noConversion"/>
  </si>
  <si>
    <t>/api/wf/wf010/insertLeave</t>
    <phoneticPr fontId="5" type="noConversion"/>
  </si>
  <si>
    <t>假勤寫入</t>
    <phoneticPr fontId="5" type="noConversion"/>
  </si>
  <si>
    <t>/api/wf/wf010/deleteLeaveList</t>
    <phoneticPr fontId="5" type="noConversion"/>
  </si>
  <si>
    <t>假勤刪除列表</t>
    <phoneticPr fontId="5" type="noConversion"/>
  </si>
  <si>
    <t>/api/wf/wf010/checkDeleteLeave</t>
    <phoneticPr fontId="5" type="noConversion"/>
  </si>
  <si>
    <t>假勤刪除檢查</t>
    <phoneticPr fontId="5" type="noConversion"/>
  </si>
  <si>
    <t>/api/wf/wf010/deleteLeave</t>
    <phoneticPr fontId="5" type="noConversion"/>
  </si>
  <si>
    <t>假勤刪除</t>
    <phoneticPr fontId="5" type="noConversion"/>
  </si>
  <si>
    <t>WF020</t>
    <phoneticPr fontId="5" type="noConversion"/>
  </si>
  <si>
    <t>/api/wf/wf020/checkOt</t>
    <phoneticPr fontId="5" type="noConversion"/>
  </si>
  <si>
    <t>加班檢查</t>
    <phoneticPr fontId="5" type="noConversion"/>
  </si>
  <si>
    <t>/api/wf/wf020/insertOt</t>
    <phoneticPr fontId="5" type="noConversion"/>
  </si>
  <si>
    <t>加班寫入</t>
    <phoneticPr fontId="5" type="noConversion"/>
  </si>
  <si>
    <t>/api/wf/wf020/deleteOtList</t>
    <phoneticPr fontId="5" type="noConversion"/>
  </si>
  <si>
    <t>加班刪除列表</t>
    <phoneticPr fontId="5" type="noConversion"/>
  </si>
  <si>
    <t>/api/wf/wf020/checkDeleteOt</t>
    <phoneticPr fontId="5" type="noConversion"/>
  </si>
  <si>
    <t>加班刪除檢查</t>
    <phoneticPr fontId="5" type="noConversion"/>
  </si>
  <si>
    <t>/api/wf/wf020/deleteOt</t>
    <phoneticPr fontId="5" type="noConversion"/>
  </si>
  <si>
    <t>加班刪除</t>
    <phoneticPr fontId="5" type="noConversion"/>
  </si>
  <si>
    <t>/api/wf/wf020/otTime</t>
    <phoneticPr fontId="5" type="noConversion"/>
  </si>
  <si>
    <t>得到加班時數計算資訊</t>
    <phoneticPr fontId="5" type="noConversion"/>
  </si>
  <si>
    <t>WF030</t>
    <phoneticPr fontId="5" type="noConversion"/>
  </si>
  <si>
    <t>/api/wf/wf030/checkCard</t>
    <phoneticPr fontId="5" type="noConversion"/>
  </si>
  <si>
    <t>忘刷時間檢查</t>
    <phoneticPr fontId="5" type="noConversion"/>
  </si>
  <si>
    <t>/api/wf/wf030/insertCard</t>
    <phoneticPr fontId="5" type="noConversion"/>
  </si>
  <si>
    <t>忘刷時間寫入</t>
    <phoneticPr fontId="5" type="noConversion"/>
  </si>
  <si>
    <t>/api/wf/wf030/checkDeleteCard</t>
    <phoneticPr fontId="5" type="noConversion"/>
  </si>
  <si>
    <t>忘刷時間刪除檢查</t>
    <phoneticPr fontId="5" type="noConversion"/>
  </si>
  <si>
    <t>/api/wf/wf030/deleteCard</t>
    <phoneticPr fontId="5" type="noConversion"/>
  </si>
  <si>
    <t>忘刷時間刪除</t>
    <phoneticPr fontId="5" type="noConversion"/>
  </si>
  <si>
    <t>WF031</t>
    <phoneticPr fontId="5" type="noConversion"/>
  </si>
  <si>
    <t>/api/wf/wf031/UpdOverAttend</t>
    <phoneticPr fontId="5" type="noConversion"/>
  </si>
  <si>
    <t>更新超時出勤紀錄</t>
    <phoneticPr fontId="5" type="noConversion"/>
  </si>
  <si>
    <t>WF011</t>
    <phoneticPr fontId="5" type="noConversion"/>
  </si>
  <si>
    <t>/api/wf/wf011/batchLeaveNew</t>
    <phoneticPr fontId="5" type="noConversion"/>
  </si>
  <si>
    <t>批次請假單新增</t>
    <phoneticPr fontId="5" type="noConversion"/>
  </si>
  <si>
    <t>/api/wf/wf011/batchLeaveSign</t>
    <phoneticPr fontId="5" type="noConversion"/>
  </si>
  <si>
    <t>批次請假單簽核完成</t>
    <phoneticPr fontId="5" type="noConversion"/>
  </si>
  <si>
    <t>/api/wf/wf011/batchLeaveDelete</t>
    <phoneticPr fontId="5" type="noConversion"/>
  </si>
  <si>
    <t>批次請假單刪除</t>
    <phoneticPr fontId="5" type="noConversion"/>
  </si>
  <si>
    <t>/api/wf/wf011/batchLeaveitems</t>
    <phoneticPr fontId="5" type="noConversion"/>
  </si>
  <si>
    <t>取得某員工適用假勤項目(排除事件發生日)</t>
    <phoneticPr fontId="5" type="noConversion"/>
  </si>
  <si>
    <t>WF021</t>
    <phoneticPr fontId="5" type="noConversion"/>
  </si>
  <si>
    <t>/api/wf/wf021/batchOtNew</t>
    <phoneticPr fontId="5" type="noConversion"/>
  </si>
  <si>
    <t>批次加班單新增</t>
    <phoneticPr fontId="5" type="noConversion"/>
  </si>
  <si>
    <t>/api/wf/wf021/batchOtSign</t>
    <phoneticPr fontId="5" type="noConversion"/>
  </si>
  <si>
    <t>批次加班單簽核完成</t>
    <phoneticPr fontId="5" type="noConversion"/>
  </si>
  <si>
    <t>/api/wf/wf021/batchOtDelete</t>
    <phoneticPr fontId="5" type="noConversion"/>
  </si>
  <si>
    <t>批次加班單刪除</t>
    <phoneticPr fontId="5" type="noConversion"/>
  </si>
  <si>
    <t>WF100</t>
    <phoneticPr fontId="5" type="noConversion"/>
  </si>
  <si>
    <t>/api/wf/wf100/businessTrip</t>
    <phoneticPr fontId="5" type="noConversion"/>
  </si>
  <si>
    <t>取得職務代理人是否必填</t>
    <phoneticPr fontId="5" type="noConversion"/>
  </si>
  <si>
    <t>/api/wf/wf100/leaveTime</t>
    <phoneticPr fontId="5" type="noConversion"/>
  </si>
  <si>
    <t>取得出差合計單位數</t>
    <phoneticPr fontId="5" type="noConversion"/>
  </si>
  <si>
    <t>/api/wf/wf100/checkBiz</t>
    <phoneticPr fontId="5" type="noConversion"/>
  </si>
  <si>
    <t>出差單檢查</t>
    <phoneticPr fontId="5" type="noConversion"/>
  </si>
  <si>
    <t>/api/wf/wf100/insertBiz</t>
    <phoneticPr fontId="5" type="noConversion"/>
  </si>
  <si>
    <t>出差單申請</t>
    <phoneticPr fontId="5" type="noConversion"/>
  </si>
  <si>
    <t>/api/wf/wf100/deleteBiz</t>
    <phoneticPr fontId="5" type="noConversion"/>
  </si>
  <si>
    <t>出差單刪除</t>
    <phoneticPr fontId="5" type="noConversion"/>
  </si>
  <si>
    <t>WF022</t>
    <phoneticPr fontId="5" type="noConversion"/>
  </si>
  <si>
    <t>/api/wf/wf022/checkPreOt</t>
    <phoneticPr fontId="5" type="noConversion"/>
  </si>
  <si>
    <t>預先加班檢查</t>
    <phoneticPr fontId="5" type="noConversion"/>
  </si>
  <si>
    <t>/api/wf/wf022/insertPreOt</t>
    <phoneticPr fontId="5" type="noConversion"/>
  </si>
  <si>
    <t>預先加班寫入</t>
    <phoneticPr fontId="5" type="noConversion"/>
  </si>
  <si>
    <t>/api/wf/wf022/checkDeletePreOt</t>
    <phoneticPr fontId="5" type="noConversion"/>
  </si>
  <si>
    <t>預先加班刪除檢查</t>
    <phoneticPr fontId="5" type="noConversion"/>
  </si>
  <si>
    <t>/api/wf/wf022/deletePreOt</t>
    <phoneticPr fontId="5" type="noConversion"/>
  </si>
  <si>
    <t>預先加班刪除</t>
    <phoneticPr fontId="5" type="noConversion"/>
  </si>
  <si>
    <t>/api/wf/wf022/preOtTime</t>
    <phoneticPr fontId="5" type="noConversion"/>
  </si>
  <si>
    <t>取得剩餘預先加班時數</t>
    <phoneticPr fontId="5" type="noConversion"/>
  </si>
  <si>
    <t>/api/wf/wf022/deletePreOtList</t>
    <phoneticPr fontId="5" type="noConversion"/>
  </si>
  <si>
    <t>預先加班刪除列表</t>
    <phoneticPr fontId="5" type="noConversion"/>
  </si>
  <si>
    <t>/api/wf/wf022/preOtList</t>
    <phoneticPr fontId="5" type="noConversion"/>
  </si>
  <si>
    <t>取得預先加班單列表</t>
    <phoneticPr fontId="5" type="noConversion"/>
  </si>
  <si>
    <t>FILE</t>
    <phoneticPr fontId="5" type="noConversion"/>
  </si>
  <si>
    <t>/api/file/attach</t>
    <phoneticPr fontId="5" type="noConversion"/>
  </si>
  <si>
    <t>附件上傳</t>
    <phoneticPr fontId="5" type="noConversion"/>
  </si>
  <si>
    <t>/api/file/detach</t>
    <phoneticPr fontId="5" type="noConversion"/>
  </si>
  <si>
    <t>刪除已上傳的附件</t>
    <phoneticPr fontId="5" type="noConversion"/>
  </si>
  <si>
    <t>/api/file/download</t>
    <phoneticPr fontId="5" type="noConversion"/>
  </si>
  <si>
    <t>下載附件</t>
    <phoneticPr fontId="5" type="noConversion"/>
  </si>
  <si>
    <t>輸入</t>
    <phoneticPr fontId="5" type="noConversion"/>
  </si>
  <si>
    <t>No.</t>
    <phoneticPr fontId="7" type="noConversion"/>
  </si>
  <si>
    <t>欄位名稱</t>
    <phoneticPr fontId="5" type="noConversion"/>
  </si>
  <si>
    <t>欄位代號</t>
    <phoneticPr fontId="5" type="noConversion"/>
  </si>
  <si>
    <t>資料型態</t>
    <phoneticPr fontId="5" type="noConversion"/>
  </si>
  <si>
    <t>長度</t>
    <phoneticPr fontId="5" type="noConversion"/>
  </si>
  <si>
    <t>範例</t>
    <phoneticPr fontId="5" type="noConversion"/>
  </si>
  <si>
    <t>必填</t>
    <phoneticPr fontId="5" type="noConversion"/>
  </si>
  <si>
    <t>帳號</t>
    <phoneticPr fontId="5" type="noConversion"/>
  </si>
  <si>
    <t>USER_ACCOUNT</t>
    <phoneticPr fontId="5" type="noConversion"/>
  </si>
  <si>
    <t>VARCHAR</t>
    <phoneticPr fontId="5" type="noConversion"/>
  </si>
  <si>
    <t>abc</t>
    <phoneticPr fontId="5" type="noConversion"/>
  </si>
  <si>
    <t>Y</t>
    <phoneticPr fontId="5" type="noConversion"/>
  </si>
  <si>
    <t>密碼</t>
    <phoneticPr fontId="5" type="noConversion"/>
  </si>
  <si>
    <t>USER_PWD</t>
    <phoneticPr fontId="5" type="noConversion"/>
  </si>
  <si>
    <t>a123104104</t>
    <phoneticPr fontId="5" type="noConversion"/>
  </si>
  <si>
    <t>輸出</t>
    <phoneticPr fontId="5" type="noConversion"/>
  </si>
  <si>
    <t>關聯資料表</t>
    <phoneticPr fontId="5" type="noConversion"/>
  </si>
  <si>
    <t>外部鍵</t>
    <phoneticPr fontId="5" type="noConversion"/>
  </si>
  <si>
    <t>使用者ID</t>
    <phoneticPr fontId="5" type="noConversion"/>
  </si>
  <si>
    <t>USER_ID</t>
    <phoneticPr fontId="5" type="noConversion"/>
  </si>
  <si>
    <t>BIGINT</t>
    <phoneticPr fontId="5" type="noConversion"/>
  </si>
  <si>
    <t>Access Token</t>
    <phoneticPr fontId="5" type="noConversion"/>
  </si>
  <si>
    <t>ACCESS_TOKEN</t>
    <phoneticPr fontId="5" type="noConversion"/>
  </si>
  <si>
    <t>Refresh Token</t>
    <phoneticPr fontId="5" type="noConversion"/>
  </si>
  <si>
    <t>REFRESH_TOKEN</t>
    <phoneticPr fontId="5" type="noConversion"/>
  </si>
  <si>
    <t>公司資訊</t>
    <phoneticPr fontId="5" type="noConversion"/>
  </si>
  <si>
    <t>由Header 傳入</t>
    <phoneticPr fontId="5" type="noConversion"/>
  </si>
  <si>
    <t>公司_ID</t>
    <phoneticPr fontId="5" type="noConversion"/>
  </si>
  <si>
    <t>CO_ID</t>
    <phoneticPr fontId="5" type="noConversion"/>
  </si>
  <si>
    <t>公司代號</t>
    <phoneticPr fontId="5" type="noConversion"/>
  </si>
  <si>
    <t>CO_CODE</t>
    <phoneticPr fontId="5" type="noConversion"/>
  </si>
  <si>
    <t>公司名稱</t>
    <phoneticPr fontId="5" type="noConversion"/>
  </si>
  <si>
    <t>CO_NAME</t>
    <phoneticPr fontId="5" type="noConversion"/>
  </si>
  <si>
    <t>公司名稱_JSON</t>
    <phoneticPr fontId="5" type="noConversion"/>
  </si>
  <si>
    <t>CO_NAME_JSON</t>
    <phoneticPr fontId="5" type="noConversion"/>
  </si>
  <si>
    <t>排序</t>
    <phoneticPr fontId="5" type="noConversion"/>
  </si>
  <si>
    <t>SORT_ORDER</t>
    <phoneticPr fontId="5" type="noConversion"/>
  </si>
  <si>
    <t>FLOAT</t>
    <phoneticPr fontId="5" type="noConversion"/>
  </si>
  <si>
    <t>成立日期</t>
    <phoneticPr fontId="5" type="noConversion"/>
  </si>
  <si>
    <t>BUILD_DATE</t>
    <phoneticPr fontId="5" type="noConversion"/>
  </si>
  <si>
    <t>DATE</t>
    <phoneticPr fontId="5" type="noConversion"/>
  </si>
  <si>
    <t>預設語系</t>
    <phoneticPr fontId="5" type="noConversion"/>
  </si>
  <si>
    <t>DEF_LANG</t>
    <phoneticPr fontId="5" type="noConversion"/>
  </si>
  <si>
    <t>zh_TW : 繁體中文、en_US : 英文、zh_CN : 簡體中文</t>
    <phoneticPr fontId="5" type="noConversion"/>
  </si>
  <si>
    <t>/api/sys/code:global.language</t>
    <phoneticPr fontId="5" type="noConversion"/>
  </si>
  <si>
    <t>時區</t>
    <phoneticPr fontId="5" type="noConversion"/>
  </si>
  <si>
    <t>TIME_ZONE</t>
    <phoneticPr fontId="5" type="noConversion"/>
  </si>
  <si>
    <t>/api/sys/code:global.timeZone</t>
  </si>
  <si>
    <t>使用狀態</t>
    <phoneticPr fontId="5" type="noConversion"/>
  </si>
  <si>
    <t>IS_ACT</t>
    <phoneticPr fontId="5" type="noConversion"/>
  </si>
  <si>
    <t>TINYINT</t>
    <phoneticPr fontId="5" type="noConversion"/>
  </si>
  <si>
    <t>1:使用中、0:停用</t>
    <phoneticPr fontId="5" type="noConversion"/>
  </si>
  <si>
    <t>/api/sys/code:global.usedStatus</t>
  </si>
  <si>
    <t>部門資訊</t>
    <phoneticPr fontId="5" type="noConversion"/>
  </si>
  <si>
    <t>eyJhbGciOiJIUzUxMiIsInR5cCI6IkpXVC</t>
    <phoneticPr fontId="5" type="noConversion"/>
  </si>
  <si>
    <t>1</t>
    <phoneticPr fontId="5" type="noConversion"/>
  </si>
  <si>
    <t>組織類別代碼</t>
    <phoneticPr fontId="5" type="noConversion"/>
  </si>
  <si>
    <t>ORG_TYPE_CODE</t>
    <phoneticPr fontId="5" type="noConversion"/>
  </si>
  <si>
    <t>代號1,2,3,4,5</t>
    <phoneticPr fontId="5" type="noConversion"/>
  </si>
  <si>
    <t>基準日</t>
    <phoneticPr fontId="5" type="noConversion"/>
  </si>
  <si>
    <t>BASE_DATE</t>
    <phoneticPr fontId="5" type="noConversion"/>
  </si>
  <si>
    <t>2021/07/15</t>
    <phoneticPr fontId="5" type="noConversion"/>
  </si>
  <si>
    <t>部門_ID</t>
    <phoneticPr fontId="5" type="noConversion"/>
  </si>
  <si>
    <t>DEPT_ID</t>
    <phoneticPr fontId="5" type="noConversion"/>
  </si>
  <si>
    <t>組織類別名稱</t>
    <phoneticPr fontId="5" type="noConversion"/>
  </si>
  <si>
    <t>ORG_TYPE_NAME</t>
    <phoneticPr fontId="5" type="noConversion"/>
  </si>
  <si>
    <t>代號1 : 名稱固定為 "部門" , 不可修改</t>
    <phoneticPr fontId="5" type="noConversion"/>
  </si>
  <si>
    <t>部門代碼</t>
    <phoneticPr fontId="5" type="noConversion"/>
  </si>
  <si>
    <t>DEPT_CODE</t>
    <phoneticPr fontId="5" type="noConversion"/>
  </si>
  <si>
    <t>部門名稱</t>
    <phoneticPr fontId="5" type="noConversion"/>
  </si>
  <si>
    <t>DEPT_NAME</t>
    <phoneticPr fontId="5" type="noConversion"/>
  </si>
  <si>
    <t>部門名稱_JSON</t>
  </si>
  <si>
    <t>DEPT_NAME_JSON</t>
  </si>
  <si>
    <t>部門簡稱</t>
    <phoneticPr fontId="5" type="noConversion"/>
  </si>
  <si>
    <t>DEPT_ABBR</t>
    <phoneticPr fontId="5" type="noConversion"/>
  </si>
  <si>
    <t>部門簡稱_JSON</t>
  </si>
  <si>
    <t>DEPT_ABBR_JSON</t>
  </si>
  <si>
    <t>部門組織層級_ID</t>
    <phoneticPr fontId="5" type="noConversion"/>
  </si>
  <si>
    <t>DEPT_LEVEL_ID</t>
    <phoneticPr fontId="5" type="noConversion"/>
  </si>
  <si>
    <t>層級名稱</t>
    <phoneticPr fontId="5" type="noConversion"/>
  </si>
  <si>
    <t>DEPT_LEVEL_NAME</t>
    <phoneticPr fontId="5" type="noConversion"/>
  </si>
  <si>
    <t>部門層級名稱_JSON</t>
    <phoneticPr fontId="5" type="noConversion"/>
  </si>
  <si>
    <t>DEPT_LEVEL_NAME_JSON</t>
    <phoneticPr fontId="5" type="noConversion"/>
  </si>
  <si>
    <t>部門層級_排序</t>
    <phoneticPr fontId="5" type="noConversion"/>
  </si>
  <si>
    <t>DEPT_LEVEL_SORT</t>
    <phoneticPr fontId="5" type="noConversion"/>
  </si>
  <si>
    <t>部門主管_ID</t>
    <phoneticPr fontId="5" type="noConversion"/>
  </si>
  <si>
    <t>LEADER_ID</t>
    <phoneticPr fontId="5" type="noConversion"/>
  </si>
  <si>
    <t>基準日的主管資料</t>
    <phoneticPr fontId="5" type="noConversion"/>
  </si>
  <si>
    <t>EMP_ID</t>
    <phoneticPr fontId="5" type="noConversion"/>
  </si>
  <si>
    <t>部門主管_員工編號</t>
    <phoneticPr fontId="5" type="noConversion"/>
  </si>
  <si>
    <t>LEADER_EMP_NO</t>
    <phoneticPr fontId="5" type="noConversion"/>
  </si>
  <si>
    <t>部門主管_姓名</t>
    <phoneticPr fontId="5" type="noConversion"/>
  </si>
  <si>
    <t>LEADER_EMP_NAME</t>
    <phoneticPr fontId="5" type="noConversion"/>
  </si>
  <si>
    <t>部門主管兼職/代理</t>
    <phoneticPr fontId="5" type="noConversion"/>
  </si>
  <si>
    <t>LEADER_STATUS</t>
    <phoneticPr fontId="5" type="noConversion"/>
  </si>
  <si>
    <t>1：兼職、2：代理</t>
    <phoneticPr fontId="5" type="noConversion"/>
  </si>
  <si>
    <t>/api/sys/code:os.leader.status</t>
  </si>
  <si>
    <t>部門副主管_ID</t>
    <phoneticPr fontId="5" type="noConversion"/>
  </si>
  <si>
    <t>DEPUTY_LEADER_ID</t>
    <phoneticPr fontId="5" type="noConversion"/>
  </si>
  <si>
    <t>基準日的副主管資料</t>
    <phoneticPr fontId="5" type="noConversion"/>
  </si>
  <si>
    <t>部門副主管_員工編號</t>
    <phoneticPr fontId="5" type="noConversion"/>
  </si>
  <si>
    <t>DEPUTY_LEADER_EMP_NO</t>
    <phoneticPr fontId="5" type="noConversion"/>
  </si>
  <si>
    <t>部門副主管_姓名</t>
    <phoneticPr fontId="5" type="noConversion"/>
  </si>
  <si>
    <t>DEPUTY_LEADER_EMP_NAME</t>
    <phoneticPr fontId="5" type="noConversion"/>
  </si>
  <si>
    <t>部門副主管_兼職/代理</t>
    <phoneticPr fontId="5" type="noConversion"/>
  </si>
  <si>
    <t>DEPUTY_LEADER_STATUS</t>
    <phoneticPr fontId="5" type="noConversion"/>
  </si>
  <si>
    <t>部門郵遞區號</t>
    <phoneticPr fontId="5" type="noConversion"/>
  </si>
  <si>
    <t>POSTAL_CODE</t>
    <phoneticPr fontId="5" type="noConversion"/>
  </si>
  <si>
    <t>/api/sys/code:ed.base.postalCode</t>
  </si>
  <si>
    <t>部門地址</t>
    <phoneticPr fontId="5" type="noConversion"/>
  </si>
  <si>
    <t>ADDRESS</t>
    <phoneticPr fontId="5" type="noConversion"/>
  </si>
  <si>
    <t>(不含縣市地區的地址)</t>
    <phoneticPr fontId="5" type="noConversion"/>
  </si>
  <si>
    <t>中文地址</t>
    <phoneticPr fontId="5" type="noConversion"/>
  </si>
  <si>
    <t>ADDRESS_TW</t>
    <phoneticPr fontId="5" type="noConversion"/>
  </si>
  <si>
    <t>(含縣市地區的地址)</t>
    <phoneticPr fontId="5" type="noConversion"/>
  </si>
  <si>
    <t>英文地址</t>
    <phoneticPr fontId="5" type="noConversion"/>
  </si>
  <si>
    <t>ADDRESS_EN</t>
    <phoneticPr fontId="5" type="noConversion"/>
  </si>
  <si>
    <t>部門電話</t>
    <phoneticPr fontId="5" type="noConversion"/>
  </si>
  <si>
    <t>TEL</t>
    <phoneticPr fontId="5" type="noConversion"/>
  </si>
  <si>
    <t>部門傳真</t>
    <phoneticPr fontId="5" type="noConversion"/>
  </si>
  <si>
    <t>FAX</t>
    <phoneticPr fontId="5" type="noConversion"/>
  </si>
  <si>
    <t>NOTE</t>
    <phoneticPr fontId="5" type="noConversion"/>
  </si>
  <si>
    <t>使用狀態</t>
  </si>
  <si>
    <t>TINYINT</t>
  </si>
  <si>
    <t>1:使用中、0:停用</t>
  </si>
  <si>
    <t>上層部門_ID</t>
    <phoneticPr fontId="5" type="noConversion"/>
  </si>
  <si>
    <t>PARENT_DEPT_ID</t>
    <phoneticPr fontId="5" type="noConversion"/>
  </si>
  <si>
    <t>上層部門_部門代號</t>
    <phoneticPr fontId="5" type="noConversion"/>
  </si>
  <si>
    <t>PARENT_DEPT_CODE</t>
    <phoneticPr fontId="5" type="noConversion"/>
  </si>
  <si>
    <t>上層部門_部門名稱</t>
    <phoneticPr fontId="5" type="noConversion"/>
  </si>
  <si>
    <t>PARENT_DEPT_NAME</t>
    <phoneticPr fontId="5" type="noConversion"/>
  </si>
  <si>
    <t>部門連結關係(向上的父部門)</t>
  </si>
  <si>
    <t>DEPT_RELATION</t>
    <phoneticPr fontId="5" type="noConversion"/>
  </si>
  <si>
    <t>TEXT</t>
    <phoneticPr fontId="5" type="noConversion"/>
  </si>
  <si>
    <t>部門連結關係(反向：子部門)</t>
  </si>
  <si>
    <t>DEPT_RELATION_R</t>
    <phoneticPr fontId="5" type="noConversion"/>
  </si>
  <si>
    <t>組織樹狀排序位置</t>
    <phoneticPr fontId="5" type="noConversion"/>
  </si>
  <si>
    <t>DEPT_SORT</t>
    <phoneticPr fontId="5" type="noConversion"/>
  </si>
  <si>
    <t>同一個層級排序位置</t>
    <phoneticPr fontId="5" type="noConversion"/>
  </si>
  <si>
    <t>SORT_BY_LEVEL</t>
    <phoneticPr fontId="5" type="noConversion"/>
  </si>
  <si>
    <t>組織圖排列層次</t>
    <phoneticPr fontId="5" type="noConversion"/>
  </si>
  <si>
    <t>LEVNUM</t>
    <phoneticPr fontId="5" type="noConversion"/>
  </si>
  <si>
    <t>INT</t>
    <phoneticPr fontId="5" type="noConversion"/>
  </si>
  <si>
    <t>部門起始日</t>
    <phoneticPr fontId="5" type="noConversion"/>
  </si>
  <si>
    <t>DEPT_START_DATE</t>
    <phoneticPr fontId="5" type="noConversion"/>
  </si>
  <si>
    <t>DATETIME</t>
    <phoneticPr fontId="5" type="noConversion"/>
  </si>
  <si>
    <t>部門啟用之版本生效日</t>
    <phoneticPr fontId="5" type="noConversion"/>
  </si>
  <si>
    <t>修改_員工_ID</t>
    <phoneticPr fontId="5" type="noConversion"/>
  </si>
  <si>
    <t>E_EMP_ID</t>
    <phoneticPr fontId="5" type="noConversion"/>
  </si>
  <si>
    <t>修改者為員工才有值</t>
    <phoneticPr fontId="5" type="noConversion"/>
  </si>
  <si>
    <t>修改_員工編號</t>
    <phoneticPr fontId="5" type="noConversion"/>
  </si>
  <si>
    <t>E_EMP_NO</t>
    <phoneticPr fontId="5" type="noConversion"/>
  </si>
  <si>
    <t>修改_日期</t>
    <phoneticPr fontId="5" type="noConversion"/>
  </si>
  <si>
    <t>E_DATETIME</t>
    <phoneticPr fontId="5" type="noConversion"/>
  </si>
  <si>
    <t>部門層級</t>
    <phoneticPr fontId="5" type="noConversion"/>
  </si>
  <si>
    <t>組織層級_ID</t>
    <phoneticPr fontId="5" type="noConversion"/>
  </si>
  <si>
    <t>LEVEL_NAME</t>
    <phoneticPr fontId="5" type="noConversion"/>
  </si>
  <si>
    <t>層級名稱_JSON</t>
    <phoneticPr fontId="5" type="noConversion"/>
  </si>
  <si>
    <t>LEVEL_NAME_JSON</t>
    <phoneticPr fontId="5" type="noConversion"/>
  </si>
  <si>
    <t>/api/sys/code:global.boolean</t>
  </si>
  <si>
    <t>順序</t>
    <phoneticPr fontId="5" type="noConversion"/>
  </si>
  <si>
    <t>扣繳單位統編</t>
    <phoneticPr fontId="5" type="noConversion"/>
  </si>
  <si>
    <t>公司扣繳統編_ID</t>
  </si>
  <si>
    <t>SNO_ID</t>
    <phoneticPr fontId="5" type="noConversion"/>
  </si>
  <si>
    <t>公司扣繳統編名稱</t>
  </si>
  <si>
    <t>SNO_NAME</t>
    <phoneticPr fontId="5" type="noConversion"/>
  </si>
  <si>
    <t>公司扣繳統編名稱_JSON</t>
  </si>
  <si>
    <t>SNO_NAME_JSON</t>
    <phoneticPr fontId="5" type="noConversion"/>
  </si>
  <si>
    <t>統一編號</t>
    <phoneticPr fontId="5" type="noConversion"/>
  </si>
  <si>
    <t>TAXID_NO</t>
    <phoneticPr fontId="5" type="noConversion"/>
  </si>
  <si>
    <t>是否為福委會</t>
    <phoneticPr fontId="5" type="noConversion"/>
  </si>
  <si>
    <t>IS_WELFARE</t>
    <phoneticPr fontId="5" type="noConversion"/>
  </si>
  <si>
    <t>1:是、0:否</t>
    <phoneticPr fontId="5" type="noConversion"/>
  </si>
  <si>
    <t>職等代碼檔</t>
    <phoneticPr fontId="5" type="noConversion"/>
  </si>
  <si>
    <t>職等_ID</t>
  </si>
  <si>
    <t>GRADE_ID</t>
  </si>
  <si>
    <t>BIGINT</t>
  </si>
  <si>
    <t>公司_ID</t>
  </si>
  <si>
    <t>職等代碼</t>
  </si>
  <si>
    <t>GRADE_CODE</t>
  </si>
  <si>
    <t>VARCHAR</t>
  </si>
  <si>
    <t>職等名稱</t>
    <phoneticPr fontId="5" type="noConversion"/>
  </si>
  <si>
    <t>GRADE_NAME</t>
    <phoneticPr fontId="5" type="noConversion"/>
  </si>
  <si>
    <t>職等名稱_JSON</t>
  </si>
  <si>
    <t>GRADE_NAME_JSON</t>
  </si>
  <si>
    <t>/api/ed/level</t>
    <phoneticPr fontId="5" type="noConversion"/>
  </si>
  <si>
    <t>職級代碼檔</t>
    <phoneticPr fontId="5" type="noConversion"/>
  </si>
  <si>
    <t>職級_ID</t>
    <phoneticPr fontId="5" type="noConversion"/>
  </si>
  <si>
    <t>LEVEL_ID</t>
    <phoneticPr fontId="5" type="noConversion"/>
  </si>
  <si>
    <t>職等_ID</t>
    <phoneticPr fontId="5" type="noConversion"/>
  </si>
  <si>
    <t>GRADE_ID</t>
    <phoneticPr fontId="5" type="noConversion"/>
  </si>
  <si>
    <t>職級代碼</t>
  </si>
  <si>
    <t>LEVEL_CODE</t>
  </si>
  <si>
    <t>職級名稱</t>
    <phoneticPr fontId="5" type="noConversion"/>
  </si>
  <si>
    <t>職級名稱_JSON</t>
  </si>
  <si>
    <t>LEVEL_NAME_JSON</t>
  </si>
  <si>
    <t>/api/ed/job</t>
    <phoneticPr fontId="5" type="noConversion"/>
  </si>
  <si>
    <t>職位代碼檔</t>
    <phoneticPr fontId="5" type="noConversion"/>
  </si>
  <si>
    <t>職位_ID</t>
    <phoneticPr fontId="5" type="noConversion"/>
  </si>
  <si>
    <t>JOB_ID</t>
    <phoneticPr fontId="5" type="noConversion"/>
  </si>
  <si>
    <t>職位代碼</t>
    <phoneticPr fontId="5" type="noConversion"/>
  </si>
  <si>
    <t>JOB_CODE</t>
    <phoneticPr fontId="5" type="noConversion"/>
  </si>
  <si>
    <t>職位名稱</t>
    <phoneticPr fontId="5" type="noConversion"/>
  </si>
  <si>
    <t>JOB_NAME</t>
    <phoneticPr fontId="5" type="noConversion"/>
  </si>
  <si>
    <t>職位名稱_JSON</t>
  </si>
  <si>
    <t>JOB_NAME_JSON</t>
  </si>
  <si>
    <t>E_DATETIME</t>
  </si>
  <si>
    <t>/api/ed/job_cat</t>
    <phoneticPr fontId="5" type="noConversion"/>
  </si>
  <si>
    <t>職務類別代碼檔</t>
  </si>
  <si>
    <t>職務類別_ID</t>
  </si>
  <si>
    <t>JOB_CAT_ID</t>
    <phoneticPr fontId="5" type="noConversion"/>
  </si>
  <si>
    <t>職務類別代碼</t>
  </si>
  <si>
    <t>JOB_CAT_CODE</t>
  </si>
  <si>
    <t>職務類別名稱</t>
    <phoneticPr fontId="5" type="noConversion"/>
  </si>
  <si>
    <t>JOB_CAT_NAME</t>
    <phoneticPr fontId="5" type="noConversion"/>
  </si>
  <si>
    <t>職務類別名稱_JSON</t>
  </si>
  <si>
    <t>JOB_CAT_NAME_JSON</t>
  </si>
  <si>
    <t>排序</t>
  </si>
  <si>
    <t>SORT_ORDER</t>
  </si>
  <si>
    <t>職種代碼檔</t>
    <phoneticPr fontId="5" type="noConversion"/>
  </si>
  <si>
    <t>職種_ID</t>
  </si>
  <si>
    <t>JOB_STYLE_ID</t>
  </si>
  <si>
    <t>職種代碼</t>
  </si>
  <si>
    <t>JOB_STYLE_CODE</t>
    <phoneticPr fontId="5" type="noConversion"/>
  </si>
  <si>
    <t>職種名稱</t>
    <phoneticPr fontId="5" type="noConversion"/>
  </si>
  <si>
    <t>JOB_STYLE_NAME</t>
    <phoneticPr fontId="5" type="noConversion"/>
  </si>
  <si>
    <t>職種名稱_JSON</t>
  </si>
  <si>
    <t>JOB_STYLE_NAME_JSON</t>
    <phoneticPr fontId="5" type="noConversion"/>
  </si>
  <si>
    <t>/api/ed/job_desc</t>
    <phoneticPr fontId="5" type="noConversion"/>
  </si>
  <si>
    <t>職務說明書代碼檔</t>
    <phoneticPr fontId="5" type="noConversion"/>
  </si>
  <si>
    <t>職務說明書_ID</t>
  </si>
  <si>
    <t>JOB_DESC_ID</t>
    <phoneticPr fontId="5" type="noConversion"/>
  </si>
  <si>
    <t>職務說明書代碼</t>
    <phoneticPr fontId="5" type="noConversion"/>
  </si>
  <si>
    <t>JOB_DESC_CODE</t>
    <phoneticPr fontId="5" type="noConversion"/>
  </si>
  <si>
    <t>職務說明書名稱</t>
    <phoneticPr fontId="5" type="noConversion"/>
  </si>
  <si>
    <t>JOB_DESC_NAME</t>
    <phoneticPr fontId="5" type="noConversion"/>
  </si>
  <si>
    <t>職務說明書名稱_JSON</t>
  </si>
  <si>
    <t>JOB_DESC_NAME_JSON</t>
    <phoneticPr fontId="5" type="noConversion"/>
  </si>
  <si>
    <t>/api/ed/job_biz</t>
    <phoneticPr fontId="5" type="noConversion"/>
  </si>
  <si>
    <t>名片職務代碼檔</t>
    <phoneticPr fontId="5" type="noConversion"/>
  </si>
  <si>
    <t>名片職務_ID</t>
  </si>
  <si>
    <t>JOB_BIZ_ID</t>
    <phoneticPr fontId="5" type="noConversion"/>
  </si>
  <si>
    <t>名片職務代碼</t>
  </si>
  <si>
    <t>JOB_BIZ_CODE</t>
    <phoneticPr fontId="5" type="noConversion"/>
  </si>
  <si>
    <t>名片職務名稱</t>
    <phoneticPr fontId="5" type="noConversion"/>
  </si>
  <si>
    <t>JOB_BIZ_NAME</t>
    <phoneticPr fontId="5" type="noConversion"/>
  </si>
  <si>
    <t>名片職務名稱_JSON</t>
  </si>
  <si>
    <t>JOB_BIZ_NAME_JSON</t>
    <phoneticPr fontId="5" type="noConversion"/>
  </si>
  <si>
    <t>/api/ed/identity</t>
    <phoneticPr fontId="5" type="noConversion"/>
  </si>
  <si>
    <t>身分類別代碼檔</t>
    <phoneticPr fontId="5" type="noConversion"/>
  </si>
  <si>
    <t>身分類別_ID</t>
  </si>
  <si>
    <t>IDENTITY_ID</t>
    <phoneticPr fontId="5" type="noConversion"/>
  </si>
  <si>
    <t>身分類別代碼</t>
  </si>
  <si>
    <t>IDENTITY_CODE</t>
  </si>
  <si>
    <t>身分類別名稱</t>
    <phoneticPr fontId="5" type="noConversion"/>
  </si>
  <si>
    <t>IDENTITY_NAME</t>
    <phoneticPr fontId="5" type="noConversion"/>
  </si>
  <si>
    <t>身分類別名稱_JSON</t>
  </si>
  <si>
    <t>IDENTITY_NAME_JSON</t>
  </si>
  <si>
    <t>工作區域代碼檔</t>
    <phoneticPr fontId="5" type="noConversion"/>
  </si>
  <si>
    <t>工作區域_ID</t>
  </si>
  <si>
    <t>AREA_ID</t>
    <phoneticPr fontId="5" type="noConversion"/>
  </si>
  <si>
    <t>工作區域代碼</t>
  </si>
  <si>
    <t>AREA_CODE</t>
  </si>
  <si>
    <t>工作區域名稱</t>
    <phoneticPr fontId="5" type="noConversion"/>
  </si>
  <si>
    <t>AREA_NAME</t>
    <phoneticPr fontId="5" type="noConversion"/>
  </si>
  <si>
    <t>工作區域名稱_JSON</t>
  </si>
  <si>
    <t>AREA_NAME_JSON</t>
  </si>
  <si>
    <t>/api/ed/site</t>
    <phoneticPr fontId="5" type="noConversion"/>
  </si>
  <si>
    <t>工作地點代碼檔</t>
    <phoneticPr fontId="5" type="noConversion"/>
  </si>
  <si>
    <t>工作地點_ID</t>
  </si>
  <si>
    <t>SITE_ID</t>
  </si>
  <si>
    <t>工作區域_ID</t>
    <phoneticPr fontId="5" type="noConversion"/>
  </si>
  <si>
    <t>工作地點代碼</t>
  </si>
  <si>
    <t>SITE_CODE</t>
  </si>
  <si>
    <t>工作地點名稱</t>
    <phoneticPr fontId="5" type="noConversion"/>
  </si>
  <si>
    <t>SITE_NAME</t>
    <phoneticPr fontId="5" type="noConversion"/>
  </si>
  <si>
    <t>工作地點名稱_JSON</t>
  </si>
  <si>
    <t>SITE_NAME_JSON</t>
  </si>
  <si>
    <t>/api/ed/factory</t>
    <phoneticPr fontId="5" type="noConversion"/>
  </si>
  <si>
    <t>廠別代碼檔</t>
    <phoneticPr fontId="5" type="noConversion"/>
  </si>
  <si>
    <t>廠別_ID</t>
  </si>
  <si>
    <t>FACTORY_ID</t>
    <phoneticPr fontId="5" type="noConversion"/>
  </si>
  <si>
    <t>廠別代碼</t>
  </si>
  <si>
    <t>FACTORY_CODE</t>
  </si>
  <si>
    <t>廠別名稱</t>
    <phoneticPr fontId="5" type="noConversion"/>
  </si>
  <si>
    <t>FACTORY_NAME</t>
    <phoneticPr fontId="5" type="noConversion"/>
  </si>
  <si>
    <t>廠別名稱_JSON</t>
  </si>
  <si>
    <t>FACTORY_NAME_JSON</t>
  </si>
  <si>
    <t>/api/ed/vars_cause</t>
    <phoneticPr fontId="5" type="noConversion"/>
  </si>
  <si>
    <t>異動原因代碼檔</t>
    <phoneticPr fontId="5" type="noConversion"/>
  </si>
  <si>
    <t>異動原因_ID</t>
    <phoneticPr fontId="5" type="noConversion"/>
  </si>
  <si>
    <t>VARS_CAUSE_ID</t>
    <phoneticPr fontId="5" type="noConversion"/>
  </si>
  <si>
    <t>異動原因代碼</t>
    <phoneticPr fontId="5" type="noConversion"/>
  </si>
  <si>
    <t>CAUSE_CODE</t>
    <phoneticPr fontId="5" type="noConversion"/>
  </si>
  <si>
    <t>異動原因名稱</t>
    <phoneticPr fontId="5" type="noConversion"/>
  </si>
  <si>
    <t>CAUSE_NAME</t>
    <phoneticPr fontId="5" type="noConversion"/>
  </si>
  <si>
    <t>異動原因名稱_JSON</t>
  </si>
  <si>
    <t>CAUSE_NAME_JSON</t>
  </si>
  <si>
    <t>/api/ed/quit_cause</t>
    <phoneticPr fontId="5" type="noConversion"/>
  </si>
  <si>
    <t>留停離職原因代碼檔</t>
    <phoneticPr fontId="5" type="noConversion"/>
  </si>
  <si>
    <t>留停離職原因_ID</t>
  </si>
  <si>
    <t>QUIT_CAUSE_ID</t>
    <phoneticPr fontId="5" type="noConversion"/>
  </si>
  <si>
    <t>留停離職原因代碼</t>
  </si>
  <si>
    <t>留停離職原因名稱</t>
  </si>
  <si>
    <t>留停離職原因名稱_JSON</t>
  </si>
  <si>
    <t>CAUSE_NAME_JSON</t>
    <phoneticPr fontId="5" type="noConversion"/>
  </si>
  <si>
    <t>/api/ed/course_type</t>
    <phoneticPr fontId="5" type="noConversion"/>
  </si>
  <si>
    <t>訓練課程分類代碼檔</t>
    <phoneticPr fontId="5" type="noConversion"/>
  </si>
  <si>
    <t>訓練課程分類_ID</t>
  </si>
  <si>
    <t>COURSE_TYPE_ID</t>
    <phoneticPr fontId="5" type="noConversion"/>
  </si>
  <si>
    <t>訓練課程分類代碼</t>
  </si>
  <si>
    <t>COURSE_TYPE_CODE</t>
  </si>
  <si>
    <t>訓練課程分類名稱</t>
  </si>
  <si>
    <t>COURSE_TYPE_NAME</t>
  </si>
  <si>
    <t>訓練課程分類名稱_JSON</t>
  </si>
  <si>
    <t>COURSE_TYPE_NAME_JSON</t>
    <phoneticPr fontId="5" type="noConversion"/>
  </si>
  <si>
    <t>/api/ed/reward</t>
    <phoneticPr fontId="5" type="noConversion"/>
  </si>
  <si>
    <t>獎懲項目代碼檔</t>
    <phoneticPr fontId="5" type="noConversion"/>
  </si>
  <si>
    <t>獎懲項目_ID</t>
    <phoneticPr fontId="5" type="noConversion"/>
  </si>
  <si>
    <t>REWARD_ID</t>
    <phoneticPr fontId="5" type="noConversion"/>
  </si>
  <si>
    <t>獎懲項目代碼</t>
  </si>
  <si>
    <t>REWARD_CODE</t>
    <phoneticPr fontId="5" type="noConversion"/>
  </si>
  <si>
    <t>獎懲項目名稱</t>
  </si>
  <si>
    <t>REWARD_NAME</t>
    <phoneticPr fontId="5" type="noConversion"/>
  </si>
  <si>
    <t>獎懲項目名稱_JSON</t>
  </si>
  <si>
    <t>REWARD_NAME_JSON</t>
    <phoneticPr fontId="5" type="noConversion"/>
  </si>
  <si>
    <t>獎懲類別</t>
    <phoneticPr fontId="5" type="noConversion"/>
  </si>
  <si>
    <t>REWARD_TYPE</t>
    <phoneticPr fontId="5" type="noConversion"/>
  </si>
  <si>
    <t>1:獎勵 2:懲罰</t>
    <phoneticPr fontId="5" type="noConversion"/>
  </si>
  <si>
    <t>/api/sys/code:ed.reward.type</t>
  </si>
  <si>
    <t>獎懲點數</t>
    <phoneticPr fontId="5" type="noConversion"/>
  </si>
  <si>
    <t>REWARD_VALUE</t>
    <phoneticPr fontId="5" type="noConversion"/>
  </si>
  <si>
    <t>DECIMAL</t>
  </si>
  <si>
    <t>18,4</t>
    <phoneticPr fontId="5" type="noConversion"/>
  </si>
  <si>
    <t>/api/ed/perf_type</t>
    <phoneticPr fontId="5" type="noConversion"/>
  </si>
  <si>
    <t>績效種類代碼檔</t>
    <phoneticPr fontId="5" type="noConversion"/>
  </si>
  <si>
    <t>績效種類_ID</t>
    <phoneticPr fontId="5" type="noConversion"/>
  </si>
  <si>
    <t>PERF_TYPE_ID</t>
    <phoneticPr fontId="5" type="noConversion"/>
  </si>
  <si>
    <t>績效種類代碼</t>
    <phoneticPr fontId="5" type="noConversion"/>
  </si>
  <si>
    <t>PERF_TYPE_CODE</t>
    <phoneticPr fontId="5" type="noConversion"/>
  </si>
  <si>
    <t>績效種類名稱</t>
  </si>
  <si>
    <t>PERF_TYPE_NAME</t>
  </si>
  <si>
    <t>績效種類名稱_JSON</t>
  </si>
  <si>
    <t>PERF_TYPE_NAME_JSON</t>
    <phoneticPr fontId="5" type="noConversion"/>
  </si>
  <si>
    <t>/api/ed/perf_rating</t>
    <phoneticPr fontId="5" type="noConversion"/>
  </si>
  <si>
    <t>績效評核等級代碼檔</t>
    <phoneticPr fontId="5" type="noConversion"/>
  </si>
  <si>
    <t>評等等級_ID</t>
    <phoneticPr fontId="5" type="noConversion"/>
  </si>
  <si>
    <t>PERF_RATING_ID</t>
    <phoneticPr fontId="5" type="noConversion"/>
  </si>
  <si>
    <t>評核等級規則代碼</t>
    <phoneticPr fontId="5" type="noConversion"/>
  </si>
  <si>
    <t>RATING_RULE_CODE</t>
    <phoneticPr fontId="5" type="noConversion"/>
  </si>
  <si>
    <t>評核等級規則名稱</t>
    <phoneticPr fontId="5" type="noConversion"/>
  </si>
  <si>
    <t>RATING_RULE_NAME</t>
    <phoneticPr fontId="5" type="noConversion"/>
  </si>
  <si>
    <t>評核等級規則名稱_JSON</t>
    <phoneticPr fontId="5" type="noConversion"/>
  </si>
  <si>
    <t>RATING_RULE_NAME_JSON</t>
    <phoneticPr fontId="5" type="noConversion"/>
  </si>
  <si>
    <t>評等等級代碼</t>
    <phoneticPr fontId="5" type="noConversion"/>
  </si>
  <si>
    <t>PERF_RATING_CODE</t>
    <phoneticPr fontId="5" type="noConversion"/>
  </si>
  <si>
    <t>評等等級名稱</t>
    <phoneticPr fontId="5" type="noConversion"/>
  </si>
  <si>
    <t>PERF_RATING_NAME</t>
    <phoneticPr fontId="5" type="noConversion"/>
  </si>
  <si>
    <t>評等等級名稱_JSON</t>
  </si>
  <si>
    <t>PERF_RATING_NAME_JSON</t>
    <phoneticPr fontId="5" type="noConversion"/>
  </si>
  <si>
    <t>員工基本資料</t>
    <phoneticPr fontId="5" type="noConversion"/>
  </si>
  <si>
    <t>員工_ID</t>
    <phoneticPr fontId="5" type="noConversion"/>
  </si>
  <si>
    <t>LIMIT、EMP_ID 二擇一必填</t>
    <phoneticPr fontId="5" type="noConversion"/>
  </si>
  <si>
    <t>N</t>
    <phoneticPr fontId="5" type="noConversion"/>
  </si>
  <si>
    <t>筆數限制</t>
    <phoneticPr fontId="5" type="noConversion"/>
  </si>
  <si>
    <t>LIMIT</t>
    <phoneticPr fontId="5" type="noConversion"/>
  </si>
  <si>
    <t>100</t>
    <phoneticPr fontId="5" type="noConversion"/>
  </si>
  <si>
    <t>新增日期起</t>
    <phoneticPr fontId="5" type="noConversion"/>
  </si>
  <si>
    <t>C_SDATETIME</t>
    <phoneticPr fontId="5" type="noConversion"/>
  </si>
  <si>
    <t>"2023/09/08 09:00"</t>
    <phoneticPr fontId="5" type="noConversion"/>
  </si>
  <si>
    <t>新增日期迄</t>
    <phoneticPr fontId="5" type="noConversion"/>
  </si>
  <si>
    <t>C_EDATETIME</t>
    <phoneticPr fontId="5" type="noConversion"/>
  </si>
  <si>
    <t>"2023/09/08 18:00"</t>
    <phoneticPr fontId="5" type="noConversion"/>
  </si>
  <si>
    <t>維護日期起</t>
    <phoneticPr fontId="5" type="noConversion"/>
  </si>
  <si>
    <t>E_SDATETIME</t>
    <phoneticPr fontId="5" type="noConversion"/>
  </si>
  <si>
    <t>維護日期迄</t>
    <phoneticPr fontId="5" type="noConversion"/>
  </si>
  <si>
    <t>E_EDATETIME</t>
    <phoneticPr fontId="5" type="noConversion"/>
  </si>
  <si>
    <t>員工編號</t>
    <phoneticPr fontId="5" type="noConversion"/>
  </si>
  <si>
    <t>EMP_NO</t>
    <phoneticPr fontId="5" type="noConversion"/>
  </si>
  <si>
    <t>解密</t>
    <phoneticPr fontId="5" type="noConversion"/>
  </si>
  <si>
    <t>員工姓名</t>
    <phoneticPr fontId="5" type="noConversion"/>
  </si>
  <si>
    <t>EMP_NAME</t>
    <phoneticPr fontId="5" type="noConversion"/>
  </si>
  <si>
    <t>英文姓名</t>
    <phoneticPr fontId="5" type="noConversion"/>
  </si>
  <si>
    <t>EMP_EN_NAME</t>
    <phoneticPr fontId="5" type="noConversion"/>
  </si>
  <si>
    <t>別名</t>
    <phoneticPr fontId="5" type="noConversion"/>
  </si>
  <si>
    <t>EMP_ALIAS_NAME</t>
    <phoneticPr fontId="5" type="noConversion"/>
  </si>
  <si>
    <t>國籍</t>
    <phoneticPr fontId="5" type="noConversion"/>
  </si>
  <si>
    <t>NATIONALITY</t>
    <phoneticPr fontId="5" type="noConversion"/>
  </si>
  <si>
    <t>/api/sys/code:ed.base.country</t>
  </si>
  <si>
    <t>國籍名稱</t>
    <phoneticPr fontId="5" type="noConversion"/>
  </si>
  <si>
    <t>NATIONALITY_NAME</t>
    <phoneticPr fontId="5" type="noConversion"/>
  </si>
  <si>
    <t>出生地</t>
    <phoneticPr fontId="5" type="noConversion"/>
  </si>
  <si>
    <t>LIVE_AREA</t>
    <phoneticPr fontId="5" type="noConversion"/>
  </si>
  <si>
    <t>身分證號</t>
    <phoneticPr fontId="5" type="noConversion"/>
  </si>
  <si>
    <t>IDC_NO</t>
    <phoneticPr fontId="5" type="noConversion"/>
  </si>
  <si>
    <t>性別</t>
    <phoneticPr fontId="5" type="noConversion"/>
  </si>
  <si>
    <t>GENDER</t>
    <phoneticPr fontId="5" type="noConversion"/>
  </si>
  <si>
    <t>1:男、2:女</t>
    <phoneticPr fontId="5" type="noConversion"/>
  </si>
  <si>
    <t>/api/sys/code:ed.base.gender</t>
  </si>
  <si>
    <t>性別名稱</t>
    <phoneticPr fontId="5" type="noConversion"/>
  </si>
  <si>
    <t>GENDER_NAME</t>
    <phoneticPr fontId="5" type="noConversion"/>
  </si>
  <si>
    <t>生日</t>
    <phoneticPr fontId="5" type="noConversion"/>
  </si>
  <si>
    <t>BIRTHDAY</t>
    <phoneticPr fontId="5" type="noConversion"/>
  </si>
  <si>
    <t>星座</t>
    <phoneticPr fontId="5" type="noConversion"/>
  </si>
  <si>
    <t>CONSTELLATION</t>
    <phoneticPr fontId="5" type="noConversion"/>
  </si>
  <si>
    <t>/api/sys/code: ed.base.bloodType</t>
  </si>
  <si>
    <t>星座名稱</t>
    <phoneticPr fontId="5" type="noConversion"/>
  </si>
  <si>
    <t>CONSTELLATION_NAME</t>
    <phoneticPr fontId="5" type="noConversion"/>
  </si>
  <si>
    <t>血型</t>
    <phoneticPr fontId="5" type="noConversion"/>
  </si>
  <si>
    <t>BLOOD_TYPE</t>
    <phoneticPr fontId="5" type="noConversion"/>
  </si>
  <si>
    <t>血型名稱</t>
    <phoneticPr fontId="5" type="noConversion"/>
  </si>
  <si>
    <t>BLOOD_TYPE_NAME</t>
    <phoneticPr fontId="5" type="noConversion"/>
  </si>
  <si>
    <t>婚姻狀況</t>
    <phoneticPr fontId="5" type="noConversion"/>
  </si>
  <si>
    <t>MARITAL_STATUS</t>
    <phoneticPr fontId="5" type="noConversion"/>
  </si>
  <si>
    <t>1:未婚 2:已婚 3:離異</t>
    <phoneticPr fontId="5" type="noConversion"/>
  </si>
  <si>
    <t>/api/sys/code:ed.base.marriageStatus</t>
  </si>
  <si>
    <t>婚姻狀況名稱</t>
    <phoneticPr fontId="5" type="noConversion"/>
  </si>
  <si>
    <t>MARITAL_STATUS_NAME</t>
    <phoneticPr fontId="5" type="noConversion"/>
  </si>
  <si>
    <t>兵役狀況</t>
    <phoneticPr fontId="5" type="noConversion"/>
  </si>
  <si>
    <t>MILITARY_STATUS</t>
    <phoneticPr fontId="5" type="noConversion"/>
  </si>
  <si>
    <t>1:役畢、2:屆退、3:未役、4:待役、5:免役</t>
    <phoneticPr fontId="5" type="noConversion"/>
  </si>
  <si>
    <t>/api/sys/code:ed.base.militaryStatus</t>
  </si>
  <si>
    <t>兵役狀況名稱</t>
    <phoneticPr fontId="5" type="noConversion"/>
  </si>
  <si>
    <t>MILITARY_STATUS_NAME</t>
    <phoneticPr fontId="5" type="noConversion"/>
  </si>
  <si>
    <t>退伍日期</t>
    <phoneticPr fontId="5" type="noConversion"/>
  </si>
  <si>
    <t>VETERANS_DATE</t>
    <phoneticPr fontId="5" type="noConversion"/>
  </si>
  <si>
    <t>身高</t>
    <phoneticPr fontId="5" type="noConversion"/>
  </si>
  <si>
    <t>HEIGHT</t>
    <phoneticPr fontId="5" type="noConversion"/>
  </si>
  <si>
    <t>DECIMAL</t>
    <phoneticPr fontId="5" type="noConversion"/>
  </si>
  <si>
    <t>4,1</t>
    <phoneticPr fontId="5" type="noConversion"/>
  </si>
  <si>
    <t>體重</t>
    <phoneticPr fontId="5" type="noConversion"/>
  </si>
  <si>
    <t>WEIGHT</t>
    <phoneticPr fontId="5" type="noConversion"/>
  </si>
  <si>
    <t>族群身分</t>
    <phoneticPr fontId="5" type="noConversion"/>
  </si>
  <si>
    <t>ETHNIC_IDENTITY</t>
    <phoneticPr fontId="5" type="noConversion"/>
  </si>
  <si>
    <t>0:一般 1:原住民 2:華僑 3:外籍配偶</t>
    <phoneticPr fontId="5" type="noConversion"/>
  </si>
  <si>
    <t>/api/sys/code:ed.base.ethnicIdentity</t>
  </si>
  <si>
    <t>族群身分名稱</t>
    <phoneticPr fontId="5" type="noConversion"/>
  </si>
  <si>
    <t>ETHNIC_IDENTITY_NAME</t>
  </si>
  <si>
    <t>有無前科</t>
    <phoneticPr fontId="5" type="noConversion"/>
  </si>
  <si>
    <t>IS_CRIMINAL_REC</t>
    <phoneticPr fontId="5" type="noConversion"/>
  </si>
  <si>
    <t>0:無 1:有</t>
    <phoneticPr fontId="5" type="noConversion"/>
  </si>
  <si>
    <t>/api/sys/code:global.withData</t>
  </si>
  <si>
    <t>有無前科名稱</t>
    <phoneticPr fontId="5" type="noConversion"/>
  </si>
  <si>
    <t>IS_CRIMINAL_REC_NAME</t>
  </si>
  <si>
    <t>就職來源名稱</t>
    <phoneticPr fontId="5" type="noConversion"/>
  </si>
  <si>
    <t>WORK_SRC_NAME</t>
    <phoneticPr fontId="5" type="noConversion"/>
  </si>
  <si>
    <t>身障程度1</t>
    <phoneticPr fontId="5" type="noConversion"/>
  </si>
  <si>
    <t>CRIPPLES_LEVEL1</t>
    <phoneticPr fontId="5" type="noConversion"/>
  </si>
  <si>
    <t>/api/sys/code: ed.base.cripplesLevel</t>
  </si>
  <si>
    <t>身障程度1名稱</t>
    <phoneticPr fontId="5" type="noConversion"/>
  </si>
  <si>
    <t>CRIPPLES_LEVEL1_NAME</t>
  </si>
  <si>
    <t>殘障類別1</t>
    <phoneticPr fontId="5" type="noConversion"/>
  </si>
  <si>
    <t>CRIPPLES_CLASS1</t>
    <phoneticPr fontId="5" type="noConversion"/>
  </si>
  <si>
    <t>/api/sys/code: ed.base.cripplesClass</t>
  </si>
  <si>
    <t>殘障類別1名稱</t>
    <phoneticPr fontId="5" type="noConversion"/>
  </si>
  <si>
    <t>CRIPPLES_CLASS1_NAME</t>
  </si>
  <si>
    <t>身障程度2</t>
    <phoneticPr fontId="5" type="noConversion"/>
  </si>
  <si>
    <t>CRIPPLES_LEVEL2</t>
    <phoneticPr fontId="5" type="noConversion"/>
  </si>
  <si>
    <t>身障程度2名稱</t>
    <phoneticPr fontId="5" type="noConversion"/>
  </si>
  <si>
    <t>CRIPPLES_LEVEL2_NAME</t>
  </si>
  <si>
    <t>殘障類別2</t>
    <phoneticPr fontId="5" type="noConversion"/>
  </si>
  <si>
    <t>CRIPPLES_CLASS2</t>
    <phoneticPr fontId="5" type="noConversion"/>
  </si>
  <si>
    <t>殘障類別2名稱</t>
    <phoneticPr fontId="5" type="noConversion"/>
  </si>
  <si>
    <t>CRIPPLES_CLASS2_NAME</t>
  </si>
  <si>
    <t>身障程度3</t>
    <phoneticPr fontId="5" type="noConversion"/>
  </si>
  <si>
    <t>CRIPPLES_LEVEL3</t>
    <phoneticPr fontId="5" type="noConversion"/>
  </si>
  <si>
    <t>身障程度3名稱</t>
    <phoneticPr fontId="5" type="noConversion"/>
  </si>
  <si>
    <t>CRIPPLES_LEVEL3_NAME</t>
  </si>
  <si>
    <t>殘障類別3</t>
    <phoneticPr fontId="5" type="noConversion"/>
  </si>
  <si>
    <t>CRIPPLES_CLASS3</t>
    <phoneticPr fontId="5" type="noConversion"/>
  </si>
  <si>
    <t>殘障類別3名稱</t>
    <phoneticPr fontId="5" type="noConversion"/>
  </si>
  <si>
    <t>CRIPPLES_CLASS3_NAME</t>
  </si>
  <si>
    <t>外僑統一證號</t>
    <phoneticPr fontId="5" type="noConversion"/>
  </si>
  <si>
    <t>ALIEN_IDC_NO</t>
    <phoneticPr fontId="5" type="noConversion"/>
  </si>
  <si>
    <t>仲介單位代碼</t>
  </si>
  <si>
    <t>AGENT_CODE</t>
  </si>
  <si>
    <t>仲介單位名稱</t>
    <phoneticPr fontId="5" type="noConversion"/>
  </si>
  <si>
    <t>AGENT_NAME</t>
    <phoneticPr fontId="5" type="noConversion"/>
  </si>
  <si>
    <t>護照號碼</t>
    <phoneticPr fontId="5" type="noConversion"/>
  </si>
  <si>
    <t>PASSPORT_NO</t>
    <phoneticPr fontId="5" type="noConversion"/>
  </si>
  <si>
    <t>護照姓名</t>
    <phoneticPr fontId="5" type="noConversion"/>
  </si>
  <si>
    <t>PASSPORT_NAME</t>
    <phoneticPr fontId="5" type="noConversion"/>
  </si>
  <si>
    <t>入境日期</t>
    <phoneticPr fontId="5" type="noConversion"/>
  </si>
  <si>
    <t>ENTER_DATE</t>
    <phoneticPr fontId="5" type="noConversion"/>
  </si>
  <si>
    <t>出境日期</t>
    <phoneticPr fontId="5" type="noConversion"/>
  </si>
  <si>
    <t>OUTBOUND_DATE</t>
    <phoneticPr fontId="5" type="noConversion"/>
  </si>
  <si>
    <t>居留證到期日</t>
    <phoneticPr fontId="5" type="noConversion"/>
  </si>
  <si>
    <t>DUE_DATE</t>
    <phoneticPr fontId="5" type="noConversion"/>
  </si>
  <si>
    <t>公司電話</t>
    <phoneticPr fontId="5" type="noConversion"/>
  </si>
  <si>
    <t>OFFICE_TEL</t>
    <phoneticPr fontId="5" type="noConversion"/>
  </si>
  <si>
    <t>公司電話-分機</t>
    <phoneticPr fontId="5" type="noConversion"/>
  </si>
  <si>
    <t>OFFICE_TEL_EXT</t>
    <phoneticPr fontId="5" type="noConversion"/>
  </si>
  <si>
    <t>住家電話</t>
    <phoneticPr fontId="5" type="noConversion"/>
  </si>
  <si>
    <t>HOME_TEL</t>
    <phoneticPr fontId="5" type="noConversion"/>
  </si>
  <si>
    <t>戶籍電話</t>
    <phoneticPr fontId="5" type="noConversion"/>
  </si>
  <si>
    <t>LIVE_TEL</t>
    <phoneticPr fontId="5" type="noConversion"/>
  </si>
  <si>
    <t>行動電話</t>
    <phoneticPr fontId="5" type="noConversion"/>
  </si>
  <si>
    <t>MOBILE_TEL</t>
    <phoneticPr fontId="5" type="noConversion"/>
  </si>
  <si>
    <t>公司e-mail</t>
    <phoneticPr fontId="5" type="noConversion"/>
  </si>
  <si>
    <t>OFFICE_EMAIL</t>
    <phoneticPr fontId="5" type="noConversion"/>
  </si>
  <si>
    <t>個人 e-mail</t>
    <phoneticPr fontId="5" type="noConversion"/>
  </si>
  <si>
    <t>PERSONAL_EMAIL</t>
    <phoneticPr fontId="5" type="noConversion"/>
  </si>
  <si>
    <t>戶籍郵遞區號</t>
    <phoneticPr fontId="5" type="noConversion"/>
  </si>
  <si>
    <t>LIVE_POSTAL_CODE</t>
    <phoneticPr fontId="5" type="noConversion"/>
  </si>
  <si>
    <t>戶籍郵遞區號名稱</t>
    <phoneticPr fontId="5" type="noConversion"/>
  </si>
  <si>
    <t>LIVE_POSTAL_CODE_NAME</t>
  </si>
  <si>
    <t>戶籍地址</t>
    <phoneticPr fontId="5" type="noConversion"/>
  </si>
  <si>
    <t>LIVE_ADDRESS</t>
    <phoneticPr fontId="5" type="noConversion"/>
  </si>
  <si>
    <t>(不含縣市地區的地址)解密</t>
    <phoneticPr fontId="5" type="noConversion"/>
  </si>
  <si>
    <t>完整戶籍地址</t>
    <phoneticPr fontId="5" type="noConversion"/>
  </si>
  <si>
    <t>LIVE_ADDRESS_TW</t>
  </si>
  <si>
    <t>完整地址解密</t>
    <phoneticPr fontId="5" type="noConversion"/>
  </si>
  <si>
    <t>通訊郵遞區號</t>
    <phoneticPr fontId="5" type="noConversion"/>
  </si>
  <si>
    <t>CONTACT_POSTAL_CODE</t>
    <phoneticPr fontId="5" type="noConversion"/>
  </si>
  <si>
    <t>通訊郵遞區號名稱</t>
    <phoneticPr fontId="5" type="noConversion"/>
  </si>
  <si>
    <t>CONTACT_POSTAL_CODE_NAME</t>
  </si>
  <si>
    <t>通訊地址</t>
    <phoneticPr fontId="5" type="noConversion"/>
  </si>
  <si>
    <t>CONTACT_ADDRESS</t>
    <phoneticPr fontId="5" type="noConversion"/>
  </si>
  <si>
    <t>完整通訊地址</t>
    <phoneticPr fontId="5" type="noConversion"/>
  </si>
  <si>
    <t>CONTACT_ADDRESS_TW</t>
  </si>
  <si>
    <t>國外地址</t>
    <phoneticPr fontId="5" type="noConversion"/>
  </si>
  <si>
    <t>CONTACT_ADDRESS_EN</t>
    <phoneticPr fontId="5" type="noConversion"/>
  </si>
  <si>
    <t>社群帳號(1)</t>
    <phoneticPr fontId="5" type="noConversion"/>
  </si>
  <si>
    <t>SOCIAL_ACCOUNT1</t>
    <phoneticPr fontId="5" type="noConversion"/>
  </si>
  <si>
    <t>社群帳號(2)</t>
    <phoneticPr fontId="5" type="noConversion"/>
  </si>
  <si>
    <t>SOCIAL_ACCOUNT2</t>
    <phoneticPr fontId="5" type="noConversion"/>
  </si>
  <si>
    <t>緊急聯絡人(1)</t>
    <phoneticPr fontId="5" type="noConversion"/>
  </si>
  <si>
    <t>URGENCY_CONTACT1</t>
    <phoneticPr fontId="5" type="noConversion"/>
  </si>
  <si>
    <t>緊急聯絡人關係(1)</t>
    <phoneticPr fontId="5" type="noConversion"/>
  </si>
  <si>
    <t>URGENCY_RELATION1</t>
    <phoneticPr fontId="5" type="noConversion"/>
  </si>
  <si>
    <t>syscode:ed.family.relation</t>
    <phoneticPr fontId="5" type="noConversion"/>
  </si>
  <si>
    <t>緊急聯絡人關係(1)名稱</t>
    <phoneticPr fontId="5" type="noConversion"/>
  </si>
  <si>
    <t>URGENCY_RELATION1_NAME</t>
  </si>
  <si>
    <t>電話(1)</t>
    <phoneticPr fontId="5" type="noConversion"/>
  </si>
  <si>
    <t>URGENCY_TEL1</t>
    <phoneticPr fontId="5" type="noConversion"/>
  </si>
  <si>
    <t>行動電話(1)</t>
    <phoneticPr fontId="5" type="noConversion"/>
  </si>
  <si>
    <t>URGENCY_MOBILE1</t>
    <phoneticPr fontId="5" type="noConversion"/>
  </si>
  <si>
    <t>緊急聯絡人(2)</t>
    <phoneticPr fontId="5" type="noConversion"/>
  </si>
  <si>
    <t>URGENCY_CONTACT2</t>
    <phoneticPr fontId="5" type="noConversion"/>
  </si>
  <si>
    <t>緊急聯絡人關係(2)</t>
    <phoneticPr fontId="5" type="noConversion"/>
  </si>
  <si>
    <t>URGENCY_RELATION2</t>
    <phoneticPr fontId="5" type="noConversion"/>
  </si>
  <si>
    <t>緊急聯絡人關係(2)名稱</t>
    <phoneticPr fontId="5" type="noConversion"/>
  </si>
  <si>
    <t>URGENCY_RELATION2_NAME</t>
  </si>
  <si>
    <t>電話(2)</t>
    <phoneticPr fontId="5" type="noConversion"/>
  </si>
  <si>
    <t>URGENCY_TEL2</t>
    <phoneticPr fontId="5" type="noConversion"/>
  </si>
  <si>
    <t>行動電話(2)</t>
    <phoneticPr fontId="5" type="noConversion"/>
  </si>
  <si>
    <t>URGENCY_MOBILE2</t>
    <phoneticPr fontId="5" type="noConversion"/>
  </si>
  <si>
    <t>公司扣繳統編_ID</t>
    <phoneticPr fontId="5" type="noConversion"/>
  </si>
  <si>
    <t>公司扣繳統編</t>
    <phoneticPr fontId="5" type="noConversion"/>
  </si>
  <si>
    <t>TAXID_NO</t>
  </si>
  <si>
    <t>公司扣繳統編名稱</t>
    <phoneticPr fontId="5" type="noConversion"/>
  </si>
  <si>
    <t>SNO_NAME</t>
  </si>
  <si>
    <t>部門1_ID</t>
    <phoneticPr fontId="5" type="noConversion"/>
  </si>
  <si>
    <t>DEPT1_ID</t>
  </si>
  <si>
    <t>os_dept.ORG_TYPE_CODE='1'</t>
    <phoneticPr fontId="5" type="noConversion"/>
  </si>
  <si>
    <t>部門1</t>
    <phoneticPr fontId="5" type="noConversion"/>
  </si>
  <si>
    <t>DEPT1_CODE</t>
  </si>
  <si>
    <t>部門1名稱</t>
    <phoneticPr fontId="5" type="noConversion"/>
  </si>
  <si>
    <t>DEPT1_NAME</t>
  </si>
  <si>
    <t>部門2_ID</t>
    <phoneticPr fontId="5" type="noConversion"/>
  </si>
  <si>
    <t>DEPT2_ID</t>
  </si>
  <si>
    <t>os_dept.ORG_TYPE_CODE='2'</t>
    <phoneticPr fontId="5" type="noConversion"/>
  </si>
  <si>
    <t>/api/os/dept</t>
  </si>
  <si>
    <t>部門2</t>
    <phoneticPr fontId="5" type="noConversion"/>
  </si>
  <si>
    <t>DEPT2_CODE</t>
  </si>
  <si>
    <t>部門2名稱</t>
    <phoneticPr fontId="5" type="noConversion"/>
  </si>
  <si>
    <t>DEPT2_NAME</t>
  </si>
  <si>
    <t>部門3_ID</t>
    <phoneticPr fontId="5" type="noConversion"/>
  </si>
  <si>
    <t>DEPT3_ID</t>
  </si>
  <si>
    <t>os_dept.ORG_TYPE_CODE='3'</t>
    <phoneticPr fontId="5" type="noConversion"/>
  </si>
  <si>
    <t>部門3</t>
    <phoneticPr fontId="5" type="noConversion"/>
  </si>
  <si>
    <t>DEPT3_CODE</t>
  </si>
  <si>
    <t>部門3名稱</t>
    <phoneticPr fontId="5" type="noConversion"/>
  </si>
  <si>
    <t>DEPT3_NAME</t>
  </si>
  <si>
    <t>部門4_ID</t>
    <phoneticPr fontId="5" type="noConversion"/>
  </si>
  <si>
    <t>DEPT4_ID</t>
  </si>
  <si>
    <t>os_dept.ORG_TYPE_CODE='4'</t>
    <phoneticPr fontId="5" type="noConversion"/>
  </si>
  <si>
    <t>部門4</t>
    <phoneticPr fontId="5" type="noConversion"/>
  </si>
  <si>
    <t>DEPT4_CODE</t>
  </si>
  <si>
    <t>部門4名稱</t>
    <phoneticPr fontId="5" type="noConversion"/>
  </si>
  <si>
    <t>DEPT4_NAME</t>
  </si>
  <si>
    <t>部門5_ID</t>
    <phoneticPr fontId="5" type="noConversion"/>
  </si>
  <si>
    <t>DEPT5_ID</t>
  </si>
  <si>
    <t>os_dept.ORG_TYPE_CODE='5'</t>
    <phoneticPr fontId="5" type="noConversion"/>
  </si>
  <si>
    <t>部門5</t>
    <phoneticPr fontId="5" type="noConversion"/>
  </si>
  <si>
    <t>DEPT5_CODE</t>
  </si>
  <si>
    <t>部門5名稱</t>
    <phoneticPr fontId="5" type="noConversion"/>
  </si>
  <si>
    <t>DEPT5_NAME</t>
  </si>
  <si>
    <t>JOB_ID</t>
  </si>
  <si>
    <t>職位代號</t>
    <phoneticPr fontId="5" type="noConversion"/>
  </si>
  <si>
    <t>職等代號</t>
    <phoneticPr fontId="5" type="noConversion"/>
  </si>
  <si>
    <t>GRADE_CODE</t>
    <phoneticPr fontId="5" type="noConversion"/>
  </si>
  <si>
    <t>GRADE_NAME</t>
  </si>
  <si>
    <t>LEVEL_ID</t>
  </si>
  <si>
    <t>職級代號</t>
    <phoneticPr fontId="5" type="noConversion"/>
  </si>
  <si>
    <t>LEVEL_NAME</t>
  </si>
  <si>
    <t>職務類別_ID</t>
    <phoneticPr fontId="5" type="noConversion"/>
  </si>
  <si>
    <t>JOB_CAT_ID</t>
  </si>
  <si>
    <t>職務類別代號</t>
    <phoneticPr fontId="5" type="noConversion"/>
  </si>
  <si>
    <t>JOB_CAT_NAME</t>
  </si>
  <si>
    <t>職種_ID</t>
    <phoneticPr fontId="5" type="noConversion"/>
  </si>
  <si>
    <t>JOB_STYLE_ID</t>
    <phoneticPr fontId="5" type="noConversion"/>
  </si>
  <si>
    <t>職種代號</t>
    <phoneticPr fontId="5" type="noConversion"/>
  </si>
  <si>
    <t>JOB_STYLE_CODE</t>
  </si>
  <si>
    <t>JOB_STYLE_NAME</t>
  </si>
  <si>
    <t>適用職務說明書_ID</t>
    <phoneticPr fontId="5" type="noConversion"/>
  </si>
  <si>
    <t>JOB_DESC_ID</t>
  </si>
  <si>
    <t>適用職務說明書代號</t>
    <phoneticPr fontId="5" type="noConversion"/>
  </si>
  <si>
    <t>JOB_DESC_CODE</t>
  </si>
  <si>
    <t>適用職務說明書名稱</t>
    <phoneticPr fontId="5" type="noConversion"/>
  </si>
  <si>
    <t>JOB_DESC_NAME</t>
  </si>
  <si>
    <t>名片職務_ID</t>
    <phoneticPr fontId="5" type="noConversion"/>
  </si>
  <si>
    <t>JOB_BIZ_ID</t>
  </si>
  <si>
    <t>名片職務代號</t>
    <phoneticPr fontId="5" type="noConversion"/>
  </si>
  <si>
    <t>JOB_BIZ_CODE</t>
  </si>
  <si>
    <t>JOB_BIZ_NAME</t>
  </si>
  <si>
    <t>身份類別_ID</t>
    <phoneticPr fontId="5" type="noConversion"/>
  </si>
  <si>
    <t>IDENTITY_ID</t>
  </si>
  <si>
    <t>身份類別代號</t>
    <phoneticPr fontId="5" type="noConversion"/>
  </si>
  <si>
    <t>身份類別名稱</t>
    <phoneticPr fontId="5" type="noConversion"/>
  </si>
  <si>
    <t>IDENTITY_NAME</t>
  </si>
  <si>
    <t>直/間接員工</t>
    <phoneticPr fontId="5" type="noConversion"/>
  </si>
  <si>
    <t>EMPLOYEE_TYPE</t>
  </si>
  <si>
    <t>/api/sys/code: ed.job.empType</t>
  </si>
  <si>
    <t>直/間接員工名稱</t>
    <phoneticPr fontId="5" type="noConversion"/>
  </si>
  <si>
    <t>EMPLOYEE_TYPE_NAME</t>
  </si>
  <si>
    <t>責任區分</t>
    <phoneticPr fontId="5" type="noConversion"/>
  </si>
  <si>
    <t>RESPOBILITY</t>
  </si>
  <si>
    <t>/api/sys/code: ed.job.responsibility</t>
  </si>
  <si>
    <t>責任區分名稱</t>
    <phoneticPr fontId="5" type="noConversion"/>
  </si>
  <si>
    <t>RESPOBILITY_NAME</t>
  </si>
  <si>
    <t>編制狀態</t>
    <phoneticPr fontId="5" type="noConversion"/>
  </si>
  <si>
    <t>HEADCOUNT_STATUS</t>
  </si>
  <si>
    <t>/api/sys/code: ed.job.headCount</t>
  </si>
  <si>
    <t>編制狀態名稱</t>
    <phoneticPr fontId="5" type="noConversion"/>
  </si>
  <si>
    <t>HEADCOUNT_STATUS_NAME</t>
  </si>
  <si>
    <t>AREA_ID</t>
  </si>
  <si>
    <t>工作區域代號</t>
    <phoneticPr fontId="5" type="noConversion"/>
  </si>
  <si>
    <t>AREA_NAME</t>
  </si>
  <si>
    <t>工作地點_ID</t>
    <phoneticPr fontId="5" type="noConversion"/>
  </si>
  <si>
    <t>SITE_ID</t>
    <phoneticPr fontId="5" type="noConversion"/>
  </si>
  <si>
    <t>工作地點代號</t>
    <phoneticPr fontId="5" type="noConversion"/>
  </si>
  <si>
    <t>SITE_NAME</t>
  </si>
  <si>
    <t>廠別_ID</t>
    <phoneticPr fontId="5" type="noConversion"/>
  </si>
  <si>
    <t>FACTORY_ID</t>
  </si>
  <si>
    <t>廠別代號</t>
    <phoneticPr fontId="5" type="noConversion"/>
  </si>
  <si>
    <t>FACTORY_NAME</t>
  </si>
  <si>
    <t>是否已試用期滿</t>
    <phoneticPr fontId="5" type="noConversion"/>
  </si>
  <si>
    <t>IS_PASS_PROBATION</t>
    <phoneticPr fontId="5" type="noConversion"/>
  </si>
  <si>
    <t>1:已試用期滿 0:未試用期滿</t>
    <phoneticPr fontId="5" type="noConversion"/>
  </si>
  <si>
    <t>/api/sys/code:ed.job.isPassProbation</t>
  </si>
  <si>
    <t>試用期天數</t>
    <phoneticPr fontId="5" type="noConversion"/>
  </si>
  <si>
    <t>PP_DAY</t>
    <phoneticPr fontId="5" type="noConversion"/>
  </si>
  <si>
    <t>試用期滿日期</t>
    <phoneticPr fontId="5" type="noConversion"/>
  </si>
  <si>
    <t>PP_DATE</t>
    <phoneticPr fontId="5" type="noConversion"/>
  </si>
  <si>
    <t>試用期說明</t>
    <phoneticPr fontId="5" type="noConversion"/>
  </si>
  <si>
    <t>PP_DESC</t>
    <phoneticPr fontId="5" type="noConversion"/>
  </si>
  <si>
    <t>在職狀況</t>
    <phoneticPr fontId="5" type="noConversion"/>
  </si>
  <si>
    <t>WORK_STATUS</t>
    <phoneticPr fontId="5" type="noConversion"/>
  </si>
  <si>
    <t>0:錄取待報到 1:在職 2:留職停薪 3:離職</t>
    <phoneticPr fontId="5" type="noConversion"/>
  </si>
  <si>
    <t>/api/sys/code: ed.job.workStatus</t>
  </si>
  <si>
    <t>在職狀況名稱</t>
    <phoneticPr fontId="5" type="noConversion"/>
  </si>
  <si>
    <t>WORK_STATUS_NAME</t>
    <phoneticPr fontId="5" type="noConversion"/>
  </si>
  <si>
    <t>到職日期</t>
    <phoneticPr fontId="5" type="noConversion"/>
  </si>
  <si>
    <t>HIRE_DATE</t>
    <phoneticPr fontId="5" type="noConversion"/>
  </si>
  <si>
    <t>到企業集團日</t>
    <phoneticPr fontId="5" type="noConversion"/>
  </si>
  <si>
    <t>ORG_HIRE_DATE</t>
    <phoneticPr fontId="5" type="noConversion"/>
  </si>
  <si>
    <t>轉出集團日</t>
    <phoneticPr fontId="5" type="noConversion"/>
  </si>
  <si>
    <t>ORG_QUIT_DATE</t>
    <phoneticPr fontId="5" type="noConversion"/>
  </si>
  <si>
    <t>最後離職日期</t>
    <phoneticPr fontId="5" type="noConversion"/>
  </si>
  <si>
    <t>QUIT_DATE</t>
    <phoneticPr fontId="5" type="noConversion"/>
  </si>
  <si>
    <t>(離職當日仍在職)</t>
    <phoneticPr fontId="5" type="noConversion"/>
  </si>
  <si>
    <t>最後離職復職日期</t>
    <phoneticPr fontId="5" type="noConversion"/>
  </si>
  <si>
    <t>QUIT_RETURN_DATE</t>
    <phoneticPr fontId="5" type="noConversion"/>
  </si>
  <si>
    <t>最後留職停薪日期</t>
    <phoneticPr fontId="5" type="noConversion"/>
  </si>
  <si>
    <t>STOP_DATE</t>
    <phoneticPr fontId="5" type="noConversion"/>
  </si>
  <si>
    <t>(留停當日仍在職)</t>
    <phoneticPr fontId="5" type="noConversion"/>
  </si>
  <si>
    <t>最後留停復職日期</t>
    <phoneticPr fontId="5" type="noConversion"/>
  </si>
  <si>
    <t>STOP_RETURN_DATE</t>
    <phoneticPr fontId="5" type="noConversion"/>
  </si>
  <si>
    <t>工作年資起始日</t>
    <phoneticPr fontId="5" type="noConversion"/>
  </si>
  <si>
    <t>WORK_YEAR_STARTDATE</t>
  </si>
  <si>
    <t>退休年資起始日</t>
    <phoneticPr fontId="5" type="noConversion"/>
  </si>
  <si>
    <t>RETIRE_YEAR_STARTDATE</t>
  </si>
  <si>
    <t>員工生效卡號</t>
    <phoneticPr fontId="5" type="noConversion"/>
  </si>
  <si>
    <t>CARDNO</t>
    <phoneticPr fontId="5" type="noConversion"/>
  </si>
  <si>
    <t>員工Portal_ID</t>
    <phoneticPr fontId="5" type="noConversion"/>
  </si>
  <si>
    <t>PORTAL_USER_ID</t>
    <phoneticPr fontId="5" type="noConversion"/>
  </si>
  <si>
    <t>員工Portal帳號</t>
    <phoneticPr fontId="5" type="noConversion"/>
  </si>
  <si>
    <t>PORTAL_USER_ACCOUNT</t>
    <phoneticPr fontId="5" type="noConversion"/>
  </si>
  <si>
    <t>員工Portal名稱</t>
    <phoneticPr fontId="5" type="noConversion"/>
  </si>
  <si>
    <t>PORTAL_USER_NAME</t>
    <phoneticPr fontId="5" type="noConversion"/>
  </si>
  <si>
    <t>新增_日期</t>
    <phoneticPr fontId="5" type="noConversion"/>
  </si>
  <si>
    <t>C_DATETIME</t>
    <phoneticPr fontId="5" type="noConversion"/>
  </si>
  <si>
    <t>DATETIME</t>
  </si>
  <si>
    <t>員工ID</t>
    <phoneticPr fontId="5" type="noConversion"/>
  </si>
  <si>
    <t>公司代號</t>
  </si>
  <si>
    <t>84598349</t>
    <phoneticPr fontId="5" type="noConversion"/>
  </si>
  <si>
    <t>A001,A002</t>
    <phoneticPr fontId="5" type="noConversion"/>
  </si>
  <si>
    <t>員工_編號</t>
    <phoneticPr fontId="5" type="noConversion"/>
  </si>
  <si>
    <t>/api/ed/emp_photo</t>
    <phoneticPr fontId="5" type="noConversion"/>
  </si>
  <si>
    <t>員工照片檔</t>
    <phoneticPr fontId="5" type="noConversion"/>
  </si>
  <si>
    <t>員工照片</t>
    <phoneticPr fontId="5" type="noConversion"/>
  </si>
  <si>
    <t>PHOTO</t>
    <phoneticPr fontId="5" type="noConversion"/>
  </si>
  <si>
    <t>MEDIUMTEXT</t>
    <phoneticPr fontId="5" type="noConversion"/>
  </si>
  <si>
    <t>以Base64 方式存入</t>
    <phoneticPr fontId="5" type="noConversion"/>
  </si>
  <si>
    <t>/api/ed/emp_training</t>
    <phoneticPr fontId="5" type="noConversion"/>
  </si>
  <si>
    <t>員工訓練資料</t>
    <phoneticPr fontId="5" type="noConversion"/>
  </si>
  <si>
    <t>訓練時間起</t>
    <phoneticPr fontId="5" type="noConversion"/>
  </si>
  <si>
    <t>COURSE_START</t>
    <phoneticPr fontId="5" type="noConversion"/>
  </si>
  <si>
    <t>2021/01/01</t>
    <phoneticPr fontId="5" type="noConversion"/>
  </si>
  <si>
    <t>訓練時間迄</t>
    <phoneticPr fontId="5" type="noConversion"/>
  </si>
  <si>
    <t>COURSE_END</t>
    <phoneticPr fontId="5" type="noConversion"/>
  </si>
  <si>
    <t>2021/12/31</t>
    <phoneticPr fontId="5" type="noConversion"/>
  </si>
  <si>
    <t>員工訓練_ID</t>
    <phoneticPr fontId="5" type="noConversion"/>
  </si>
  <si>
    <t>EMP_TRAINING_ID</t>
    <phoneticPr fontId="5" type="noConversion"/>
  </si>
  <si>
    <t>課程名稱</t>
    <phoneticPr fontId="5" type="noConversion"/>
  </si>
  <si>
    <t>COURSE_NAME</t>
    <phoneticPr fontId="5" type="noConversion"/>
  </si>
  <si>
    <t>訓練種類</t>
    <phoneticPr fontId="5" type="noConversion"/>
  </si>
  <si>
    <t>TRAINING_TYPE</t>
    <phoneticPr fontId="5" type="noConversion"/>
  </si>
  <si>
    <t>1-內訓 2-外訓</t>
    <phoneticPr fontId="5" type="noConversion"/>
  </si>
  <si>
    <t>/api/sys/code:ed.training.type</t>
  </si>
  <si>
    <t>課程分類</t>
    <phoneticPr fontId="5" type="noConversion"/>
  </si>
  <si>
    <t>課程分類代碼</t>
    <phoneticPr fontId="5" type="noConversion"/>
  </si>
  <si>
    <t>課程分類名稱</t>
    <phoneticPr fontId="5" type="noConversion"/>
  </si>
  <si>
    <t>課程分類名稱_JSON</t>
    <phoneticPr fontId="5" type="noConversion"/>
  </si>
  <si>
    <t>課程需求</t>
    <phoneticPr fontId="5" type="noConversion"/>
  </si>
  <si>
    <t>COURSE_REQUIRE</t>
    <phoneticPr fontId="5" type="noConversion"/>
  </si>
  <si>
    <t>1-主管指派  2-個人需求</t>
    <phoneticPr fontId="5" type="noConversion"/>
  </si>
  <si>
    <t>/api/sys/code:ed.training.courseRequire</t>
  </si>
  <si>
    <t>上課方式</t>
    <phoneticPr fontId="5" type="noConversion"/>
  </si>
  <si>
    <t>COURSE_EXEC</t>
    <phoneticPr fontId="5" type="noConversion"/>
  </si>
  <si>
    <t>1-實體課程 2-線上課程</t>
    <phoneticPr fontId="5" type="noConversion"/>
  </si>
  <si>
    <t>/api/sys/code:ed.training.courseExec</t>
  </si>
  <si>
    <t>主辦單位</t>
    <phoneticPr fontId="5" type="noConversion"/>
  </si>
  <si>
    <t>ORGANIZER</t>
    <phoneticPr fontId="5" type="noConversion"/>
  </si>
  <si>
    <t>訓練地點</t>
    <phoneticPr fontId="5" type="noConversion"/>
  </si>
  <si>
    <t>LOCATION</t>
    <phoneticPr fontId="5" type="noConversion"/>
  </si>
  <si>
    <t>講師姓名</t>
    <phoneticPr fontId="5" type="noConversion"/>
  </si>
  <si>
    <t>TRAINER</t>
    <phoneticPr fontId="5" type="noConversion"/>
  </si>
  <si>
    <t>上課時間起</t>
    <phoneticPr fontId="5" type="noConversion"/>
  </si>
  <si>
    <t>含時間(非UTC)</t>
    <phoneticPr fontId="5" type="noConversion"/>
  </si>
  <si>
    <t>上課時間迄</t>
    <phoneticPr fontId="5" type="noConversion"/>
  </si>
  <si>
    <t>課程時數</t>
    <phoneticPr fontId="5" type="noConversion"/>
  </si>
  <si>
    <t>COURSE_HOUR</t>
    <phoneticPr fontId="5" type="noConversion"/>
  </si>
  <si>
    <t>8,2</t>
    <phoneticPr fontId="5" type="noConversion"/>
  </si>
  <si>
    <t>測驗分數</t>
    <phoneticPr fontId="5" type="noConversion"/>
  </si>
  <si>
    <t>TEST_SCORE</t>
    <phoneticPr fontId="5" type="noConversion"/>
  </si>
  <si>
    <t>測驗結果</t>
    <phoneticPr fontId="5" type="noConversion"/>
  </si>
  <si>
    <t>TEST_RESULT</t>
    <phoneticPr fontId="5" type="noConversion"/>
  </si>
  <si>
    <t>1:合格、0:不合格 2:空白</t>
    <phoneticPr fontId="5" type="noConversion"/>
  </si>
  <si>
    <t>/api/sys/code:ed.training.testResult</t>
  </si>
  <si>
    <t>不合格原因</t>
    <phoneticPr fontId="5" type="noConversion"/>
  </si>
  <si>
    <t>TEST_REASON</t>
    <phoneticPr fontId="5" type="noConversion"/>
  </si>
  <si>
    <t>費用分攤(公司)-幣別</t>
    <phoneticPr fontId="5" type="noConversion"/>
  </si>
  <si>
    <t>CO_FEE_CUR</t>
    <phoneticPr fontId="5" type="noConversion"/>
  </si>
  <si>
    <t>/api/sys/code:global.currency</t>
  </si>
  <si>
    <t>費用分攤(公司)-金額</t>
    <phoneticPr fontId="5" type="noConversion"/>
  </si>
  <si>
    <t>CO_FEE</t>
    <phoneticPr fontId="5" type="noConversion"/>
  </si>
  <si>
    <t>11,2</t>
    <phoneticPr fontId="5" type="noConversion"/>
  </si>
  <si>
    <t>費用分攤(員工)-幣別</t>
    <phoneticPr fontId="5" type="noConversion"/>
  </si>
  <si>
    <t>EMP_FEE_CUR</t>
    <phoneticPr fontId="5" type="noConversion"/>
  </si>
  <si>
    <t>費用分攤(員工)-金額</t>
    <phoneticPr fontId="5" type="noConversion"/>
  </si>
  <si>
    <t>EMP_FEE</t>
    <phoneticPr fontId="5" type="noConversion"/>
  </si>
  <si>
    <t>工作簽約期限-年</t>
    <phoneticPr fontId="5" type="noConversion"/>
  </si>
  <si>
    <t>WORK_CONTRACT_YEAR</t>
    <phoneticPr fontId="5" type="noConversion"/>
  </si>
  <si>
    <t>工作簽約期限-月</t>
    <phoneticPr fontId="5" type="noConversion"/>
  </si>
  <si>
    <t>WORK_CONTRACT_MONTH</t>
    <phoneticPr fontId="5" type="noConversion"/>
  </si>
  <si>
    <t>工作簽約到期日</t>
    <phoneticPr fontId="5" type="noConversion"/>
  </si>
  <si>
    <t>WORK_CONTRACT_DATE</t>
    <phoneticPr fontId="5" type="noConversion"/>
  </si>
  <si>
    <t>TRAINING_NOTE</t>
    <phoneticPr fontId="5" type="noConversion"/>
  </si>
  <si>
    <t>/api/ed/emp_perf</t>
    <phoneticPr fontId="5" type="noConversion"/>
  </si>
  <si>
    <t>員工績效資料</t>
    <phoneticPr fontId="5" type="noConversion"/>
  </si>
  <si>
    <t>考核年度起</t>
    <phoneticPr fontId="5" type="noConversion"/>
  </si>
  <si>
    <t>S_YEAR</t>
    <phoneticPr fontId="5" type="noConversion"/>
  </si>
  <si>
    <t>2020</t>
    <phoneticPr fontId="5" type="noConversion"/>
  </si>
  <si>
    <t>考核年度迄</t>
    <phoneticPr fontId="5" type="noConversion"/>
  </si>
  <si>
    <t>E_YEAR</t>
    <phoneticPr fontId="5" type="noConversion"/>
  </si>
  <si>
    <t>2023</t>
    <phoneticPr fontId="5" type="noConversion"/>
  </si>
  <si>
    <t>員工績效_ID</t>
    <phoneticPr fontId="5" type="noConversion"/>
  </si>
  <si>
    <t>EMP_PERF_ID</t>
    <phoneticPr fontId="5" type="noConversion"/>
  </si>
  <si>
    <t>考核年度</t>
    <phoneticPr fontId="5" type="noConversion"/>
  </si>
  <si>
    <t>PERF_YEAR</t>
    <phoneticPr fontId="5" type="noConversion"/>
  </si>
  <si>
    <t>考核種類</t>
    <phoneticPr fontId="5" type="noConversion"/>
  </si>
  <si>
    <t>績效管理名稱</t>
    <phoneticPr fontId="5" type="noConversion"/>
  </si>
  <si>
    <t>PERF_NAME</t>
    <phoneticPr fontId="5" type="noConversion"/>
  </si>
  <si>
    <t>績效管理起日</t>
    <phoneticPr fontId="5" type="noConversion"/>
  </si>
  <si>
    <t>PERF_START_DATE</t>
    <phoneticPr fontId="5" type="noConversion"/>
  </si>
  <si>
    <t>績效管理迄日</t>
    <phoneticPr fontId="5" type="noConversion"/>
  </si>
  <si>
    <t>PERF_END_DATE</t>
    <phoneticPr fontId="5" type="noConversion"/>
  </si>
  <si>
    <t>評核分數</t>
    <phoneticPr fontId="5" type="noConversion"/>
  </si>
  <si>
    <t>PERF_SCORE</t>
    <phoneticPr fontId="5" type="noConversion"/>
  </si>
  <si>
    <t>評核等級_ID</t>
    <phoneticPr fontId="5" type="noConversion"/>
  </si>
  <si>
    <t>0:未評核  , 剩餘為代碼檔</t>
    <phoneticPr fontId="5" type="noConversion"/>
  </si>
  <si>
    <t>是否通過</t>
    <phoneticPr fontId="5" type="noConversion"/>
  </si>
  <si>
    <t>IS_PASS</t>
    <phoneticPr fontId="5" type="noConversion"/>
  </si>
  <si>
    <t>1-通過 0-未通過</t>
    <phoneticPr fontId="5" type="noConversion"/>
  </si>
  <si>
    <t>/api/sys/code:ed.perf.pass</t>
  </si>
  <si>
    <t>評語</t>
    <phoneticPr fontId="5" type="noConversion"/>
  </si>
  <si>
    <t>PERF_COMMENT</t>
    <phoneticPr fontId="5" type="noConversion"/>
  </si>
  <si>
    <t>PERF_NOTE</t>
    <phoneticPr fontId="5" type="noConversion"/>
  </si>
  <si>
    <t>資料來源</t>
    <phoneticPr fontId="5" type="noConversion"/>
  </si>
  <si>
    <t>DATA_SOURCE</t>
    <phoneticPr fontId="5" type="noConversion"/>
  </si>
  <si>
    <t>0:資料建立
1:資料匯入
2:績效管理系統轉入</t>
    <phoneticPr fontId="5" type="noConversion"/>
  </si>
  <si>
    <t>/api/sys/code:ed.perf.dataSource</t>
  </si>
  <si>
    <t>/api/ed/emp_reward</t>
    <phoneticPr fontId="5" type="noConversion"/>
  </si>
  <si>
    <t>員工獎懲資料</t>
    <phoneticPr fontId="5" type="noConversion"/>
  </si>
  <si>
    <t>獎懲日期起</t>
    <phoneticPr fontId="5" type="noConversion"/>
  </si>
  <si>
    <t>REWARD_SDATE</t>
    <phoneticPr fontId="5" type="noConversion"/>
  </si>
  <si>
    <t>獎懲日期迄</t>
    <phoneticPr fontId="5" type="noConversion"/>
  </si>
  <si>
    <t>REWARD_EDATE</t>
    <phoneticPr fontId="5" type="noConversion"/>
  </si>
  <si>
    <t>員工獎懲_ID</t>
    <phoneticPr fontId="5" type="noConversion"/>
  </si>
  <si>
    <t>EMP_REWARD_ID</t>
    <phoneticPr fontId="5" type="noConversion"/>
  </si>
  <si>
    <t>獎懲日期</t>
    <phoneticPr fontId="5" type="noConversion"/>
  </si>
  <si>
    <t>REWARD_DATE</t>
    <phoneticPr fontId="5" type="noConversion"/>
  </si>
  <si>
    <t>獎懲項目</t>
    <phoneticPr fontId="5" type="noConversion"/>
  </si>
  <si>
    <t>功過數量</t>
    <phoneticPr fontId="5" type="noConversion"/>
  </si>
  <si>
    <t xml:space="preserve">REWARD_VAL </t>
    <phoneticPr fontId="5" type="noConversion"/>
  </si>
  <si>
    <t>獎懲文號</t>
    <phoneticPr fontId="5" type="noConversion"/>
  </si>
  <si>
    <t>REWARD_LIST</t>
    <phoneticPr fontId="5" type="noConversion"/>
  </si>
  <si>
    <t>獎懲說明</t>
    <phoneticPr fontId="5" type="noConversion"/>
  </si>
  <si>
    <t>REWARD_DESC</t>
    <phoneticPr fontId="5" type="noConversion"/>
  </si>
  <si>
    <t>REWARD_NOTE</t>
    <phoneticPr fontId="5" type="noConversion"/>
  </si>
  <si>
    <t>/api/ed/emp_rollback</t>
    <phoneticPr fontId="5" type="noConversion"/>
  </si>
  <si>
    <t>員工時光回朔檔</t>
    <phoneticPr fontId="5" type="noConversion"/>
  </si>
  <si>
    <t>加密 ,只能key 20個字</t>
    <phoneticPr fontId="5" type="noConversion"/>
  </si>
  <si>
    <t>開始日</t>
    <phoneticPr fontId="5" type="noConversion"/>
  </si>
  <si>
    <t>START_DATE</t>
    <phoneticPr fontId="5" type="noConversion"/>
  </si>
  <si>
    <t>結束日</t>
    <phoneticPr fontId="5" type="noConversion"/>
  </si>
  <si>
    <t>END_DATE</t>
    <phoneticPr fontId="5" type="noConversion"/>
  </si>
  <si>
    <t>WORK_STATUS</t>
  </si>
  <si>
    <t>WORK_STATUS_NAME</t>
  </si>
  <si>
    <t>員工兼職資料</t>
    <phoneticPr fontId="5" type="noConversion"/>
  </si>
  <si>
    <t>員工兼職資料_ID</t>
    <phoneticPr fontId="5" type="noConversion"/>
  </si>
  <si>
    <t>EMP_PARTTIME_ID</t>
    <phoneticPr fontId="5" type="noConversion"/>
  </si>
  <si>
    <t>資料區域</t>
    <phoneticPr fontId="5" type="noConversion"/>
  </si>
  <si>
    <t>DATA_AREA</t>
    <phoneticPr fontId="5" type="noConversion"/>
  </si>
  <si>
    <t>1~3</t>
    <phoneticPr fontId="5" type="noConversion"/>
  </si>
  <si>
    <t>任職日期</t>
    <phoneticPr fontId="5" type="noConversion"/>
  </si>
  <si>
    <t>卸離日期</t>
    <phoneticPr fontId="5" type="noConversion"/>
  </si>
  <si>
    <t>依照公司ID 所開啟的組織類別
代號1,2,3,4,5</t>
    <phoneticPr fontId="5" type="noConversion"/>
  </si>
  <si>
    <t>對照公司ID及ORG_TYPE_CODE</t>
    <phoneticPr fontId="5" type="noConversion"/>
  </si>
  <si>
    <t>部門代號</t>
    <phoneticPr fontId="5" type="noConversion"/>
  </si>
  <si>
    <t>對照公司ID</t>
    <phoneticPr fontId="5" type="noConversion"/>
  </si>
  <si>
    <t>班別基本檔</t>
    <phoneticPr fontId="5" type="noConversion"/>
  </si>
  <si>
    <t>班別_ID</t>
    <phoneticPr fontId="5" type="noConversion"/>
  </si>
  <si>
    <t>SHIFT_ID</t>
    <phoneticPr fontId="5" type="noConversion"/>
  </si>
  <si>
    <t>班別代碼</t>
    <phoneticPr fontId="5" type="noConversion"/>
  </si>
  <si>
    <t>SHIFT_CODE</t>
    <phoneticPr fontId="5" type="noConversion"/>
  </si>
  <si>
    <t>班別名稱</t>
    <phoneticPr fontId="5" type="noConversion"/>
  </si>
  <si>
    <t>SHIFT_NAME</t>
  </si>
  <si>
    <t>班別名稱_JSON</t>
  </si>
  <si>
    <t>SHIFT_NAME_JSON</t>
  </si>
  <si>
    <t>班別簡稱</t>
    <phoneticPr fontId="5" type="noConversion"/>
  </si>
  <si>
    <t>SHIFT_ABBR_NAME</t>
    <phoneticPr fontId="5" type="noConversion"/>
  </si>
  <si>
    <t>專屬排班時使用 ,中文字限定5個 ,英文數字限定10個</t>
    <phoneticPr fontId="5" type="noConversion"/>
  </si>
  <si>
    <t>班別簡稱_JSON</t>
    <phoneticPr fontId="5" type="noConversion"/>
  </si>
  <si>
    <t>SHIFT_ABBR_NAME_JSON</t>
    <phoneticPr fontId="5" type="noConversion"/>
  </si>
  <si>
    <t>專屬排班時使用</t>
    <phoneticPr fontId="5" type="noConversion"/>
  </si>
  <si>
    <t>是否為固定班用途</t>
    <phoneticPr fontId="5" type="noConversion"/>
  </si>
  <si>
    <t>IS_FIX_SHIFT</t>
    <phoneticPr fontId="5" type="noConversion"/>
  </si>
  <si>
    <t>是否為排班用途</t>
    <phoneticPr fontId="5" type="noConversion"/>
  </si>
  <si>
    <t>IS_SA_SHIFT</t>
    <phoneticPr fontId="5" type="noConversion"/>
  </si>
  <si>
    <t>班別實際工時</t>
    <phoneticPr fontId="5" type="noConversion"/>
  </si>
  <si>
    <t>SHIFT_WORK_HOUR</t>
    <phoneticPr fontId="5" type="noConversion"/>
  </si>
  <si>
    <t>6,4</t>
    <phoneticPr fontId="5" type="noConversion"/>
  </si>
  <si>
    <t>設定0.0001~24之間</t>
    <phoneticPr fontId="5" type="noConversion"/>
  </si>
  <si>
    <t>/api/am/shift_worktime</t>
    <phoneticPr fontId="5" type="noConversion"/>
  </si>
  <si>
    <t>班別工作時間檔</t>
    <phoneticPr fontId="5" type="noConversion"/>
  </si>
  <si>
    <t>星期別</t>
    <phoneticPr fontId="5" type="noConversion"/>
  </si>
  <si>
    <t>WEEKDAY</t>
    <phoneticPr fontId="5" type="noConversion"/>
  </si>
  <si>
    <t>0:星期一 1:星期二 2:星期三 3:星期四 4:星期五 5:星期六 6:星期日</t>
    <phoneticPr fontId="5" type="noConversion"/>
  </si>
  <si>
    <t>/api/sys/code:global.week</t>
  </si>
  <si>
    <t>資料類別</t>
    <phoneticPr fontId="5" type="noConversion"/>
  </si>
  <si>
    <t>DATA_TYPE</t>
    <phoneticPr fontId="5" type="noConversion"/>
  </si>
  <si>
    <t>work:工作時間
rest:休息時間</t>
    <phoneticPr fontId="5" type="noConversion"/>
  </si>
  <si>
    <t>時間起</t>
    <phoneticPr fontId="5" type="noConversion"/>
  </si>
  <si>
    <t>STIME</t>
    <phoneticPr fontId="5" type="noConversion"/>
  </si>
  <si>
    <t>1900/01/01 10:00 前日10:00
1900/01/02 10:00 當日10:00
1900/01/03 10:00 次日10:00
非UTC</t>
    <phoneticPr fontId="5" type="noConversion"/>
  </si>
  <si>
    <t>時間迄</t>
    <phoneticPr fontId="5" type="noConversion"/>
  </si>
  <si>
    <t>ETIME</t>
    <phoneticPr fontId="5" type="noConversion"/>
  </si>
  <si>
    <t>同上
非UTC</t>
    <phoneticPr fontId="5" type="noConversion"/>
  </si>
  <si>
    <t>/api/am/calendar_leave</t>
    <phoneticPr fontId="5" type="noConversion"/>
  </si>
  <si>
    <t>行事曆類別檔</t>
    <phoneticPr fontId="5" type="noConversion"/>
  </si>
  <si>
    <t>行事曆別_ID</t>
    <phoneticPr fontId="5" type="noConversion"/>
  </si>
  <si>
    <t>CALENDAR_LEAVE_ID</t>
    <phoneticPr fontId="5" type="noConversion"/>
  </si>
  <si>
    <t>行事曆別名稱</t>
    <phoneticPr fontId="5" type="noConversion"/>
  </si>
  <si>
    <t>LEAVE_NAME</t>
    <phoneticPr fontId="5" type="noConversion"/>
  </si>
  <si>
    <t>僅取CO_ID=-1 資料</t>
    <phoneticPr fontId="5" type="noConversion"/>
  </si>
  <si>
    <t>行事曆別名稱_JSON</t>
    <phoneticPr fontId="5" type="noConversion"/>
  </si>
  <si>
    <t>LEAVE_NAME_JSON</t>
  </si>
  <si>
    <t>行事曆填滿顏色</t>
    <phoneticPr fontId="5" type="noConversion"/>
  </si>
  <si>
    <t>LEAVE_NAME_COLOR</t>
    <phoneticPr fontId="5" type="noConversion"/>
  </si>
  <si>
    <t>行事曆文字顏色</t>
    <phoneticPr fontId="5" type="noConversion"/>
  </si>
  <si>
    <t>TEXT_COLOR</t>
    <phoneticPr fontId="5" type="noConversion"/>
  </si>
  <si>
    <t>/api/am/calendar_basic</t>
    <phoneticPr fontId="5" type="noConversion"/>
  </si>
  <si>
    <t>行事曆基本資料檔</t>
    <phoneticPr fontId="5" type="noConversion"/>
  </si>
  <si>
    <t>行事曆基本檔_ID</t>
    <phoneticPr fontId="5" type="noConversion"/>
  </si>
  <si>
    <t>CALENDAR_BASIC_ID</t>
    <phoneticPr fontId="5" type="noConversion"/>
  </si>
  <si>
    <t>/api/oscompany</t>
    <phoneticPr fontId="5" type="noConversion"/>
  </si>
  <si>
    <t>行事曆代碼</t>
    <phoneticPr fontId="5" type="noConversion"/>
  </si>
  <si>
    <t>CALENDAR_CODE</t>
    <phoneticPr fontId="5" type="noConversion"/>
  </si>
  <si>
    <t>代碼001 , 表示為公司行事曆</t>
    <phoneticPr fontId="5" type="noConversion"/>
  </si>
  <si>
    <t>行事曆名稱</t>
    <phoneticPr fontId="5" type="noConversion"/>
  </si>
  <si>
    <t>CALENDAR_NAME</t>
    <phoneticPr fontId="5" type="noConversion"/>
  </si>
  <si>
    <t>行事曆別名稱_JSON</t>
  </si>
  <si>
    <t>CALENDAR_NAME_JSON</t>
  </si>
  <si>
    <t>/api/am/calendar_day</t>
    <phoneticPr fontId="5" type="noConversion"/>
  </si>
  <si>
    <t>行事曆日檔</t>
    <phoneticPr fontId="5" type="noConversion"/>
  </si>
  <si>
    <t>行事曆年度</t>
    <phoneticPr fontId="5" type="noConversion"/>
  </si>
  <si>
    <t>CALENDAR_YEAR</t>
    <phoneticPr fontId="5" type="noConversion"/>
  </si>
  <si>
    <t>2022</t>
    <phoneticPr fontId="5" type="noConversion"/>
  </si>
  <si>
    <t>行事曆日期</t>
    <phoneticPr fontId="5" type="noConversion"/>
  </si>
  <si>
    <t>CALENDAR_DATE</t>
    <phoneticPr fontId="5" type="noConversion"/>
  </si>
  <si>
    <t>星期</t>
    <phoneticPr fontId="5" type="noConversion"/>
  </si>
  <si>
    <t>CALENDAR_WEEK</t>
    <phoneticPr fontId="5" type="noConversion"/>
  </si>
  <si>
    <t>0:星期一 1:星期二 2:星期三 3:星期四 4:星期五 5:星期六 6:星期日
WEEKDAY()函數</t>
    <phoneticPr fontId="5" type="noConversion"/>
  </si>
  <si>
    <t>1:工作日
2:國定假日
3:休息日
4:例假日
5:空班
more…</t>
    <phoneticPr fontId="5" type="noConversion"/>
  </si>
  <si>
    <t>/api/am/emp_worktime</t>
    <phoneticPr fontId="5" type="noConversion"/>
  </si>
  <si>
    <t>員工班別資料展開檔</t>
    <phoneticPr fontId="5" type="noConversion"/>
  </si>
  <si>
    <t>出勤日期起</t>
    <phoneticPr fontId="5" type="noConversion"/>
  </si>
  <si>
    <t>WORK_SDATE</t>
    <phoneticPr fontId="5" type="noConversion"/>
  </si>
  <si>
    <t>出勤日期迄</t>
    <phoneticPr fontId="5" type="noConversion"/>
  </si>
  <si>
    <t>WORK_EDATE</t>
    <phoneticPr fontId="5" type="noConversion"/>
  </si>
  <si>
    <t>應出勤日期</t>
    <phoneticPr fontId="5" type="noConversion"/>
  </si>
  <si>
    <t>WORK_DATE</t>
    <phoneticPr fontId="5" type="noConversion"/>
  </si>
  <si>
    <t>應出勤日期_分段</t>
    <phoneticPr fontId="5" type="noConversion"/>
  </si>
  <si>
    <t>WORK_DATE_SEQ</t>
    <phoneticPr fontId="5" type="noConversion"/>
  </si>
  <si>
    <t>1:第1段  2:第2段  …以此類推</t>
    <phoneticPr fontId="5" type="noConversion"/>
  </si>
  <si>
    <t>當日是否未排班</t>
    <phoneticPr fontId="5" type="noConversion"/>
  </si>
  <si>
    <t>IS_EMPTY_WORKTIME</t>
    <phoneticPr fontId="5" type="noConversion"/>
  </si>
  <si>
    <t>1:是、0:否
情境1 : 當日未排班別 , 未排行事曆 --&gt; IS_EMPTY_WORKTIME=1 &amp; IS_EMPTY_CALENDAR =1 --&gt;CALENDAR_LEAVE_ID=5(空班)
情境2 : 當日未排班別 , 有排行事曆 --&gt; IS_EMPTY_WORKTIME=1 &amp; IS_EMPTY_CALENDAR =0 --&gt;CALENDAR_LEAVE_ID 不改(依照排班資料)
情境3 : 當日有排班別 , 有排行事曆 --&gt; IS_EMPTY_WORKTIME=0 &amp; IS_EMPTY_CALENDAR =0</t>
    <phoneticPr fontId="5" type="noConversion"/>
  </si>
  <si>
    <t>當日是否未設定行事曆</t>
    <phoneticPr fontId="5" type="noConversion"/>
  </si>
  <si>
    <t>IS_EMPTY_CALENDAR</t>
    <phoneticPr fontId="5" type="noConversion"/>
  </si>
  <si>
    <t>應出勤日期_星期</t>
    <phoneticPr fontId="5" type="noConversion"/>
  </si>
  <si>
    <t>WORK_DATE_WEEK</t>
    <phoneticPr fontId="5" type="noConversion"/>
  </si>
  <si>
    <t>員工班別屬性</t>
    <phoneticPr fontId="5" type="noConversion"/>
  </si>
  <si>
    <t>SHIFT_TYPE</t>
    <phoneticPr fontId="5" type="noConversion"/>
  </si>
  <si>
    <t>1:固定班
2:排班(依班別)
3:排班(依時段)
4:不須排班(依時數申請)</t>
    <phoneticPr fontId="5" type="noConversion"/>
  </si>
  <si>
    <t>/api/sys/code: am.base.shiftType</t>
  </si>
  <si>
    <t>員工班別_ID</t>
    <phoneticPr fontId="5" type="noConversion"/>
  </si>
  <si>
    <t>員工行事曆_ID</t>
    <phoneticPr fontId="5" type="noConversion"/>
  </si>
  <si>
    <t>員工行事曆類別_ID</t>
    <phoneticPr fontId="5" type="noConversion"/>
  </si>
  <si>
    <t>班別標籤</t>
    <phoneticPr fontId="5" type="noConversion"/>
  </si>
  <si>
    <t>WORK_LABEL_IDS</t>
    <phoneticPr fontId="5" type="noConversion"/>
  </si>
  <si>
    <t>多筆標籤,以逗號隔開</t>
    <phoneticPr fontId="5" type="noConversion"/>
  </si>
  <si>
    <t>sa_work_label</t>
    <phoneticPr fontId="5" type="noConversion"/>
  </si>
  <si>
    <t>行事曆可否加班</t>
    <phoneticPr fontId="5" type="noConversion"/>
  </si>
  <si>
    <t>IS_LEAVE_OVERTIME</t>
    <phoneticPr fontId="5" type="noConversion"/>
  </si>
  <si>
    <t>1:是、0:否
(此欄位沒有作用, 請勿抓取)
(因加班後來區分加班類別)</t>
    <phoneticPr fontId="5" type="noConversion"/>
  </si>
  <si>
    <t>班別曆日區間-起</t>
    <phoneticPr fontId="5" type="noConversion"/>
  </si>
  <si>
    <t>WORKDAY_STIME</t>
    <phoneticPr fontId="5" type="noConversion"/>
  </si>
  <si>
    <t>非UTC</t>
    <phoneticPr fontId="5" type="noConversion"/>
  </si>
  <si>
    <t>班別曆日區間-迄</t>
    <phoneticPr fontId="5" type="noConversion"/>
  </si>
  <si>
    <t>WORKDAY_ETIME</t>
    <phoneticPr fontId="5" type="noConversion"/>
  </si>
  <si>
    <t>班別最早有效刷卡時間起</t>
    <phoneticPr fontId="5" type="noConversion"/>
  </si>
  <si>
    <t>CLOCK_FIRST_TIME</t>
    <phoneticPr fontId="5" type="noConversion"/>
  </si>
  <si>
    <t>班別最晚有效刷卡時間迄</t>
    <phoneticPr fontId="5" type="noConversion"/>
  </si>
  <si>
    <t>CLOCK_LAST_TIME</t>
    <phoneticPr fontId="5" type="noConversion"/>
  </si>
  <si>
    <t>上班時間起</t>
    <phoneticPr fontId="5" type="noConversion"/>
  </si>
  <si>
    <t>WORKTIME_START</t>
    <phoneticPr fontId="5" type="noConversion"/>
  </si>
  <si>
    <t>上班時間迄</t>
    <phoneticPr fontId="5" type="noConversion"/>
  </si>
  <si>
    <t>WORKTIME_END</t>
    <phoneticPr fontId="5" type="noConversion"/>
  </si>
  <si>
    <t>班別時數</t>
    <phoneticPr fontId="5" type="noConversion"/>
  </si>
  <si>
    <t>WORK_HOURS</t>
    <phoneticPr fontId="5" type="noConversion"/>
  </si>
  <si>
    <t>班別時數 : am_shift.SHIFT_WORK_HOUR</t>
    <phoneticPr fontId="5" type="noConversion"/>
  </si>
  <si>
    <t>當日班別時數時數</t>
    <phoneticPr fontId="5" type="noConversion"/>
  </si>
  <si>
    <t>REAL_HOURS</t>
    <phoneticPr fontId="5" type="noConversion"/>
  </si>
  <si>
    <t>依照星期X , 上班-下班-休息</t>
    <phoneticPr fontId="5" type="noConversion"/>
  </si>
  <si>
    <t>加班支領方式</t>
    <phoneticPr fontId="5" type="noConversion"/>
  </si>
  <si>
    <t>PAY_TYPE</t>
    <phoneticPr fontId="5" type="noConversion"/>
  </si>
  <si>
    <t>{
 "2": "支領加班費",
 "3": "僅支領補休"
}
依當日加班規則和行事曆</t>
    <phoneticPr fontId="5" type="noConversion"/>
  </si>
  <si>
    <t>有 SUBPARTITIONS 語法</t>
    <phoneticPr fontId="5" type="noConversion"/>
  </si>
  <si>
    <t>drop table if exists am_emp_worktime1;</t>
  </si>
  <si>
    <t>CREATE TABLE `am_emp_worktime1` (</t>
  </si>
  <si>
    <t xml:space="preserve"> `EMP_WORKTIME_ID` BIGINT(20)  NOT NULL AUTO_INCREMENT COMMENT 'ID',</t>
  </si>
  <si>
    <t xml:space="preserve"> `CO_ID` BIGINT(20) NOT NULL DEFAULT '0' COMMENT '公司_ID',</t>
  </si>
  <si>
    <t xml:space="preserve"> `EMP_ID` BIGINT(20) NOT NULL DEFAULT '0' COMMENT '員工_ID',</t>
  </si>
  <si>
    <t xml:space="preserve"> `WORK_DATE` DATE NOT NULL DEFAULT '00000000' COMMENT '應出勤日期',</t>
  </si>
  <si>
    <t xml:space="preserve"> `WORK_DATE_SEQ` TINYINT(4) NOT NULL DEFAULT '0' COMMENT '應出勤日期_分段',</t>
  </si>
  <si>
    <t xml:space="preserve"> `IS_EMPTY_WORKTIME` TINYINT(4) NOT NULL DEFAULT '0' COMMENT '當日是否未排班||1:是、0:否  (若當日未設定班別 ,此欄位填寫 "1")|||/api/sys/code:global.boolean',</t>
  </si>
  <si>
    <t xml:space="preserve"> `WORK_DATE_WEEK` TINYINT(4) NOT NULL DEFAULT '0' COMMENT '應出勤日期_星期||0:星期一 1:星期二 2:星期三 3:星期四 4:星期五 5:星期六 6:星期日  WEEKDAY()函數|||/api/sys/code:global.week',</t>
  </si>
  <si>
    <t xml:space="preserve"> `WORK_LABEL_IDS` VARCHAR(1000) NOT NULL DEFAULT '' COMMENT '應出勤日工作標籤',</t>
  </si>
  <si>
    <t xml:space="preserve"> `SHIFT_TYPE` TINYINT(4) NOT NULL DEFAULT '1' COMMENT '員工班別屬性||1:固定班  2:排班(依班別)  3:排班(依時段)  4:不須排班(依時數申請)|||/api/sys/code: am.base.shiftType',</t>
  </si>
  <si>
    <t xml:space="preserve"> `SHIFT_ID` BIGINT(20) NOT NULL DEFAULT '0' COMMENT '員工班別_ID',</t>
  </si>
  <si>
    <t xml:space="preserve"> `CALENDAR_BASIC_ID` BIGINT(20) NOT NULL DEFAULT '0' COMMENT '員工行事曆_ID',</t>
  </si>
  <si>
    <t xml:space="preserve"> `CALENDAR_LEAVE_ID` BIGINT(20) NOT NULL DEFAULT '0' COMMENT '員工行事曆類別_ID',</t>
  </si>
  <si>
    <t xml:space="preserve"> `IS_LEAVE_OVERTIME` TINYINT(4) NOT NULL DEFAULT '0' COMMENT '行事曆可否加班||1:是、0:否  (此欄位沒有作用, 請勿抓取)  (因加班後來區分加班類別)|||/api/sys/code:global.boolean',</t>
  </si>
  <si>
    <t xml:space="preserve"> `EXTRA_DAY_ID` BIGINT(20) NOT NULL DEFAULT '0' COMMENT '行事曆特殊日工作時間主檔_ID',</t>
  </si>
  <si>
    <t xml:space="preserve"> `OT_RULE_ID` BIGINT(20) NOT NULL DEFAULT '0' COMMENT '加班規則_ID',</t>
  </si>
  <si>
    <t xml:space="preserve"> `OT_SPEC_ID` BIGINT(20) NOT NULL DEFAULT '0' COMMENT '加班規則特殊日加班_ID',</t>
  </si>
  <si>
    <t xml:space="preserve"> `OT_WORKHOUR_ID` BIGINT(20) NOT NULL DEFAULT '0' COMMENT '工時規則設定_ID',</t>
  </si>
  <si>
    <t xml:space="preserve"> `SA_RULE_ID` BIGINT(20) NOT NULL DEFAULT '0' COMMENT '排班規則_ID',</t>
  </si>
  <si>
    <t xml:space="preserve"> `SECTION_RULE_ID` BIGINT(20) NOT NULL DEFAULT '0' COMMENT '時段人員排班規則_ID',</t>
  </si>
  <si>
    <t xml:space="preserve"> `ATTEND_RULE_ID` BIGINT(20) NOT NULL DEFAULT '0' COMMENT '時數人員規則_ID',</t>
  </si>
  <si>
    <t xml:space="preserve"> `WORKDAY_STIME` DATETIME NOT NULL DEFAULT '00000000' COMMENT '班別曆日區間-起',</t>
  </si>
  <si>
    <t xml:space="preserve"> `WORKDAY_ETIME` DATETIME NOT NULL DEFAULT '00000000' COMMENT '班別曆日區間-迄',</t>
  </si>
  <si>
    <t xml:space="preserve"> `OTDATE_STIME` DATETIME NOT NULL DEFAULT '00000000' COMMENT '加班歸屬日區間-起',</t>
  </si>
  <si>
    <t xml:space="preserve"> `OTDATE_ETIME` DATETIME NOT NULL DEFAULT '00000000' COMMENT '加班歸屬日區間-迄',</t>
  </si>
  <si>
    <t xml:space="preserve"> `CLOCK_FIRST_TIME` DATETIME NOT NULL DEFAULT '00000000' COMMENT '班別最早有效刷卡時間起',</t>
  </si>
  <si>
    <t xml:space="preserve"> `CLOCK_LAST_TIME` DATETIME NOT NULL DEFAULT '00000000' COMMENT '班別最晚有效刷卡時間迄',</t>
  </si>
  <si>
    <t xml:space="preserve"> `SECTION_TYPE` VARCHAR(5) NOT NULL DEFAULT '' COMMENT '時段班資料種類||WORK:排班  LEAVE:請假|||/api/sys/code: sa.emp.skd.sectionType',</t>
  </si>
  <si>
    <t xml:space="preserve"> `WORKTIME_START` DATETIME NOT NULL DEFAULT '00000000' COMMENT '上班時間起',</t>
  </si>
  <si>
    <t xml:space="preserve"> `WORKTIME_END` DATETIME NOT NULL DEFAULT '00000000' COMMENT '上班時間迄',</t>
  </si>
  <si>
    <t xml:space="preserve"> `WORK_HOURS` DECIMAL(18,4) NOT NULL DEFAULT '0' COMMENT '上班時數',</t>
  </si>
  <si>
    <t xml:space="preserve"> `IS_OVERWORK` TINYINT(4) NOT NULL DEFAULT '0' COMMENT '必需加班-是否開啟||1:是、0:否|||/api/sys/code:global.boolean',</t>
  </si>
  <si>
    <t xml:space="preserve"> `IS_NOFIXED_OVERWORK` TINYINT(4) NOT NULL DEFAULT '0' COMMENT '必需加班-時間不固定||1:是、0:否 (1:不固定  0:固定)|||/api/sys/code:global.boolean',</t>
  </si>
  <si>
    <t xml:space="preserve"> `OVERWORK_START` DATETIME NOT NULL DEFAULT '00000000' COMMENT '必須加班-上班時間',</t>
  </si>
  <si>
    <t xml:space="preserve"> `OVERWORK_END` DATETIME NOT NULL DEFAULT '00000000' COMMENT '必須加班-下班時間',</t>
  </si>
  <si>
    <t xml:space="preserve"> `OVERWORK_HOURS` DECIMAL(18,4) NOT NULL DEFAULT '0' COMMENT '必須加班-加班時數(排定)',</t>
  </si>
  <si>
    <t xml:space="preserve"> `IS_CUT_OVERWORK` TINYINT(4) NOT NULL DEFAULT '0' COMMENT '必需加班-可容許縮短||fixed_overwork 類別時存入  1:是、0:否|||/api/sys/code:global.boolean',</t>
  </si>
  <si>
    <t xml:space="preserve"> `OVERWORK_CARD_HOURS` DECIMAL(18,4) NOT NULL DEFAULT '0' COMMENT '必須加班-實際刷卡後的時數',</t>
  </si>
  <si>
    <t xml:space="preserve"> `OVERWORK_LEAVE_HOURS` DECIMAL(18,4) NOT NULL DEFAULT '0' COMMENT '必須加班-請假時數',</t>
  </si>
  <si>
    <t xml:space="preserve"> `C_USER_ID` BIGINT(20) NOT NULL DEFAULT '0' COMMENT '新增_使用者_ID',</t>
  </si>
  <si>
    <t xml:space="preserve"> `C_DATETIME` DATETIME NOT NULL DEFAULT '00000000' COMMENT '新增_日期',</t>
  </si>
  <si>
    <t xml:space="preserve"> `E_USER_ID` BIGINT(20) NOT NULL DEFAULT '0' COMMENT '修改_使用者_ID',</t>
  </si>
  <si>
    <t xml:space="preserve"> `E_DATETIME` DATETIME NOT NULL DEFAULT '00000000' COMMENT '修改_日期',</t>
  </si>
  <si>
    <t xml:space="preserve">PRIMARY KEY (`EMP_WORKTIME_ID`,`WORK_DATE`,`CO_ID`) ) ENGINE=InnoDB </t>
  </si>
  <si>
    <t>PARTITION BY RANGE  COLUMNS(`WORK_DATE`)</t>
  </si>
  <si>
    <t xml:space="preserve">SUBPARTITION BY HASH( `CO_ID`) </t>
  </si>
  <si>
    <t>SUBPARTITIONS 30</t>
  </si>
  <si>
    <t>(</t>
  </si>
  <si>
    <t xml:space="preserve">partition p201801 values less than ('2018-02-01') ENGINE=InnoDB, </t>
  </si>
  <si>
    <t xml:space="preserve">partition p201802 values less than ('2018-03-01') ENGINE=InnoDB, </t>
  </si>
  <si>
    <t xml:space="preserve">partition p201803 values less than ('2018-04-01') ENGINE=InnoDB, </t>
  </si>
  <si>
    <t xml:space="preserve">partition p201804 values less than ('2018-05-01') ENGINE=InnoDB, </t>
  </si>
  <si>
    <t xml:space="preserve">partition p201805 values less than ('2018-06-01') ENGINE=InnoDB, </t>
  </si>
  <si>
    <t xml:space="preserve">partition p201806 values less than ('2018-07-01') ENGINE=InnoDB, </t>
  </si>
  <si>
    <t xml:space="preserve">partition p201807 values less than ('2018-08-01') ENGINE=InnoDB, </t>
  </si>
  <si>
    <t xml:space="preserve">partition p201808 values less than ('2018-09-01') ENGINE=InnoDB, </t>
  </si>
  <si>
    <t xml:space="preserve">partition p201809 values less than ('2018-10-01') ENGINE=InnoDB, </t>
  </si>
  <si>
    <t xml:space="preserve">partition p201810 values less than ('2018-11-01') ENGINE=InnoDB, </t>
  </si>
  <si>
    <t xml:space="preserve">partition p201811 values less than ('2018-12-01') ENGINE=InnoDB, </t>
  </si>
  <si>
    <t xml:space="preserve">partition p201812 values less than ('2019-01-01') ENGINE=InnoDB, </t>
  </si>
  <si>
    <t xml:space="preserve">partition p201901 values less than ('2019-02-01') ENGINE=InnoDB, </t>
  </si>
  <si>
    <t xml:space="preserve">partition p201902 values less than ('2019-03-01') ENGINE=InnoDB, </t>
  </si>
  <si>
    <t xml:space="preserve">partition p201903 values less than ('2019-04-01') ENGINE=InnoDB, </t>
  </si>
  <si>
    <t xml:space="preserve">partition p201904 values less than ('2019-05-01') ENGINE=InnoDB, </t>
  </si>
  <si>
    <t xml:space="preserve">partition p201905 values less than ('2019-06-01') ENGINE=InnoDB, </t>
  </si>
  <si>
    <t xml:space="preserve">partition p201906 values less than ('2019-07-01') ENGINE=InnoDB, </t>
  </si>
  <si>
    <t xml:space="preserve">partition p201907 values less than ('2019-08-01') ENGINE=InnoDB, </t>
  </si>
  <si>
    <t xml:space="preserve">partition p201908 values less than ('2019-09-01') ENGINE=InnoDB, </t>
  </si>
  <si>
    <t xml:space="preserve">partition p201909 values less than ('2019-10-01') ENGINE=InnoDB, </t>
  </si>
  <si>
    <t xml:space="preserve">partition p201910 values less than ('2019-11-01') ENGINE=InnoDB, </t>
  </si>
  <si>
    <t xml:space="preserve">partition p201911 values less than ('2019-12-01') ENGINE=InnoDB, </t>
  </si>
  <si>
    <t xml:space="preserve">partition p201912 values less than ('2020-01-01') ENGINE=InnoDB, </t>
  </si>
  <si>
    <t xml:space="preserve">partition p202001 values less than ('2020-02-01') ENGINE=InnoDB, </t>
  </si>
  <si>
    <t xml:space="preserve">partition p202002 values less than ('2020-03-01') ENGINE=InnoDB, </t>
  </si>
  <si>
    <t xml:space="preserve">partition p202003 values less than ('2020-04-01') ENGINE=InnoDB, </t>
  </si>
  <si>
    <t xml:space="preserve">partition p202004 values less than ('2020-05-01') ENGINE=InnoDB, </t>
  </si>
  <si>
    <t xml:space="preserve">partition p202005 values less than ('2020-06-01') ENGINE=InnoDB, </t>
  </si>
  <si>
    <t xml:space="preserve">partition p202006 values less than ('2020-07-01') ENGINE=InnoDB, </t>
  </si>
  <si>
    <t xml:space="preserve">partition p202007 values less than ('2020-08-01') ENGINE=InnoDB, </t>
  </si>
  <si>
    <t xml:space="preserve">partition p202008 values less than ('2020-09-01') ENGINE=InnoDB, </t>
  </si>
  <si>
    <t xml:space="preserve">partition p202009 values less than ('2020-10-01') ENGINE=InnoDB, </t>
  </si>
  <si>
    <t xml:space="preserve">partition p202010 values less than ('2020-11-01') ENGINE=InnoDB, </t>
  </si>
  <si>
    <t xml:space="preserve">partition p202011 values less than ('2020-12-01') ENGINE=InnoDB, </t>
  </si>
  <si>
    <t xml:space="preserve">partition p202012 values less than ('2021-01-01') ENGINE=InnoDB, </t>
  </si>
  <si>
    <t xml:space="preserve">partition p202101 values less than ('2021-02-01') ENGINE=InnoDB, </t>
  </si>
  <si>
    <t xml:space="preserve">partition p202102 values less than ('2021-03-01') ENGINE=InnoDB, </t>
  </si>
  <si>
    <t xml:space="preserve">partition p202103 values less than ('2021-04-01') ENGINE=InnoDB, </t>
  </si>
  <si>
    <t xml:space="preserve">partition p202104 values less than ('2021-05-01') ENGINE=InnoDB, </t>
  </si>
  <si>
    <t xml:space="preserve">partition p202105 values less than ('2021-06-01') ENGINE=InnoDB, </t>
  </si>
  <si>
    <t xml:space="preserve">partition p202106 values less than ('2021-07-01') ENGINE=InnoDB, </t>
  </si>
  <si>
    <t xml:space="preserve">partition p202107 values less than ('2021-08-01') ENGINE=InnoDB, </t>
  </si>
  <si>
    <t xml:space="preserve">partition p202108 values less than ('2021-09-01') ENGINE=InnoDB, </t>
  </si>
  <si>
    <t xml:space="preserve">partition p202109 values less than ('2021-10-01') ENGINE=InnoDB, </t>
  </si>
  <si>
    <t xml:space="preserve">partition p202110 values less than ('2021-11-01') ENGINE=InnoDB, </t>
  </si>
  <si>
    <t xml:space="preserve">partition p202111 values less than ('2021-12-01') ENGINE=InnoDB, </t>
  </si>
  <si>
    <t xml:space="preserve">partition p202112 values less than ('2022-01-01') ENGINE=InnoDB, </t>
  </si>
  <si>
    <t xml:space="preserve">partition p202201 values less than ('2022-02-01') ENGINE=InnoDB, </t>
  </si>
  <si>
    <t xml:space="preserve">partition p202202 values less than ('2022-03-01') ENGINE=InnoDB, </t>
  </si>
  <si>
    <t xml:space="preserve">partition p202203 values less than ('2022-04-01') ENGINE=InnoDB, </t>
  </si>
  <si>
    <t xml:space="preserve">partition p202204 values less than ('2022-05-01') ENGINE=InnoDB, </t>
  </si>
  <si>
    <t xml:space="preserve">partition p202205 values less than ('2022-06-01') ENGINE=InnoDB, </t>
  </si>
  <si>
    <t xml:space="preserve">partition p202206 values less than ('2022-07-01') ENGINE=InnoDB, </t>
  </si>
  <si>
    <t xml:space="preserve">partition p202207 values less than ('2022-08-01') ENGINE=InnoDB, </t>
  </si>
  <si>
    <t xml:space="preserve">partition p202208 values less than ('2022-09-01') ENGINE=InnoDB, </t>
  </si>
  <si>
    <t xml:space="preserve">partition p202209 values less than ('2022-10-01') ENGINE=InnoDB, </t>
  </si>
  <si>
    <t xml:space="preserve">partition p202210 values less than ('2022-11-01') ENGINE=InnoDB, </t>
  </si>
  <si>
    <t xml:space="preserve">partition p202211 values less than ('2022-12-01') ENGINE=InnoDB, </t>
  </si>
  <si>
    <t xml:space="preserve">partition p202212 values less than ('2023-01-01') ENGINE=InnoDB, </t>
  </si>
  <si>
    <t xml:space="preserve">partition p202301 values less than ('2023-02-01') ENGINE=InnoDB, </t>
  </si>
  <si>
    <t xml:space="preserve">partition p202302 values less than ('2023-03-01') ENGINE=InnoDB, </t>
  </si>
  <si>
    <t xml:space="preserve">partition p202303 values less than ('2023-04-01') ENGINE=InnoDB, </t>
  </si>
  <si>
    <t xml:space="preserve">partition p202304 values less than ('2023-05-01') ENGINE=InnoDB, </t>
  </si>
  <si>
    <t xml:space="preserve">partition p202305 values less than ('2023-06-01') ENGINE=InnoDB, </t>
  </si>
  <si>
    <t xml:space="preserve">partition p202306 values less than ('2023-07-01') ENGINE=InnoDB, </t>
  </si>
  <si>
    <t xml:space="preserve">partition p202307 values less than ('2023-08-01') ENGINE=InnoDB, </t>
  </si>
  <si>
    <t xml:space="preserve">partition p202308 values less than ('2023-09-01') ENGINE=InnoDB, </t>
  </si>
  <si>
    <t xml:space="preserve">partition p202309 values less than ('2023-10-01') ENGINE=InnoDB, </t>
  </si>
  <si>
    <t xml:space="preserve">partition p202310 values less than ('2023-11-01') ENGINE=InnoDB, </t>
  </si>
  <si>
    <t xml:space="preserve">partition p202311 values less than ('2023-12-01') ENGINE=InnoDB, </t>
  </si>
  <si>
    <t xml:space="preserve">partition p202312 values less than ('2024-01-01') ENGINE=InnoDB, </t>
  </si>
  <si>
    <t xml:space="preserve">partition p202401 values less than ('2024-02-01') ENGINE=InnoDB, </t>
  </si>
  <si>
    <t xml:space="preserve">partition p202402 values less than ('2024-03-01') ENGINE=InnoDB, </t>
  </si>
  <si>
    <t xml:space="preserve">partition p202403 values less than ('2024-04-01') ENGINE=InnoDB, </t>
  </si>
  <si>
    <t xml:space="preserve">partition p202404 values less than ('2024-05-01') ENGINE=InnoDB, </t>
  </si>
  <si>
    <t xml:space="preserve">partition p202405 values less than ('2024-06-01') ENGINE=InnoDB, </t>
  </si>
  <si>
    <t xml:space="preserve">partition p202406 values less than ('2024-07-01') ENGINE=InnoDB, </t>
  </si>
  <si>
    <t xml:space="preserve">partition p202407 values less than ('2024-08-01') ENGINE=InnoDB, </t>
  </si>
  <si>
    <t xml:space="preserve">partition p202408 values less than ('2024-09-01') ENGINE=InnoDB, </t>
  </si>
  <si>
    <t xml:space="preserve">partition p202409 values less than ('2024-10-01') ENGINE=InnoDB, </t>
  </si>
  <si>
    <t xml:space="preserve">partition p202410 values less than ('2024-11-01') ENGINE=InnoDB, </t>
  </si>
  <si>
    <t xml:space="preserve">partition p202411 values less than ('2024-12-01') ENGINE=InnoDB, </t>
  </si>
  <si>
    <t xml:space="preserve">partition p202412 values less than ('2025-01-01') ENGINE=InnoDB, </t>
  </si>
  <si>
    <t xml:space="preserve">partition p202501 values less than ('2025-02-01') ENGINE=InnoDB, </t>
  </si>
  <si>
    <t xml:space="preserve">partition p202502 values less than ('2025-03-01') ENGINE=InnoDB, </t>
  </si>
  <si>
    <t xml:space="preserve">partition p202503 values less than ('2025-04-01') ENGINE=InnoDB, </t>
  </si>
  <si>
    <t xml:space="preserve">partition p202504 values less than ('2025-05-01') ENGINE=InnoDB, </t>
  </si>
  <si>
    <t xml:space="preserve">partition p202505 values less than ('2025-06-01') ENGINE=InnoDB, </t>
  </si>
  <si>
    <t xml:space="preserve">partition p202506 values less than ('2025-07-01') ENGINE=InnoDB, </t>
  </si>
  <si>
    <t xml:space="preserve">partition p202507 values less than ('2025-08-01') ENGINE=InnoDB, </t>
  </si>
  <si>
    <t xml:space="preserve">partition p202508 values less than ('2025-09-01') ENGINE=InnoDB, </t>
  </si>
  <si>
    <t xml:space="preserve">partition p202509 values less than ('2025-10-01') ENGINE=InnoDB, </t>
  </si>
  <si>
    <t xml:space="preserve">partition p202510 values less than ('2025-11-01') ENGINE=InnoDB, </t>
  </si>
  <si>
    <t xml:space="preserve">partition p202511 values less than ('2025-12-01') ENGINE=InnoDB, </t>
  </si>
  <si>
    <t xml:space="preserve">partition p202512 values less than ('2026-01-01') ENGINE=InnoDB, </t>
  </si>
  <si>
    <t xml:space="preserve">partition p202601 values less than ('2026-02-01') ENGINE=InnoDB, </t>
  </si>
  <si>
    <t xml:space="preserve">partition p202602 values less than ('2026-03-01') ENGINE=InnoDB, </t>
  </si>
  <si>
    <t xml:space="preserve">partition p202603 values less than ('2026-04-01') ENGINE=InnoDB, </t>
  </si>
  <si>
    <t xml:space="preserve">partition p202604 values less than ('2026-05-01') ENGINE=InnoDB, </t>
  </si>
  <si>
    <t xml:space="preserve">partition p202605 values less than ('2026-06-01') ENGINE=InnoDB, </t>
  </si>
  <si>
    <t xml:space="preserve">partition p202606 values less than ('2026-07-01') ENGINE=InnoDB, </t>
  </si>
  <si>
    <t xml:space="preserve">partition p202607 values less than ('2026-08-01') ENGINE=InnoDB, </t>
  </si>
  <si>
    <t xml:space="preserve">partition p202608 values less than ('2026-09-01') ENGINE=InnoDB, </t>
  </si>
  <si>
    <t xml:space="preserve">partition p202609 values less than ('2026-10-01') ENGINE=InnoDB, </t>
  </si>
  <si>
    <t xml:space="preserve">partition p202610 values less than ('2026-11-01') ENGINE=InnoDB, </t>
  </si>
  <si>
    <t xml:space="preserve">partition p202611 values less than ('2026-12-01') ENGINE=InnoDB, </t>
  </si>
  <si>
    <t xml:space="preserve">partition p202612 values less than ('2027-01-01') ENGINE=InnoDB, </t>
  </si>
  <si>
    <t xml:space="preserve">partition p202701 values less than ('2027-02-01') ENGINE=InnoDB, </t>
  </si>
  <si>
    <t xml:space="preserve">partition p202702 values less than ('2027-03-01') ENGINE=InnoDB, </t>
  </si>
  <si>
    <t xml:space="preserve">partition p202703 values less than ('2027-04-01') ENGINE=InnoDB, </t>
  </si>
  <si>
    <t xml:space="preserve">partition p202704 values less than ('2027-05-01') ENGINE=InnoDB, </t>
  </si>
  <si>
    <t xml:space="preserve">partition p202705 values less than ('2027-06-01') ENGINE=InnoDB, </t>
  </si>
  <si>
    <t xml:space="preserve">partition p202706 values less than ('2027-07-01') ENGINE=InnoDB, </t>
  </si>
  <si>
    <t xml:space="preserve">partition p202707 values less than ('2027-08-01') ENGINE=InnoDB, </t>
  </si>
  <si>
    <t xml:space="preserve">partition p202708 values less than ('2027-09-01') ENGINE=InnoDB, </t>
  </si>
  <si>
    <t xml:space="preserve">partition p202709 values less than ('2027-10-01') ENGINE=InnoDB, </t>
  </si>
  <si>
    <t xml:space="preserve">partition p202710 values less than ('2027-11-01') ENGINE=InnoDB, </t>
  </si>
  <si>
    <t xml:space="preserve">partition p202711 values less than ('2027-12-01') ENGINE=InnoDB, </t>
  </si>
  <si>
    <t xml:space="preserve">partition p202712 values less than ('2028-01-01') ENGINE=InnoDB, </t>
  </si>
  <si>
    <t xml:space="preserve">partition p202801 values less than ('2028-02-01') ENGINE=InnoDB, </t>
  </si>
  <si>
    <t xml:space="preserve">partition p202802 values less than ('2028-03-01') ENGINE=InnoDB, </t>
  </si>
  <si>
    <t xml:space="preserve">partition p202803 values less than ('2028-04-01') ENGINE=InnoDB, </t>
  </si>
  <si>
    <t xml:space="preserve">partition p202804 values less than ('2028-05-01') ENGINE=InnoDB, </t>
  </si>
  <si>
    <t xml:space="preserve">partition p202805 values less than ('2028-06-01') ENGINE=InnoDB, </t>
  </si>
  <si>
    <t xml:space="preserve">partition p202806 values less than ('2028-07-01') ENGINE=InnoDB, </t>
  </si>
  <si>
    <t xml:space="preserve">partition p202807 values less than ('2028-08-01') ENGINE=InnoDB, </t>
  </si>
  <si>
    <t xml:space="preserve">partition p202808 values less than ('2028-09-01') ENGINE=InnoDB, </t>
  </si>
  <si>
    <t xml:space="preserve">partition p202809 values less than ('2028-10-01') ENGINE=InnoDB, </t>
  </si>
  <si>
    <t xml:space="preserve">partition p202810 values less than ('2028-11-01') ENGINE=InnoDB, </t>
  </si>
  <si>
    <t xml:space="preserve">partition p202811 values less than ('2028-12-01') ENGINE=InnoDB, </t>
  </si>
  <si>
    <t xml:space="preserve">partition p202812 values less than ('2029-01-01') ENGINE=InnoDB, </t>
  </si>
  <si>
    <t xml:space="preserve">partition p202901 values less than ('2029-02-01') ENGINE=InnoDB, </t>
  </si>
  <si>
    <t xml:space="preserve">partition p202902 values less than ('2029-03-01') ENGINE=InnoDB, </t>
  </si>
  <si>
    <t xml:space="preserve">partition p202903 values less than ('2029-04-01') ENGINE=InnoDB, </t>
  </si>
  <si>
    <t xml:space="preserve">partition p202904 values less than ('2029-05-01') ENGINE=InnoDB, </t>
  </si>
  <si>
    <t xml:space="preserve">partition p202905 values less than ('2029-06-01') ENGINE=InnoDB, </t>
  </si>
  <si>
    <t xml:space="preserve">partition p202906 values less than ('2029-07-01') ENGINE=InnoDB, </t>
  </si>
  <si>
    <t xml:space="preserve">partition p202907 values less than ('2029-08-01') ENGINE=InnoDB, </t>
  </si>
  <si>
    <t xml:space="preserve">partition p202908 values less than ('2029-09-01') ENGINE=InnoDB, </t>
  </si>
  <si>
    <t xml:space="preserve">partition p202909 values less than ('2029-10-01') ENGINE=InnoDB, </t>
  </si>
  <si>
    <t xml:space="preserve">partition p202910 values less than ('2029-11-01') ENGINE=InnoDB, </t>
  </si>
  <si>
    <t xml:space="preserve">partition p202911 values less than ('2029-12-01') ENGINE=InnoDB, </t>
  </si>
  <si>
    <t xml:space="preserve">partition p202912 values less than ('2030-01-01') ENGINE=InnoDB, </t>
  </si>
  <si>
    <t xml:space="preserve">partition p203001 values less than ('2030-02-01') ENGINE=InnoDB, </t>
  </si>
  <si>
    <t xml:space="preserve">partition p203002 values less than ('2030-03-01') ENGINE=InnoDB, </t>
  </si>
  <si>
    <t xml:space="preserve">partition p203003 values less than ('2030-04-01') ENGINE=InnoDB, </t>
  </si>
  <si>
    <t xml:space="preserve">partition p203004 values less than ('2030-05-01') ENGINE=InnoDB, </t>
  </si>
  <si>
    <t xml:space="preserve">partition p203005 values less than ('2030-06-01') ENGINE=InnoDB, </t>
  </si>
  <si>
    <t xml:space="preserve">partition p203006 values less than ('2030-07-01') ENGINE=InnoDB, </t>
  </si>
  <si>
    <t xml:space="preserve">partition p203007 values less than ('2030-08-01') ENGINE=InnoDB, </t>
  </si>
  <si>
    <t xml:space="preserve">partition p203008 values less than ('2030-09-01') ENGINE=InnoDB, </t>
  </si>
  <si>
    <t xml:space="preserve">partition p203009 values less than ('2030-10-01') ENGINE=InnoDB, </t>
  </si>
  <si>
    <t xml:space="preserve">partition p203010 values less than ('2030-11-01') ENGINE=InnoDB, </t>
  </si>
  <si>
    <t xml:space="preserve">partition p203011 values less than ('2030-12-01') ENGINE=InnoDB, </t>
  </si>
  <si>
    <t xml:space="preserve">partition p203012 values less than ('2031-01-01') ENGINE=InnoDB, </t>
  </si>
  <si>
    <t xml:space="preserve">partition p203101 values less than ('2031-02-01') ENGINE=InnoDB, </t>
  </si>
  <si>
    <t xml:space="preserve">partition p203102 values less than ('2031-03-01') ENGINE=InnoDB, </t>
  </si>
  <si>
    <t xml:space="preserve">partition p203103 values less than ('2031-04-01') ENGINE=InnoDB, </t>
  </si>
  <si>
    <t xml:space="preserve">partition p203104 values less than ('2031-05-01') ENGINE=InnoDB, </t>
  </si>
  <si>
    <t xml:space="preserve">partition p203105 values less than ('2031-06-01') ENGINE=InnoDB, </t>
  </si>
  <si>
    <t xml:space="preserve">partition p203106 values less than ('2031-07-01') ENGINE=InnoDB, </t>
  </si>
  <si>
    <t xml:space="preserve">partition p203107 values less than ('2031-08-01') ENGINE=InnoDB, </t>
  </si>
  <si>
    <t xml:space="preserve">partition p203108 values less than ('2031-09-01') ENGINE=InnoDB, </t>
  </si>
  <si>
    <t xml:space="preserve">partition p203109 values less than ('2031-10-01') ENGINE=InnoDB, </t>
  </si>
  <si>
    <t xml:space="preserve">partition p203110 values less than ('2031-11-01') ENGINE=InnoDB, </t>
  </si>
  <si>
    <t xml:space="preserve">partition p203111 values less than ('2031-12-01') ENGINE=InnoDB, </t>
  </si>
  <si>
    <t xml:space="preserve">partition p203112 values less than ('2032-01-01') ENGINE=InnoDB, </t>
  </si>
  <si>
    <t xml:space="preserve">partition p203201 values less than ('2032-02-01') ENGINE=InnoDB, </t>
  </si>
  <si>
    <t xml:space="preserve">partition p203202 values less than ('2032-03-01') ENGINE=InnoDB, </t>
  </si>
  <si>
    <t xml:space="preserve">partition p203203 values less than ('2032-04-01') ENGINE=InnoDB, </t>
  </si>
  <si>
    <t xml:space="preserve">partition p203204 values less than ('2032-05-01') ENGINE=InnoDB, </t>
  </si>
  <si>
    <t xml:space="preserve">partition p203205 values less than ('2032-06-01') ENGINE=InnoDB, </t>
  </si>
  <si>
    <t xml:space="preserve">partition p203206 values less than ('2032-07-01') ENGINE=InnoDB, </t>
  </si>
  <si>
    <t xml:space="preserve">partition p203207 values less than ('2032-08-01') ENGINE=InnoDB, </t>
  </si>
  <si>
    <t xml:space="preserve">partition p203208 values less than ('2032-09-01') ENGINE=InnoDB, </t>
  </si>
  <si>
    <t xml:space="preserve">partition p203209 values less than ('2032-10-01') ENGINE=InnoDB, </t>
  </si>
  <si>
    <t xml:space="preserve">partition p203210 values less than ('2032-11-01') ENGINE=InnoDB, </t>
  </si>
  <si>
    <t xml:space="preserve">partition p203211 values less than ('2032-12-01') ENGINE=InnoDB, </t>
  </si>
  <si>
    <t xml:space="preserve">partition p203212 values less than ('2033-01-01') ENGINE=InnoDB, </t>
  </si>
  <si>
    <t xml:space="preserve">partition p203301 values less than ('2033-02-01') ENGINE=InnoDB, </t>
  </si>
  <si>
    <t xml:space="preserve">partition p203302 values less than ('2033-03-01') ENGINE=InnoDB, </t>
  </si>
  <si>
    <t xml:space="preserve">partition p203303 values less than ('2033-04-01') ENGINE=InnoDB, </t>
  </si>
  <si>
    <t xml:space="preserve">partition p203304 values less than ('2033-05-01') ENGINE=InnoDB, </t>
  </si>
  <si>
    <t xml:space="preserve">partition p203305 values less than ('2033-06-01') ENGINE=InnoDB, </t>
  </si>
  <si>
    <t xml:space="preserve">partition p203306 values less than ('2033-07-01') ENGINE=InnoDB, </t>
  </si>
  <si>
    <t xml:space="preserve">partition p203307 values less than ('2033-08-01') ENGINE=InnoDB, </t>
  </si>
  <si>
    <t xml:space="preserve">partition p203308 values less than ('2033-09-01') ENGINE=InnoDB, </t>
  </si>
  <si>
    <t xml:space="preserve">partition p203309 values less than ('2033-10-01') ENGINE=InnoDB, </t>
  </si>
  <si>
    <t xml:space="preserve">partition p203310 values less than ('2033-11-01') ENGINE=InnoDB, </t>
  </si>
  <si>
    <t xml:space="preserve">partition p203311 values less than ('2033-12-01') ENGINE=InnoDB, </t>
  </si>
  <si>
    <t xml:space="preserve">partition p203312 values less than ('2034-01-01') ENGINE=InnoDB, </t>
  </si>
  <si>
    <t xml:space="preserve">partition p203401 values less than ('2034-02-01') ENGINE=InnoDB, </t>
  </si>
  <si>
    <t xml:space="preserve">partition p203402 values less than ('2034-03-01') ENGINE=InnoDB, </t>
  </si>
  <si>
    <t xml:space="preserve">partition p203403 values less than ('2034-04-01') ENGINE=InnoDB, </t>
  </si>
  <si>
    <t xml:space="preserve">partition p203404 values less than ('2034-05-01') ENGINE=InnoDB, </t>
  </si>
  <si>
    <t xml:space="preserve">partition p203405 values less than ('2034-06-01') ENGINE=InnoDB, </t>
  </si>
  <si>
    <t xml:space="preserve">partition p203406 values less than ('2034-07-01') ENGINE=InnoDB, </t>
  </si>
  <si>
    <t xml:space="preserve">partition p203407 values less than ('2034-08-01') ENGINE=InnoDB, </t>
  </si>
  <si>
    <t xml:space="preserve">partition p203408 values less than ('2034-09-01') ENGINE=InnoDB, </t>
  </si>
  <si>
    <t xml:space="preserve">partition p203409 values less than ('2034-10-01') ENGINE=InnoDB, </t>
  </si>
  <si>
    <t xml:space="preserve">partition p203410 values less than ('2034-11-01') ENGINE=InnoDB, </t>
  </si>
  <si>
    <t xml:space="preserve">partition p203411 values less than ('2034-12-01') ENGINE=InnoDB, </t>
  </si>
  <si>
    <t xml:space="preserve">partition p203412 values less than ('2035-01-01') ENGINE=InnoDB, </t>
  </si>
  <si>
    <t xml:space="preserve">partition p203501 values less than ('2035-02-01') ENGINE=InnoDB, </t>
  </si>
  <si>
    <t xml:space="preserve">partition p203502 values less than ('2035-03-01') ENGINE=InnoDB, </t>
  </si>
  <si>
    <t xml:space="preserve">partition p203503 values less than ('2035-04-01') ENGINE=InnoDB, </t>
  </si>
  <si>
    <t xml:space="preserve">partition p203504 values less than ('2035-05-01') ENGINE=InnoDB, </t>
  </si>
  <si>
    <t xml:space="preserve">partition p203505 values less than ('2035-06-01') ENGINE=InnoDB, </t>
  </si>
  <si>
    <t xml:space="preserve">partition p203506 values less than ('2035-07-01') ENGINE=InnoDB, </t>
  </si>
  <si>
    <t xml:space="preserve">partition p203507 values less than ('2035-08-01') ENGINE=InnoDB, </t>
  </si>
  <si>
    <t xml:space="preserve">partition p203508 values less than ('2035-09-01') ENGINE=InnoDB, </t>
  </si>
  <si>
    <t xml:space="preserve">partition p203509 values less than ('2035-10-01') ENGINE=InnoDB, </t>
  </si>
  <si>
    <t xml:space="preserve">partition p203510 values less than ('2035-11-01') ENGINE=InnoDB, </t>
  </si>
  <si>
    <t xml:space="preserve">partition p203511 values less than ('2035-12-01') ENGINE=InnoDB, </t>
  </si>
  <si>
    <t xml:space="preserve">partition p203512 values less than ('2036-01-01') ENGINE=InnoDB, </t>
  </si>
  <si>
    <t xml:space="preserve">partition p203601 values less than ('2036-02-01') ENGINE=InnoDB, </t>
  </si>
  <si>
    <t xml:space="preserve">partition p203602 values less than ('2036-03-01') ENGINE=InnoDB, </t>
  </si>
  <si>
    <t xml:space="preserve">partition p203603 values less than ('2036-04-01') ENGINE=InnoDB, </t>
  </si>
  <si>
    <t xml:space="preserve">partition p203604 values less than ('2036-05-01') ENGINE=InnoDB, </t>
  </si>
  <si>
    <t xml:space="preserve">partition p203605 values less than ('2036-06-01') ENGINE=InnoDB, </t>
  </si>
  <si>
    <t xml:space="preserve">partition p203606 values less than ('2036-07-01') ENGINE=InnoDB, </t>
  </si>
  <si>
    <t xml:space="preserve">partition p203607 values less than ('2036-08-01') ENGINE=InnoDB, </t>
  </si>
  <si>
    <t xml:space="preserve">partition p203608 values less than ('2036-09-01') ENGINE=InnoDB, </t>
  </si>
  <si>
    <t xml:space="preserve">partition p203609 values less than ('2036-10-01') ENGINE=InnoDB, </t>
  </si>
  <si>
    <t xml:space="preserve">partition p203610 values less than ('2036-11-01') ENGINE=InnoDB, </t>
  </si>
  <si>
    <t xml:space="preserve">partition p203611 values less than ('2036-12-01') ENGINE=InnoDB, </t>
  </si>
  <si>
    <t xml:space="preserve">partition p203612 values less than ('2037-01-01') ENGINE=InnoDB, </t>
  </si>
  <si>
    <t xml:space="preserve">partition p203701 values less than ('2037-02-01') ENGINE=InnoDB, </t>
  </si>
  <si>
    <t xml:space="preserve">partition p203702 values less than ('2037-03-01') ENGINE=InnoDB, </t>
  </si>
  <si>
    <t xml:space="preserve">partition p203703 values less than ('2037-04-01') ENGINE=InnoDB, </t>
  </si>
  <si>
    <t xml:space="preserve">partition p203704 values less than ('2037-05-01') ENGINE=InnoDB, </t>
  </si>
  <si>
    <t xml:space="preserve">partition p203705 values less than ('2037-06-01') ENGINE=InnoDB, </t>
  </si>
  <si>
    <t xml:space="preserve">partition p203706 values less than ('2037-07-01') ENGINE=InnoDB, </t>
  </si>
  <si>
    <t xml:space="preserve">partition p203707 values less than ('2037-08-01') ENGINE=InnoDB, </t>
  </si>
  <si>
    <t xml:space="preserve">partition p203708 values less than ('2037-09-01') ENGINE=InnoDB, </t>
  </si>
  <si>
    <t xml:space="preserve">partition p203709 values less than ('2037-10-01') ENGINE=InnoDB, </t>
  </si>
  <si>
    <t xml:space="preserve">partition p203710 values less than ('2037-11-01') ENGINE=InnoDB, </t>
  </si>
  <si>
    <t xml:space="preserve">partition p203711 values less than ('2037-12-01') ENGINE=InnoDB, </t>
  </si>
  <si>
    <t xml:space="preserve">partition p203712 values less than ('2038-01-01') ENGINE=InnoDB, </t>
  </si>
  <si>
    <t xml:space="preserve">partition p203801 values less than ('2038-02-01') ENGINE=InnoDB, </t>
  </si>
  <si>
    <t xml:space="preserve">partition p203802 values less than ('2038-03-01') ENGINE=InnoDB, </t>
  </si>
  <si>
    <t xml:space="preserve">partition p203803 values less than ('2038-04-01') ENGINE=InnoDB, </t>
  </si>
  <si>
    <t xml:space="preserve">partition p203804 values less than ('2038-05-01') ENGINE=InnoDB, </t>
  </si>
  <si>
    <t xml:space="preserve">partition p203805 values less than ('2038-06-01') ENGINE=InnoDB, </t>
  </si>
  <si>
    <t xml:space="preserve">partition p203806 values less than ('2038-07-01') ENGINE=InnoDB, </t>
  </si>
  <si>
    <t xml:space="preserve">partition p203807 values less than ('2038-08-01') ENGINE=InnoDB, </t>
  </si>
  <si>
    <t xml:space="preserve">partition p203808 values less than ('2038-09-01') ENGINE=InnoDB, </t>
  </si>
  <si>
    <t xml:space="preserve">partition p203809 values less than ('2038-10-01') ENGINE=InnoDB, </t>
  </si>
  <si>
    <t xml:space="preserve">partition p203810 values less than ('2038-11-01') ENGINE=InnoDB, </t>
  </si>
  <si>
    <t xml:space="preserve">partition p203811 values less than ('2038-12-01') ENGINE=InnoDB, </t>
  </si>
  <si>
    <t xml:space="preserve">partition p203812 values less than ('2039-01-01') ENGINE=InnoDB, </t>
  </si>
  <si>
    <t>PARTITION P999912 VALUES LESS THAN MAXVALUE ENGINE = InnoDB</t>
  </si>
  <si>
    <t xml:space="preserve"> )</t>
  </si>
  <si>
    <t xml:space="preserve"> ;</t>
  </si>
  <si>
    <t>CREATE  unique INDEX ix1_am_emp_worktime ON am_emp_worktime1(EMP_ID,WORK_DATE ,WORK_DATE_SEQ);</t>
  </si>
  <si>
    <t>CREATE  INDEX ix2_am_emp_worktime ON am_emp_worktime1(WORK_DATE,EMP_ID);</t>
  </si>
  <si>
    <t>CREATE  INDEX ix3_am_emp_worktime ON am_emp_worktime1(E_DATETIME,EMP_ID);</t>
  </si>
  <si>
    <t>一般假勤項目檔</t>
    <phoneticPr fontId="5" type="noConversion"/>
  </si>
  <si>
    <t>假勤項目_ID</t>
    <phoneticPr fontId="5" type="noConversion"/>
  </si>
  <si>
    <t>LEAVEITEM_ID</t>
    <phoneticPr fontId="5" type="noConversion"/>
  </si>
  <si>
    <t>AUTO_INCREMENT</t>
  </si>
  <si>
    <t>假勤項目代碼</t>
    <phoneticPr fontId="5" type="noConversion"/>
  </si>
  <si>
    <t>LEAVEITEM_CODE</t>
    <phoneticPr fontId="5" type="noConversion"/>
  </si>
  <si>
    <t>空白</t>
  </si>
  <si>
    <t>假勤項目名稱</t>
    <phoneticPr fontId="5" type="noConversion"/>
  </si>
  <si>
    <t>LEAVEITEM_NAME</t>
    <phoneticPr fontId="5" type="noConversion"/>
  </si>
  <si>
    <t>假勤項目名稱_JSON</t>
  </si>
  <si>
    <t>LEAVEITEM_NAME_JSON</t>
  </si>
  <si>
    <t>特定代碼</t>
    <phoneticPr fontId="5" type="noConversion"/>
  </si>
  <si>
    <t>SPECIFIC_CODE</t>
    <phoneticPr fontId="5" type="noConversion"/>
  </si>
  <si>
    <t>空白</t>
    <phoneticPr fontId="5" type="noConversion"/>
  </si>
  <si>
    <t>SLC00 特休假
SLC03 補休假
SLC05 彈性假</t>
    <phoneticPr fontId="5" type="noConversion"/>
  </si>
  <si>
    <t>假勤單位</t>
    <phoneticPr fontId="5" type="noConversion"/>
  </si>
  <si>
    <t>UNIT</t>
    <phoneticPr fontId="5" type="noConversion"/>
  </si>
  <si>
    <t>day:天  hour:小時  minute:分鐘</t>
    <phoneticPr fontId="5" type="noConversion"/>
  </si>
  <si>
    <t>/api/sys/code:am.leaveitem.unit</t>
  </si>
  <si>
    <t>假勤單位(數值)</t>
    <phoneticPr fontId="5" type="noConversion"/>
  </si>
  <si>
    <t>UNIT_VALUE</t>
    <phoneticPr fontId="5" type="noConversion"/>
  </si>
  <si>
    <t>decimal</t>
    <phoneticPr fontId="5" type="noConversion"/>
  </si>
  <si>
    <t>計算期間(種類)</t>
    <phoneticPr fontId="5" type="noConversion"/>
  </si>
  <si>
    <t>PERIOD_TYPE</t>
    <phoneticPr fontId="5" type="noConversion"/>
  </si>
  <si>
    <t>year:每年
month:每月
day:每天
eventday:事件發生日
custom:自訂期間
personal:依個人設定
ppdate:試用期滿日
ppnextmonth:試用期次月
ppmonth:試用期滿當月
annualstart:特休年資起始日
workstart:工作年資起始日
hiremonth:到職日當月
hiredate:到職日
birthdaymonth:生日當月
birthday:生日當日</t>
    <phoneticPr fontId="5" type="noConversion"/>
  </si>
  <si>
    <t>/api/sys/code:am.leaveitem.periodType</t>
  </si>
  <si>
    <t>0</t>
  </si>
  <si>
    <t>員工請假主檔</t>
    <phoneticPr fontId="5" type="noConversion"/>
  </si>
  <si>
    <t>請假起始日</t>
    <phoneticPr fontId="5" type="noConversion"/>
  </si>
  <si>
    <t>LEAVE_START</t>
    <phoneticPr fontId="5" type="noConversion"/>
  </si>
  <si>
    <t>請假結束日</t>
    <phoneticPr fontId="5" type="noConversion"/>
  </si>
  <si>
    <t>LEAVE_END</t>
    <phoneticPr fontId="5" type="noConversion"/>
  </si>
  <si>
    <t>傳入0 表示不判斷假勤項目</t>
    <phoneticPr fontId="5" type="noConversion"/>
  </si>
  <si>
    <t>表單狀態</t>
    <phoneticPr fontId="5" type="noConversion"/>
  </si>
  <si>
    <t>WF_RESULT</t>
    <phoneticPr fontId="5" type="noConversion"/>
  </si>
  <si>
    <t>2</t>
    <phoneticPr fontId="5" type="noConversion"/>
  </si>
  <si>
    <t>1：在途中 2：已核准</t>
    <phoneticPr fontId="5" type="noConversion"/>
  </si>
  <si>
    <t>ID</t>
    <phoneticPr fontId="5" type="noConversion"/>
  </si>
  <si>
    <t>EMP_LEAVE_ID</t>
    <phoneticPr fontId="5" type="noConversion"/>
  </si>
  <si>
    <t>/api/am/emp</t>
    <phoneticPr fontId="5" type="noConversion"/>
  </si>
  <si>
    <t>事件發生日_ID</t>
    <phoneticPr fontId="5" type="noConversion"/>
  </si>
  <si>
    <t>EMP_LEAVE_EVENT_ID</t>
    <phoneticPr fontId="5" type="noConversion"/>
  </si>
  <si>
    <t>20</t>
  </si>
  <si>
    <t>請假起始時間</t>
    <phoneticPr fontId="5" type="noConversion"/>
  </si>
  <si>
    <t>請假結束時間</t>
    <phoneticPr fontId="5" type="noConversion"/>
  </si>
  <si>
    <t>合計扣假請假數</t>
    <phoneticPr fontId="5" type="noConversion"/>
  </si>
  <si>
    <t>LEAVE_VALUE</t>
    <phoneticPr fontId="5" type="noConversion"/>
  </si>
  <si>
    <t>以假勤單位的數值存入</t>
    <phoneticPr fontId="5" type="noConversion"/>
  </si>
  <si>
    <t>合計扣除分鐘數</t>
    <phoneticPr fontId="5" type="noConversion"/>
  </si>
  <si>
    <t>DED_VALUE</t>
    <phoneticPr fontId="5" type="noConversion"/>
  </si>
  <si>
    <t>以分鐘存入</t>
    <phoneticPr fontId="5" type="noConversion"/>
  </si>
  <si>
    <t>合計銷假數</t>
    <phoneticPr fontId="5" type="noConversion"/>
  </si>
  <si>
    <t>CANCEL_VALUE</t>
    <phoneticPr fontId="5" type="noConversion"/>
  </si>
  <si>
    <t>請假當時假勤單位</t>
    <phoneticPr fontId="5" type="noConversion"/>
  </si>
  <si>
    <t>day:天  hour:小時  
minute:分鐘</t>
    <phoneticPr fontId="5" type="noConversion"/>
  </si>
  <si>
    <t>請假原因</t>
    <phoneticPr fontId="5" type="noConversion"/>
  </si>
  <si>
    <t>REASON</t>
    <phoneticPr fontId="5" type="noConversion"/>
  </si>
  <si>
    <t>職務代理人_IDS</t>
    <phoneticPr fontId="5" type="noConversion"/>
  </si>
  <si>
    <t>AGENT_IDS</t>
    <phoneticPr fontId="5" type="noConversion"/>
  </si>
  <si>
    <t>ex. 1,3,5,6
(畫面限制5組職務代理人)</t>
    <phoneticPr fontId="5" type="noConversion"/>
  </si>
  <si>
    <t>附件</t>
    <phoneticPr fontId="5" type="noConversion"/>
  </si>
  <si>
    <t>FILES</t>
    <phoneticPr fontId="5" type="noConversion"/>
  </si>
  <si>
    <t>[{
  "UUID": "79dfb06204ebdc482d81b8c5e018008e",
  "NAME": "bg.png"
},
{
  "UUID": "0a72722dec620a8d59014438802373a8",
  "NAME": "bg6.jpg"
}]</t>
    <phoneticPr fontId="5" type="noConversion"/>
  </si>
  <si>
    <t>LEAVE_SOURCE</t>
    <phoneticPr fontId="5" type="noConversion"/>
  </si>
  <si>
    <t>1:資料輸入 2:資料匯入
3:時數輸入 4:時數匯入
5:刷卡轉入 6:電子表單
7:介接     8:出差紀錄</t>
    <phoneticPr fontId="5" type="noConversion"/>
  </si>
  <si>
    <t>/api/sys/code: am.leave.source</t>
  </si>
  <si>
    <t>WORKFLOW 表單編號</t>
    <phoneticPr fontId="5" type="noConversion"/>
  </si>
  <si>
    <t>WF_NO</t>
    <phoneticPr fontId="5" type="noConversion"/>
  </si>
  <si>
    <t>/api/sys/code: am.leave.workSheetStatus</t>
  </si>
  <si>
    <t>簽核完成時間</t>
    <phoneticPr fontId="5" type="noConversion"/>
  </si>
  <si>
    <t>WF_SIGN_TIME</t>
    <phoneticPr fontId="5" type="noConversion"/>
  </si>
  <si>
    <t>新增_日期</t>
  </si>
  <si>
    <t>C_DATETIME</t>
  </si>
  <si>
    <t>修改_日期</t>
  </si>
  <si>
    <t>/api/am/emp_leave/daily</t>
    <phoneticPr fontId="5" type="noConversion"/>
  </si>
  <si>
    <t>員工請假日檔</t>
    <phoneticPr fontId="5" type="noConversion"/>
  </si>
  <si>
    <t>EMP_LEAVED_ID</t>
    <phoneticPr fontId="5" type="noConversion"/>
  </si>
  <si>
    <t>請假主檔_ID</t>
    <phoneticPr fontId="5" type="noConversion"/>
  </si>
  <si>
    <t>/api/wf/wf010/leaveitems</t>
  </si>
  <si>
    <t>請假歸屬日期</t>
    <phoneticPr fontId="5" type="noConversion"/>
  </si>
  <si>
    <t>LEAVE_DATE</t>
    <phoneticPr fontId="5" type="noConversion"/>
  </si>
  <si>
    <t>請假歸屬日期分段</t>
    <phoneticPr fontId="5" type="noConversion"/>
  </si>
  <si>
    <t>LEAVE_DATE_SEQ</t>
    <phoneticPr fontId="5" type="noConversion"/>
  </si>
  <si>
    <t>應上班時間起</t>
    <phoneticPr fontId="5" type="noConversion"/>
  </si>
  <si>
    <t>應上班時間迄</t>
    <phoneticPr fontId="5" type="noConversion"/>
  </si>
  <si>
    <t>LEAVED_START</t>
    <phoneticPr fontId="5" type="noConversion"/>
  </si>
  <si>
    <t>LEAVED_END</t>
    <phoneticPr fontId="5" type="noConversion"/>
  </si>
  <si>
    <t>請假分鐘數</t>
    <phoneticPr fontId="5" type="noConversion"/>
  </si>
  <si>
    <t>LEAVE_MINS</t>
    <phoneticPr fontId="5" type="noConversion"/>
  </si>
  <si>
    <t>實際的請假分鐘數(不用再去扣除)</t>
    <phoneticPr fontId="5" type="noConversion"/>
  </si>
  <si>
    <t>扣除分鐘數</t>
    <phoneticPr fontId="5" type="noConversion"/>
  </si>
  <si>
    <t>DED_MINS</t>
    <phoneticPr fontId="5" type="noConversion"/>
  </si>
  <si>
    <t>銷假分鐘數</t>
    <phoneticPr fontId="5" type="noConversion"/>
  </si>
  <si>
    <t>CANCEL_MINS</t>
    <phoneticPr fontId="5" type="noConversion"/>
  </si>
  <si>
    <t>(由欄位由銷假日檔累計回寫)
實際請假=請假-銷假(不用減扣除)</t>
    <phoneticPr fontId="5" type="noConversion"/>
  </si>
  <si>
    <t>扣除休息時間明細</t>
    <phoneticPr fontId="5" type="noConversion"/>
  </si>
  <si>
    <t>DED_DETAIL</t>
    <phoneticPr fontId="5" type="noConversion"/>
  </si>
  <si>
    <t>以JSON 格式存入多個扣除時間
[{
"is_checked":"1"
,"shift_s":"1900/01/02 12:00"
,"shift_e":"1900/01/02 13:00"
,"act_s":"1900/01/02 12:30"
,"act_e":"1900/01/02 13:00"
,"ded_mins":"30"},   
{
"is_checked":"1"
,"shift_s":"1900/01/02 23:50"
,"shift_e":"1900/01/02 01:50"
,"act_s":"1900/01/02 23:50"
,"act_e":"1900/01/02 23:59"
,"ded_mins":"9"}]  
is_checked:是否勾選(1:是 0:否)
shift_s:班表休息時間起
shift_e:班表休息時間迄
act_s:扣除休息時間起
act_e:扣除休息時間迄
ded_mins:扣除分鐘數</t>
    <phoneticPr fontId="5" type="noConversion"/>
  </si>
  <si>
    <t>一天換小時</t>
    <phoneticPr fontId="5" type="noConversion"/>
  </si>
  <si>
    <t>DAY_TO_HOUR</t>
    <phoneticPr fontId="5" type="noConversion"/>
  </si>
  <si>
    <t>當假勤單位為天時使用(例: 一天為3小時)</t>
    <phoneticPr fontId="5" type="noConversion"/>
  </si>
  <si>
    <t>結算狀態</t>
    <phoneticPr fontId="5" type="noConversion"/>
  </si>
  <si>
    <t>CAL_STATUS</t>
    <phoneticPr fontId="5" type="noConversion"/>
  </si>
  <si>
    <t>0: 未結算 1：結算中 2：結算完成</t>
    <phoneticPr fontId="5" type="noConversion"/>
  </si>
  <si>
    <t>/api/sys/code: am.cal.status</t>
  </si>
  <si>
    <t>薪資結檔主檔_ID</t>
    <phoneticPr fontId="5" type="noConversion"/>
  </si>
  <si>
    <t>SALARY_CLOSE_ID</t>
    <phoneticPr fontId="5" type="noConversion"/>
  </si>
  <si>
    <t>有值 ,表示已結檔</t>
    <phoneticPr fontId="5" type="noConversion"/>
  </si>
  <si>
    <t>員工加班主檔</t>
    <phoneticPr fontId="5" type="noConversion"/>
  </si>
  <si>
    <t>加班起始日</t>
    <phoneticPr fontId="5" type="noConversion"/>
  </si>
  <si>
    <t>OT_SDATE</t>
    <phoneticPr fontId="5" type="noConversion"/>
  </si>
  <si>
    <t>加班結束日</t>
    <phoneticPr fontId="5" type="noConversion"/>
  </si>
  <si>
    <t>OT_EDATE</t>
    <phoneticPr fontId="5" type="noConversion"/>
  </si>
  <si>
    <t>EMP_OT_ID</t>
    <phoneticPr fontId="5" type="noConversion"/>
  </si>
  <si>
    <t>加班申請起始時間</t>
    <phoneticPr fontId="5" type="noConversion"/>
  </si>
  <si>
    <t>OT_START</t>
    <phoneticPr fontId="5" type="noConversion"/>
  </si>
  <si>
    <t>加班申請結束時間</t>
    <phoneticPr fontId="5" type="noConversion"/>
  </si>
  <si>
    <t>OT_END</t>
    <phoneticPr fontId="5" type="noConversion"/>
  </si>
  <si>
    <t>加班歸屬日期</t>
    <phoneticPr fontId="5" type="noConversion"/>
  </si>
  <si>
    <t>OT_DATE</t>
    <phoneticPr fontId="5" type="noConversion"/>
  </si>
  <si>
    <t>先不拆日 , 但要拆加班類別</t>
    <phoneticPr fontId="5" type="noConversion"/>
  </si>
  <si>
    <t>加班原因</t>
    <phoneticPr fontId="5" type="noConversion"/>
  </si>
  <si>
    <t>加班當時單位</t>
    <phoneticPr fontId="5" type="noConversion"/>
  </si>
  <si>
    <t>hour:小時  minute:分鐘</t>
    <phoneticPr fontId="5" type="noConversion"/>
  </si>
  <si>
    <t>/api/sys/code:am.otRule.unit</t>
  </si>
  <si>
    <t>合計加班數</t>
    <phoneticPr fontId="5" type="noConversion"/>
  </si>
  <si>
    <t>OT_VALUE</t>
    <phoneticPr fontId="5" type="noConversion"/>
  </si>
  <si>
    <t>以假勤單位的數值存入
(加班時數已減去了扣除)</t>
    <phoneticPr fontId="5" type="noConversion"/>
  </si>
  <si>
    <t>合計支領加班費</t>
    <phoneticPr fontId="5" type="noConversion"/>
  </si>
  <si>
    <t>PAY_VALUE</t>
    <phoneticPr fontId="5" type="noConversion"/>
  </si>
  <si>
    <t>合計支領補休</t>
    <phoneticPr fontId="5" type="noConversion"/>
  </si>
  <si>
    <t>CL_VALUE</t>
    <phoneticPr fontId="5" type="noConversion"/>
  </si>
  <si>
    <t>OT_SOURCE</t>
    <phoneticPr fontId="5" type="noConversion"/>
  </si>
  <si>
    <t>1:資料輸入 2:資料匯入
3:時數輸入 4:時數匯入
5:刷卡轉入 6:電子表單
7:介接</t>
    <phoneticPr fontId="5" type="noConversion"/>
  </si>
  <si>
    <t>0:未結算 1：結算中 2：結算完成</t>
    <phoneticPr fontId="5" type="noConversion"/>
  </si>
  <si>
    <t>員工打卡比對結果檔</t>
    <phoneticPr fontId="5" type="noConversion"/>
  </si>
  <si>
    <t>異常條件</t>
    <phoneticPr fontId="5" type="noConversion"/>
  </si>
  <si>
    <t>MATCH_STATUS</t>
    <phoneticPr fontId="5" type="noConversion"/>
  </si>
  <si>
    <t>3,4,5,6,7
(以逗號分隔取多種項目)</t>
    <phoneticPr fontId="5" type="noConversion"/>
  </si>
  <si>
    <t>0:未比對
1:正常  2:不比對異常
3:遲到  4:早退
5:曠職  6:未打卡
7:加班刷卡時間不足</t>
    <phoneticPr fontId="5" type="noConversion"/>
  </si>
  <si>
    <t>異常處理方式</t>
    <phoneticPr fontId="5" type="noConversion"/>
  </si>
  <si>
    <t>UNUSUAL_ACTION</t>
    <phoneticPr fontId="5" type="noConversion"/>
  </si>
  <si>
    <t>1,2
(以逗號分隔取多種項目)</t>
    <phoneticPr fontId="5" type="noConversion"/>
  </si>
  <si>
    <t>1:待處理  
2:請假
8:異常已結算
9:忽略</t>
    <phoneticPr fontId="5" type="noConversion"/>
  </si>
  <si>
    <t>超時出勤條件</t>
    <phoneticPr fontId="5" type="noConversion"/>
  </si>
  <si>
    <t>OVER_ATTEND_STATUS</t>
    <phoneticPr fontId="5" type="noConversion"/>
  </si>
  <si>
    <t>2,3
(以逗號分隔取多種項目)</t>
    <phoneticPr fontId="5" type="noConversion"/>
  </si>
  <si>
    <t>0:未比對
1:正常
2:不比對異常
3:超時出勤</t>
    <phoneticPr fontId="5" type="noConversion"/>
  </si>
  <si>
    <t>超時出勤異常處理方式</t>
    <phoneticPr fontId="5" type="noConversion"/>
  </si>
  <si>
    <t>OVER_ATTEND_ACTION</t>
    <phoneticPr fontId="5" type="noConversion"/>
  </si>
  <si>
    <t>1,9
(以逗號分隔取多種項目)</t>
    <phoneticPr fontId="5" type="noConversion"/>
  </si>
  <si>
    <t>1:待處理  
2:加班
7:填寫超時出勤原因
9:忽略</t>
    <phoneticPr fontId="5" type="noConversion"/>
  </si>
  <si>
    <t>EMP_CARDMATCH_ID</t>
    <phoneticPr fontId="5" type="noConversion"/>
  </si>
  <si>
    <t>出勤日期分段</t>
    <phoneticPr fontId="5" type="noConversion"/>
  </si>
  <si>
    <t>打卡別</t>
    <phoneticPr fontId="5" type="noConversion"/>
  </si>
  <si>
    <t>CARD_TYPE</t>
    <phoneticPr fontId="5" type="noConversion"/>
  </si>
  <si>
    <t>1:上班 2:下班 
3:加班開始  4:加班結束 
5:休息外出 6:休息返回
7:請假外出 8:請假返回</t>
    <phoneticPr fontId="5" type="noConversion"/>
  </si>
  <si>
    <t>/api/sys/code: am.card.type</t>
  </si>
  <si>
    <t>打卡組別</t>
    <phoneticPr fontId="5" type="noConversion"/>
  </si>
  <si>
    <t>CARD_GROUP</t>
    <phoneticPr fontId="5" type="noConversion"/>
  </si>
  <si>
    <t>若有2組休息 &amp; 返回
第1組 : 1
第2組 : 2
請假同上</t>
    <phoneticPr fontId="5" type="noConversion"/>
  </si>
  <si>
    <t>此段刷卡是否有彈性</t>
    <phoneticPr fontId="5" type="noConversion"/>
  </si>
  <si>
    <t>IS_FLEXIBLE</t>
    <phoneticPr fontId="5" type="noConversion"/>
  </si>
  <si>
    <t>1:是、0:否
上下班有彈性 ,但可能休息沒彈性</t>
    <phoneticPr fontId="5" type="noConversion"/>
  </si>
  <si>
    <t>實際彈性分鐘數</t>
    <phoneticPr fontId="5" type="noConversion"/>
  </si>
  <si>
    <t>FLEXIBLE_MIN</t>
    <phoneticPr fontId="5" type="noConversion"/>
  </si>
  <si>
    <t>SMALLINT</t>
    <phoneticPr fontId="5" type="noConversion"/>
  </si>
  <si>
    <t>往前彈性 = 負值 ,
往後彈性 = 正值</t>
    <phoneticPr fontId="5" type="noConversion"/>
  </si>
  <si>
    <t>應刷卡時間(不含彈性)</t>
    <phoneticPr fontId="5" type="noConversion"/>
  </si>
  <si>
    <t>WORK_CARD_DATETIME</t>
    <phoneticPr fontId="5" type="noConversion"/>
  </si>
  <si>
    <t>應刷卡時間(含彈性)</t>
    <phoneticPr fontId="5" type="noConversion"/>
  </si>
  <si>
    <t>FLEXIBLE_CARD_DATETIME</t>
    <phoneticPr fontId="5" type="noConversion"/>
  </si>
  <si>
    <t>加班資料_ID</t>
    <phoneticPr fontId="5" type="noConversion"/>
  </si>
  <si>
    <t>如果為加班卡, 要記錄由哪個加班ID 產生的</t>
    <phoneticPr fontId="5" type="noConversion"/>
  </si>
  <si>
    <t>應打卡區間起(合理時間)</t>
    <phoneticPr fontId="5" type="noConversion"/>
  </si>
  <si>
    <t>RANGE1_START</t>
    <phoneticPr fontId="5" type="noConversion"/>
  </si>
  <si>
    <t>非UTC (包含彈性)</t>
    <phoneticPr fontId="5" type="noConversion"/>
  </si>
  <si>
    <t>應打卡區間迄(合理時間)</t>
    <phoneticPr fontId="5" type="noConversion"/>
  </si>
  <si>
    <t>RANGE1_END</t>
    <phoneticPr fontId="5" type="noConversion"/>
  </si>
  <si>
    <t>應打卡區間起(不合理時間)</t>
    <phoneticPr fontId="5" type="noConversion"/>
  </si>
  <si>
    <t>RANGE2_START</t>
    <phoneticPr fontId="5" type="noConversion"/>
  </si>
  <si>
    <t>應打卡區間迄(不合理時間)</t>
    <phoneticPr fontId="5" type="noConversion"/>
  </si>
  <si>
    <t>RANGE2_END</t>
    <phoneticPr fontId="5" type="noConversion"/>
  </si>
  <si>
    <t>應打卡區間-請假主檔_ID</t>
    <phoneticPr fontId="5" type="noConversion"/>
  </si>
  <si>
    <t>休息時間-可否加班</t>
    <phoneticPr fontId="5" type="noConversion"/>
  </si>
  <si>
    <t>IS_REST_OVERTIME</t>
    <phoneticPr fontId="5" type="noConversion"/>
  </si>
  <si>
    <t>實際打卡時間</t>
    <phoneticPr fontId="5" type="noConversion"/>
  </si>
  <si>
    <t>CARD_DATETIME</t>
    <phoneticPr fontId="5" type="noConversion"/>
  </si>
  <si>
    <t>體溫單位</t>
    <phoneticPr fontId="5" type="noConversion"/>
  </si>
  <si>
    <t>TEMP_UNIT</t>
    <phoneticPr fontId="5" type="noConversion"/>
  </si>
  <si>
    <t>C:攝氏 F:華氏</t>
    <phoneticPr fontId="5" type="noConversion"/>
  </si>
  <si>
    <t>/api/sys/code: am.temp.unit</t>
  </si>
  <si>
    <t>體溫值</t>
    <phoneticPr fontId="5" type="noConversion"/>
  </si>
  <si>
    <t>TEMP_VALUE</t>
    <phoneticPr fontId="5" type="noConversion"/>
  </si>
  <si>
    <t>實際打卡資料來源</t>
    <phoneticPr fontId="5" type="noConversion"/>
  </si>
  <si>
    <t>CARD_SOURCE</t>
    <phoneticPr fontId="5" type="noConversion"/>
  </si>
  <si>
    <t>1:刷卡鐘     2:門禁 
3:網路打卡  4:介接
5:GPS 打卡  6:Workflow申請  
7:Wi-Fi打卡 9:人工輸入</t>
    <phoneticPr fontId="5" type="noConversion"/>
  </si>
  <si>
    <t>/api/sys/code: am.card.source</t>
  </si>
  <si>
    <t>實際打卡明細檔_ID</t>
    <phoneticPr fontId="5" type="noConversion"/>
  </si>
  <si>
    <t>EMP_CARDDATA_ID</t>
    <phoneticPr fontId="5" type="noConversion"/>
  </si>
  <si>
    <t>/api/am/emp_carddata</t>
    <phoneticPr fontId="5" type="noConversion"/>
  </si>
  <si>
    <t>異常比對結果</t>
    <phoneticPr fontId="5" type="noConversion"/>
  </si>
  <si>
    <t>CARD_MATCH_STATUS</t>
    <phoneticPr fontId="5" type="noConversion"/>
  </si>
  <si>
    <t>/api/sys/code: am.cardMatch.status</t>
  </si>
  <si>
    <t>/api/sys/code: am.cardMatch.unusualAction</t>
  </si>
  <si>
    <t>異常處理備註</t>
    <phoneticPr fontId="5" type="noConversion"/>
  </si>
  <si>
    <t>UNUSUAL_REMARK</t>
    <phoneticPr fontId="5" type="noConversion"/>
  </si>
  <si>
    <t>異常處理_填寫日期</t>
    <phoneticPr fontId="5" type="noConversion"/>
  </si>
  <si>
    <t>UNUSUAL_FILL_DATETIME</t>
    <phoneticPr fontId="5" type="noConversion"/>
  </si>
  <si>
    <t>異常起始時間</t>
    <phoneticPr fontId="5" type="noConversion"/>
  </si>
  <si>
    <t>UNUSUAL_START</t>
    <phoneticPr fontId="5" type="noConversion"/>
  </si>
  <si>
    <t>異常結束時間</t>
    <phoneticPr fontId="5" type="noConversion"/>
  </si>
  <si>
    <t>UNUSUAL_END</t>
    <phoneticPr fontId="5" type="noConversion"/>
  </si>
  <si>
    <t>遲到分鐘數</t>
    <phoneticPr fontId="5" type="noConversion"/>
  </si>
  <si>
    <t>LATE_MIN</t>
    <phoneticPr fontId="5" type="noConversion"/>
  </si>
  <si>
    <t>早退分鐘數</t>
    <phoneticPr fontId="5" type="noConversion"/>
  </si>
  <si>
    <t>EARLY_MIN</t>
    <phoneticPr fontId="5" type="noConversion"/>
  </si>
  <si>
    <t>曠職分鐘數</t>
    <phoneticPr fontId="5" type="noConversion"/>
  </si>
  <si>
    <t>NOT_WORKING_MIN</t>
    <phoneticPr fontId="5" type="noConversion"/>
  </si>
  <si>
    <t>已申請的請假IDS</t>
    <phoneticPr fontId="5" type="noConversion"/>
  </si>
  <si>
    <t>EMP_ASK_LEAVE_BIZ_IDS</t>
    <phoneticPr fontId="5" type="noConversion"/>
  </si>
  <si>
    <t>多筆  , 以逗號隔開 , ex.
102,253,212</t>
    <phoneticPr fontId="5" type="noConversion"/>
  </si>
  <si>
    <t>超時出勤比對結果</t>
    <phoneticPr fontId="5" type="noConversion"/>
  </si>
  <si>
    <t>/api/sys/code: am.overAttend.status</t>
  </si>
  <si>
    <t>/api/sys/code: am.overAttend.action</t>
  </si>
  <si>
    <t>超時出勤回報_說明</t>
    <phoneticPr fontId="5" type="noConversion"/>
  </si>
  <si>
    <t>OVER_ATTEND_DESC</t>
    <phoneticPr fontId="5" type="noConversion"/>
  </si>
  <si>
    <t>超時出勤回報_填寫人員種類</t>
    <phoneticPr fontId="5" type="noConversion"/>
  </si>
  <si>
    <t>OVER_ATTEND_FILL_TYPE</t>
    <phoneticPr fontId="5" type="noConversion"/>
  </si>
  <si>
    <t>EMP:員工
HR:HR</t>
    <phoneticPr fontId="5" type="noConversion"/>
  </si>
  <si>
    <t>/api/sys/code: am.overAttend.fillType</t>
  </si>
  <si>
    <t>超時出勤回報_填寫日期</t>
    <phoneticPr fontId="5" type="noConversion"/>
  </si>
  <si>
    <t>OVER_ATTEND_FILL_DATETIME</t>
    <phoneticPr fontId="5" type="noConversion"/>
  </si>
  <si>
    <t>超時出勤起始時間</t>
    <phoneticPr fontId="5" type="noConversion"/>
  </si>
  <si>
    <t>OVER_ATTEND_START</t>
    <phoneticPr fontId="5" type="noConversion"/>
  </si>
  <si>
    <t>超時出勤結束時間</t>
    <phoneticPr fontId="5" type="noConversion"/>
  </si>
  <si>
    <t>OVER_ATTEND_END</t>
    <phoneticPr fontId="5" type="noConversion"/>
  </si>
  <si>
    <t>超時出勤分鐘數</t>
    <phoneticPr fontId="5" type="noConversion"/>
  </si>
  <si>
    <t>OVER_ATTEND_MIN</t>
    <phoneticPr fontId="5" type="noConversion"/>
  </si>
  <si>
    <t>超時出勤已申請的加班資料IDS</t>
    <phoneticPr fontId="5" type="noConversion"/>
  </si>
  <si>
    <t>EMP_OVER_TIME_IDS</t>
    <phoneticPr fontId="5" type="noConversion"/>
  </si>
  <si>
    <t>多筆  , 以逗號隔開, ex.
102,253,212</t>
    <phoneticPr fontId="5" type="noConversion"/>
  </si>
  <si>
    <t>假勤結算狀態</t>
    <phoneticPr fontId="5" type="noConversion"/>
  </si>
  <si>
    <t>員工打卡明細資料檔</t>
    <phoneticPr fontId="5" type="noConversion"/>
  </si>
  <si>
    <t>打卡時間起</t>
    <phoneticPr fontId="5" type="noConversion"/>
  </si>
  <si>
    <t>CARD_SDATETIME</t>
    <phoneticPr fontId="5" type="noConversion"/>
  </si>
  <si>
    <t>2021/01/01 09:00</t>
    <phoneticPr fontId="5" type="noConversion"/>
  </si>
  <si>
    <t>打卡時間迄</t>
    <phoneticPr fontId="5" type="noConversion"/>
  </si>
  <si>
    <t>CARD_EDATETIME</t>
    <phoneticPr fontId="5" type="noConversion"/>
  </si>
  <si>
    <t>2021/01/31 18:00</t>
    <phoneticPr fontId="5" type="noConversion"/>
  </si>
  <si>
    <t>匯入員工編號</t>
    <phoneticPr fontId="5" type="noConversion"/>
  </si>
  <si>
    <t>匯入卡號</t>
    <phoneticPr fontId="5" type="noConversion"/>
  </si>
  <si>
    <t>打卡時間</t>
    <phoneticPr fontId="5" type="noConversion"/>
  </si>
  <si>
    <t>原始打卡別</t>
    <phoneticPr fontId="5" type="noConversion"/>
  </si>
  <si>
    <t>1:上班 2:下班 
3:加班開始  4:加班結束 
5:休息外出 6:休息返回
7:請假外出 8:請假返回
(無打卡別則為0)</t>
    <phoneticPr fontId="5" type="noConversion"/>
  </si>
  <si>
    <t>1:刷卡鐘     2:門禁 
3:網路打卡  4:介接
5:GPS 打卡  6:表單申請  
7:Wi-Fi打卡 
8:人工匯入 9:人工輸入</t>
    <phoneticPr fontId="5" type="noConversion"/>
  </si>
  <si>
    <t>資料匯入方式</t>
    <phoneticPr fontId="5" type="noConversion"/>
  </si>
  <si>
    <t>IMPORT_TYPE</t>
    <phoneticPr fontId="5" type="noConversion"/>
  </si>
  <si>
    <t>(SOURCE_TYPE =  1 or 2 時使用)
A:自動匯入  P:人工匯入</t>
    <phoneticPr fontId="5" type="noConversion"/>
  </si>
  <si>
    <t>/api/sys/code: am.card.import</t>
  </si>
  <si>
    <t>/api/am/over_attend</t>
    <phoneticPr fontId="5" type="noConversion"/>
  </si>
  <si>
    <t>取得超時出勤原因代碼</t>
    <phoneticPr fontId="5" type="noConversion"/>
  </si>
  <si>
    <t>超時出勤原因_ID</t>
    <phoneticPr fontId="5" type="noConversion"/>
  </si>
  <si>
    <t>OVER_ATTEND_ID</t>
    <phoneticPr fontId="5" type="noConversion"/>
  </si>
  <si>
    <t>超時出勤代碼</t>
    <phoneticPr fontId="5" type="noConversion"/>
  </si>
  <si>
    <t>OVER_ATTEND_CODE</t>
    <phoneticPr fontId="5" type="noConversion"/>
  </si>
  <si>
    <t>超時出勤原因</t>
    <phoneticPr fontId="5" type="noConversion"/>
  </si>
  <si>
    <t>OVER_ATTEND_NAME</t>
    <phoneticPr fontId="5" type="noConversion"/>
  </si>
  <si>
    <t>超時出勤原因_JSON</t>
    <phoneticPr fontId="5" type="noConversion"/>
  </si>
  <si>
    <t>OVER_ATTEND_NAME_JSON</t>
    <phoneticPr fontId="5" type="noConversion"/>
  </si>
  <si>
    <t>Token</t>
    <phoneticPr fontId="5" type="noConversion"/>
  </si>
  <si>
    <t>TOKEN_KEY</t>
    <phoneticPr fontId="5" type="noConversion"/>
  </si>
  <si>
    <t>班表日期起</t>
    <phoneticPr fontId="5" type="noConversion"/>
  </si>
  <si>
    <t>班表日期迄</t>
    <phoneticPr fontId="5" type="noConversion"/>
  </si>
  <si>
    <t>2021/01/31</t>
    <phoneticPr fontId="5" type="noConversion"/>
  </si>
  <si>
    <t>上傳檔案</t>
    <phoneticPr fontId="5" type="noConversion"/>
  </si>
  <si>
    <t>attachment</t>
    <phoneticPr fontId="5" type="noConversion"/>
  </si>
  <si>
    <t>BINARY</t>
    <phoneticPr fontId="5" type="noConversion"/>
  </si>
  <si>
    <t>格式如 行事曆別班別不合併範例檔</t>
    <phoneticPr fontId="5" type="noConversion"/>
  </si>
  <si>
    <t>訊息代號</t>
    <phoneticPr fontId="5" type="noConversion"/>
  </si>
  <si>
    <t>Code</t>
    <phoneticPr fontId="5" type="noConversion"/>
  </si>
  <si>
    <t>參考Swagger 內容</t>
    <phoneticPr fontId="5" type="noConversion"/>
  </si>
  <si>
    <t>訊息內容</t>
    <phoneticPr fontId="5" type="noConversion"/>
  </si>
  <si>
    <t>Description</t>
    <phoneticPr fontId="5" type="noConversion"/>
  </si>
  <si>
    <t>2022/07/01 09:00</t>
    <phoneticPr fontId="5" type="noConversion"/>
  </si>
  <si>
    <t>C</t>
    <phoneticPr fontId="5" type="noConversion"/>
  </si>
  <si>
    <t>37.1</t>
    <phoneticPr fontId="5" type="noConversion"/>
  </si>
  <si>
    <t>刷卡匯入範本_ID</t>
    <phoneticPr fontId="5" type="noConversion"/>
  </si>
  <si>
    <t>CLOCK_FORMAT_ID</t>
    <phoneticPr fontId="5" type="noConversion"/>
  </si>
  <si>
    <t>格式名稱</t>
    <phoneticPr fontId="5" type="noConversion"/>
  </si>
  <si>
    <t>FORMAT_NAME</t>
    <phoneticPr fontId="5" type="noConversion"/>
  </si>
  <si>
    <t>固定寬度文字檔</t>
    <phoneticPr fontId="5" type="noConversion"/>
  </si>
  <si>
    <t>資料接收格式</t>
  </si>
  <si>
    <t>FORMAT_TYPE</t>
    <phoneticPr fontId="5" type="noConversion"/>
  </si>
  <si>
    <t>1:純文字檔(.txt,.csv,.dat) 2:Office Excel(.xls,.xlsx)</t>
    <phoneticPr fontId="5" type="noConversion"/>
  </si>
  <si>
    <t>格式如am10420匯入格式設定</t>
    <phoneticPr fontId="5" type="noConversion"/>
  </si>
  <si>
    <t>出差起始時間</t>
    <phoneticPr fontId="5" type="noConversion"/>
  </si>
  <si>
    <t>BIZ_START</t>
    <phoneticPr fontId="5" type="noConversion"/>
  </si>
  <si>
    <t>2024/01/01</t>
    <phoneticPr fontId="5" type="noConversion"/>
  </si>
  <si>
    <t>出差結束時間</t>
    <phoneticPr fontId="5" type="noConversion"/>
  </si>
  <si>
    <t>BIZ_END</t>
    <phoneticPr fontId="5" type="noConversion"/>
  </si>
  <si>
    <t>2024/01/10</t>
    <phoneticPr fontId="5" type="noConversion"/>
  </si>
  <si>
    <t>員工出差資料檔_ID</t>
    <phoneticPr fontId="5" type="noConversion"/>
  </si>
  <si>
    <t>EMP_BIZ_ID</t>
    <phoneticPr fontId="5" type="noConversion"/>
  </si>
  <si>
    <t>員工出差行程明細檔_ID</t>
    <phoneticPr fontId="5" type="noConversion"/>
  </si>
  <si>
    <t>EMP_BIZ_TRIP_ID</t>
    <phoneticPr fontId="5" type="noConversion"/>
  </si>
  <si>
    <t>若REQUEST_TYPE為2時才有ID</t>
    <phoneticPr fontId="5" type="noConversion"/>
  </si>
  <si>
    <t>出差性質_ID</t>
    <phoneticPr fontId="5" type="noConversion"/>
  </si>
  <si>
    <t>BIZ_PROPERTY_ID</t>
    <phoneticPr fontId="5" type="noConversion"/>
  </si>
  <si>
    <t>職務代理人_ID</t>
    <phoneticPr fontId="5" type="noConversion"/>
  </si>
  <si>
    <t>AGENT_ID</t>
    <phoneticPr fontId="5" type="noConversion"/>
  </si>
  <si>
    <t>合計出差時數</t>
    <phoneticPr fontId="5" type="noConversion"/>
  </si>
  <si>
    <t>BIZ_VALUE</t>
    <phoneticPr fontId="5" type="noConversion"/>
  </si>
  <si>
    <t>以假勤單位的數值存入(目前固定為小時)</t>
    <phoneticPr fontId="5" type="noConversion"/>
  </si>
  <si>
    <t>出差時數單位</t>
    <phoneticPr fontId="5" type="noConversion"/>
  </si>
  <si>
    <t>/api/sys/code:am.leaveitem.unit</t>
    <phoneticPr fontId="5" type="noConversion"/>
  </si>
  <si>
    <t>申請類型</t>
    <phoneticPr fontId="5" type="noConversion"/>
  </si>
  <si>
    <t>REQUEST_TYPE</t>
    <phoneticPr fontId="5" type="noConversion"/>
  </si>
  <si>
    <t>1:單點出差  2:多停點出差</t>
    <phoneticPr fontId="5" type="noConversion"/>
  </si>
  <si>
    <t>/api/sys/code:am.biz.requestType</t>
    <phoneticPr fontId="5" type="noConversion"/>
  </si>
  <si>
    <t>出差地點_ID</t>
    <phoneticPr fontId="5" type="noConversion"/>
  </si>
  <si>
    <t>BIZ_AREA_ID</t>
    <phoneticPr fontId="5" type="noConversion"/>
  </si>
  <si>
    <t>交通工具_IDS</t>
    <phoneticPr fontId="5" type="noConversion"/>
  </si>
  <si>
    <t>BIZ_TRANS_IDS</t>
    <phoneticPr fontId="5" type="noConversion"/>
  </si>
  <si>
    <t>ex. 1,3,5,6</t>
    <phoneticPr fontId="5" type="noConversion"/>
  </si>
  <si>
    <t>BIZ_TRANS_ID</t>
    <phoneticPr fontId="5" type="noConversion"/>
  </si>
  <si>
    <t>委辦事項_IDS</t>
    <phoneticPr fontId="5" type="noConversion"/>
  </si>
  <si>
    <t>BIZ_TODO_IDS</t>
    <phoneticPr fontId="5" type="noConversion"/>
  </si>
  <si>
    <t>BIZ_TODO_ID</t>
    <phoneticPr fontId="5" type="noConversion"/>
  </si>
  <si>
    <t>出差原因</t>
    <phoneticPr fontId="5" type="noConversion"/>
  </si>
  <si>
    <t>BIZ_SOURCE</t>
    <phoneticPr fontId="5" type="noConversion"/>
  </si>
  <si>
    <t>1:資料輸入 2:資料匯入
6:電子表單 7:介接</t>
    <phoneticPr fontId="5" type="noConversion"/>
  </si>
  <si>
    <t>/api/sys/code: am.biz.source</t>
    <phoneticPr fontId="5" type="noConversion"/>
  </si>
  <si>
    <t>1:在途中 2:已核准</t>
    <phoneticPr fontId="5" type="noConversion"/>
  </si>
  <si>
    <t>/api/sys/code: am.leave.workSheetStatus</t>
    <phoneticPr fontId="5" type="noConversion"/>
  </si>
  <si>
    <t>是否完全銷假</t>
    <phoneticPr fontId="5" type="noConversion"/>
  </si>
  <si>
    <t>IS_ALL_CANCEL</t>
    <phoneticPr fontId="5" type="noConversion"/>
  </si>
  <si>
    <t>0:否  1:是</t>
    <phoneticPr fontId="5" type="noConversion"/>
  </si>
  <si>
    <t>出差地點代碼檔</t>
    <phoneticPr fontId="5" type="noConversion"/>
  </si>
  <si>
    <t>出差地點代碼</t>
    <phoneticPr fontId="5" type="noConversion"/>
  </si>
  <si>
    <t>AREA_CODE</t>
    <phoneticPr fontId="5" type="noConversion"/>
  </si>
  <si>
    <t>出差地點名稱</t>
    <phoneticPr fontId="5" type="noConversion"/>
  </si>
  <si>
    <t>出差地點名稱_JSON</t>
    <phoneticPr fontId="5" type="noConversion"/>
  </si>
  <si>
    <t>AREA_NAME_JSON</t>
    <phoneticPr fontId="5" type="noConversion"/>
  </si>
  <si>
    <t>出差性質代碼檔</t>
    <phoneticPr fontId="5" type="noConversion"/>
  </si>
  <si>
    <t>出差性質代碼</t>
    <phoneticPr fontId="5" type="noConversion"/>
  </si>
  <si>
    <t>PROPERTY_CODE</t>
    <phoneticPr fontId="5" type="noConversion"/>
  </si>
  <si>
    <t>出差性質名稱</t>
    <phoneticPr fontId="5" type="noConversion"/>
  </si>
  <si>
    <t>PROPERTY_NAME</t>
    <phoneticPr fontId="5" type="noConversion"/>
  </si>
  <si>
    <t>出差性質名稱_JSON</t>
    <phoneticPr fontId="5" type="noConversion"/>
  </si>
  <si>
    <t>PROPERTY_NAME_JSON</t>
    <phoneticPr fontId="5" type="noConversion"/>
  </si>
  <si>
    <t>委辦事項代碼檔</t>
    <phoneticPr fontId="5" type="noConversion"/>
  </si>
  <si>
    <t>委辦事項_ID</t>
    <phoneticPr fontId="5" type="noConversion"/>
  </si>
  <si>
    <t>委辦事項代碼</t>
    <phoneticPr fontId="5" type="noConversion"/>
  </si>
  <si>
    <t>TODO_CODE</t>
    <phoneticPr fontId="5" type="noConversion"/>
  </si>
  <si>
    <t>委辦事項名稱</t>
    <phoneticPr fontId="5" type="noConversion"/>
  </si>
  <si>
    <t>TODO_NAME</t>
    <phoneticPr fontId="5" type="noConversion"/>
  </si>
  <si>
    <t>委辦事項名稱_JSON</t>
    <phoneticPr fontId="5" type="noConversion"/>
  </si>
  <si>
    <t>TODO_NAME_JSON</t>
    <phoneticPr fontId="5" type="noConversion"/>
  </si>
  <si>
    <t>交通工具代碼檔</t>
    <phoneticPr fontId="5" type="noConversion"/>
  </si>
  <si>
    <t>交通工具_ID</t>
    <phoneticPr fontId="5" type="noConversion"/>
  </si>
  <si>
    <t>交通工具代碼</t>
    <phoneticPr fontId="5" type="noConversion"/>
  </si>
  <si>
    <t>TRANS_CODE</t>
    <phoneticPr fontId="5" type="noConversion"/>
  </si>
  <si>
    <t>交通工具名稱</t>
    <phoneticPr fontId="5" type="noConversion"/>
  </si>
  <si>
    <t>TRANS_NAME</t>
    <phoneticPr fontId="5" type="noConversion"/>
  </si>
  <si>
    <t>交通工具名稱_JSON</t>
    <phoneticPr fontId="5" type="noConversion"/>
  </si>
  <si>
    <t>TRANS_NAME_JSON</t>
    <phoneticPr fontId="5" type="noConversion"/>
  </si>
  <si>
    <t>薪資科目檔</t>
    <phoneticPr fontId="5" type="noConversion"/>
  </si>
  <si>
    <t>SALARY_ITEM_ID</t>
    <phoneticPr fontId="5" type="noConversion"/>
  </si>
  <si>
    <t>/api/os/os_company</t>
    <phoneticPr fontId="5" type="noConversion"/>
  </si>
  <si>
    <t>加扣項別</t>
    <phoneticPr fontId="5" type="noConversion"/>
  </si>
  <si>
    <t>ITEM_CLASS</t>
    <phoneticPr fontId="5" type="noConversion"/>
  </si>
  <si>
    <t>0:加項 1:減項 2:公司提撥</t>
    <phoneticPr fontId="5" type="noConversion"/>
  </si>
  <si>
    <t>/api/sys/code:pb.salaryItem.class</t>
  </si>
  <si>
    <t>對照系統科目代號</t>
    <phoneticPr fontId="5" type="noConversion"/>
  </si>
  <si>
    <t>DEFAULT_ITEM_CODE</t>
    <phoneticPr fontId="5" type="noConversion"/>
  </si>
  <si>
    <t xml:space="preserve">A010 ~ D530 </t>
    <phoneticPr fontId="5" type="noConversion"/>
  </si>
  <si>
    <t>ITEM_CODE</t>
    <phoneticPr fontId="5" type="noConversion"/>
  </si>
  <si>
    <t>薪資科目代號</t>
    <phoneticPr fontId="5" type="noConversion"/>
  </si>
  <si>
    <t>薪資科目名稱</t>
    <phoneticPr fontId="5" type="noConversion"/>
  </si>
  <si>
    <t>ITEM_NAME</t>
    <phoneticPr fontId="5" type="noConversion"/>
  </si>
  <si>
    <t>薪資科目名稱_JSON</t>
    <phoneticPr fontId="5" type="noConversion"/>
  </si>
  <si>
    <t>ITEM_NAME_JSON</t>
    <phoneticPr fontId="5" type="noConversion"/>
  </si>
  <si>
    <t>是否應稅</t>
    <phoneticPr fontId="5" type="noConversion"/>
  </si>
  <si>
    <t>IS_TAX</t>
    <phoneticPr fontId="5" type="noConversion"/>
  </si>
  <si>
    <t>所得格式</t>
    <phoneticPr fontId="5" type="noConversion"/>
  </si>
  <si>
    <t>TAX_FORMAT</t>
    <phoneticPr fontId="5" type="noConversion"/>
  </si>
  <si>
    <t>50 薪資所得
51 租賃所得
53 權利金
91 競賽及中獎獎金
92 其他所得
93 退職所得
95 政府補助
9A 執行業務所得
9B 稿費所得
(空白表示不列入所得)</t>
    <phoneticPr fontId="5" type="noConversion"/>
  </si>
  <si>
    <t>/api/sys/code:pb.base.taxFormat</t>
  </si>
  <si>
    <t>課稅屬性</t>
    <phoneticPr fontId="5" type="noConversion"/>
  </si>
  <si>
    <t>TAX_TYPE</t>
    <phoneticPr fontId="5" type="noConversion"/>
  </si>
  <si>
    <t>1:固定薪資 2:非固定薪資
(0表示無課稅屬性)</t>
    <phoneticPr fontId="5" type="noConversion"/>
  </si>
  <si>
    <t>/api/sys/code:pb.salaryItem.taxType</t>
  </si>
  <si>
    <t>薪資袋輸出名稱</t>
    <phoneticPr fontId="5" type="noConversion"/>
  </si>
  <si>
    <t>ENV_ITEM_NAME</t>
    <phoneticPr fontId="5" type="noConversion"/>
  </si>
  <si>
    <t>以多語系JSON 方式存入</t>
    <phoneticPr fontId="5" type="noConversion"/>
  </si>
  <si>
    <t>是否啟用</t>
    <phoneticPr fontId="5" type="noConversion"/>
  </si>
  <si>
    <t>薪資科目預設檔</t>
    <phoneticPr fontId="5" type="noConversion"/>
  </si>
  <si>
    <t>SALARY_ITEM_DEFAULT_ID</t>
    <phoneticPr fontId="5" type="noConversion"/>
  </si>
  <si>
    <t>/api/sys/code:pb.salaryItem.class</t>
    <phoneticPr fontId="5" type="noConversion"/>
  </si>
  <si>
    <t>/api/pb/rccc</t>
    <phoneticPr fontId="5" type="noConversion"/>
  </si>
  <si>
    <t>成本中心代碼檔</t>
    <phoneticPr fontId="5" type="noConversion"/>
  </si>
  <si>
    <t>成本中心_ID</t>
  </si>
  <si>
    <t>RCCC_ID</t>
    <phoneticPr fontId="5" type="noConversion"/>
  </si>
  <si>
    <t>成本中心代碼</t>
  </si>
  <si>
    <t>RCCC_CODE</t>
    <phoneticPr fontId="5" type="noConversion"/>
  </si>
  <si>
    <t>成本中心名稱</t>
  </si>
  <si>
    <t>RCCC_NAME</t>
    <phoneticPr fontId="5" type="noConversion"/>
  </si>
  <si>
    <t>成本中心名稱_JSON</t>
  </si>
  <si>
    <t>RCCC_NAME_JSON</t>
    <phoneticPr fontId="5" type="noConversion"/>
  </si>
  <si>
    <t>/api/pb/emp_bank</t>
    <phoneticPr fontId="5" type="noConversion"/>
  </si>
  <si>
    <t>員工薪資帳號</t>
    <phoneticPr fontId="5" type="noConversion"/>
  </si>
  <si>
    <t>BANK_SEQ</t>
    <phoneticPr fontId="5" type="noConversion"/>
  </si>
  <si>
    <t>1:帳號1
2:帳號2
3:帳號3
4:帳號4</t>
    <phoneticPr fontId="5" type="noConversion"/>
  </si>
  <si>
    <t>銀行代碼</t>
    <phoneticPr fontId="5" type="noConversion"/>
  </si>
  <si>
    <t>BANK_CODE</t>
    <phoneticPr fontId="5" type="noConversion"/>
  </si>
  <si>
    <t>/api/sys/code: ed.bank</t>
    <phoneticPr fontId="5" type="noConversion"/>
  </si>
  <si>
    <t>銀行名稱</t>
    <phoneticPr fontId="5" type="noConversion"/>
  </si>
  <si>
    <t>BANK_NAME</t>
    <phoneticPr fontId="5" type="noConversion"/>
  </si>
  <si>
    <t>彰化銀行</t>
    <phoneticPr fontId="5" type="noConversion"/>
  </si>
  <si>
    <t>分行代碼</t>
    <phoneticPr fontId="5" type="noConversion"/>
  </si>
  <si>
    <t>BRANCH_CODE</t>
    <phoneticPr fontId="5" type="noConversion"/>
  </si>
  <si>
    <t>分行名稱</t>
    <phoneticPr fontId="5" type="noConversion"/>
  </si>
  <si>
    <t>BRANCH_NAME</t>
    <phoneticPr fontId="5" type="noConversion"/>
  </si>
  <si>
    <t>銀行帳號</t>
    <phoneticPr fontId="5" type="noConversion"/>
  </si>
  <si>
    <t>BANK_ACCOUNT</t>
    <phoneticPr fontId="5" type="noConversion"/>
  </si>
  <si>
    <t>(解密)</t>
    <phoneticPr fontId="5" type="noConversion"/>
  </si>
  <si>
    <t>銀行備註</t>
    <phoneticPr fontId="5" type="noConversion"/>
  </si>
  <si>
    <t>BANK_NOTE</t>
    <phoneticPr fontId="5" type="noConversion"/>
  </si>
  <si>
    <t>員工薪資基本資料</t>
    <phoneticPr fontId="5" type="noConversion"/>
  </si>
  <si>
    <t>計薪方式</t>
    <phoneticPr fontId="5" type="noConversion"/>
  </si>
  <si>
    <t>SALARY_TYPE</t>
    <phoneticPr fontId="5" type="noConversion"/>
  </si>
  <si>
    <t>MONTH 月薪
DAY 日薪
HOUR 時薪</t>
    <phoneticPr fontId="5" type="noConversion"/>
  </si>
  <si>
    <t>/api/sys/code:pb.base.salary_type</t>
  </si>
  <si>
    <t>(日薪)假日是否給薪</t>
    <phoneticPr fontId="5" type="noConversion"/>
  </si>
  <si>
    <t>IS_HOLIDAY_PAY</t>
    <phoneticPr fontId="5" type="noConversion"/>
  </si>
  <si>
    <t>1:給薪、0:不給薪</t>
    <phoneticPr fontId="5" type="noConversion"/>
  </si>
  <si>
    <t>/api/sys/code:pb.base.holidayPay</t>
  </si>
  <si>
    <t>勞保投保編號</t>
    <phoneticPr fontId="5" type="noConversion"/>
  </si>
  <si>
    <t>LABOR_NO</t>
    <phoneticPr fontId="5" type="noConversion"/>
  </si>
  <si>
    <t>勞保投保單位名稱</t>
    <phoneticPr fontId="5" type="noConversion"/>
  </si>
  <si>
    <t>LABOR_NAME</t>
    <phoneticPr fontId="5" type="noConversion"/>
  </si>
  <si>
    <t>勞保投保單位名稱_JSON</t>
    <phoneticPr fontId="5" type="noConversion"/>
  </si>
  <si>
    <t>LABOR_NAME_JSON</t>
    <phoneticPr fontId="5" type="noConversion"/>
  </si>
  <si>
    <t>健保投保編號</t>
    <phoneticPr fontId="5" type="noConversion"/>
  </si>
  <si>
    <t>HEALTH_NO</t>
    <phoneticPr fontId="5" type="noConversion"/>
  </si>
  <si>
    <t>健保投保單位名稱</t>
    <phoneticPr fontId="5" type="noConversion"/>
  </si>
  <si>
    <t>HEALTH_NAME</t>
    <phoneticPr fontId="5" type="noConversion"/>
  </si>
  <si>
    <t>健保投保單位名稱_JSON</t>
    <phoneticPr fontId="5" type="noConversion"/>
  </si>
  <si>
    <t>HEALTH_NAME_JSON</t>
    <phoneticPr fontId="5" type="noConversion"/>
  </si>
  <si>
    <t>勞保月投保薪資</t>
    <phoneticPr fontId="5" type="noConversion"/>
  </si>
  <si>
    <t>LABOR_AMOUNT</t>
    <phoneticPr fontId="5" type="noConversion"/>
  </si>
  <si>
    <t>9,0</t>
    <phoneticPr fontId="5" type="noConversion"/>
  </si>
  <si>
    <t>職災月投保薪資</t>
    <phoneticPr fontId="5" type="noConversion"/>
  </si>
  <si>
    <t>RISK_AMOUNT</t>
    <phoneticPr fontId="5" type="noConversion"/>
  </si>
  <si>
    <t>健保投保薪資</t>
    <phoneticPr fontId="5" type="noConversion"/>
  </si>
  <si>
    <t>HEALTH_AMOUNT</t>
    <phoneticPr fontId="5" type="noConversion"/>
  </si>
  <si>
    <t>勞退提繳工資</t>
    <phoneticPr fontId="5" type="noConversion"/>
  </si>
  <si>
    <t>RETIRE_AMOUNT</t>
    <phoneticPr fontId="5" type="noConversion"/>
  </si>
  <si>
    <t>員工提繳率</t>
    <phoneticPr fontId="5" type="noConversion"/>
  </si>
  <si>
    <t>EMP_RATE</t>
    <phoneticPr fontId="5" type="noConversion"/>
  </si>
  <si>
    <t>雇主提繳率</t>
    <phoneticPr fontId="5" type="noConversion"/>
  </si>
  <si>
    <t>CO_RATE</t>
    <phoneticPr fontId="5" type="noConversion"/>
  </si>
  <si>
    <t>勞保投保狀況</t>
    <phoneticPr fontId="5" type="noConversion"/>
  </si>
  <si>
    <t>LABOR_NOW_STATUS</t>
    <phoneticPr fontId="5" type="noConversion"/>
  </si>
  <si>
    <t>11:投保中
21:已退保
22:已轉出</t>
    <phoneticPr fontId="5" type="noConversion"/>
  </si>
  <si>
    <t>/api/sys/code:pb.emp.labor.nowStatus</t>
  </si>
  <si>
    <t>健保投保狀況</t>
    <phoneticPr fontId="5" type="noConversion"/>
  </si>
  <si>
    <t>HEALTH_NOW_STATUS</t>
    <phoneticPr fontId="5" type="noConversion"/>
  </si>
  <si>
    <t>11:投保中
21:已退保
22:已轉出
41:已停保</t>
    <phoneticPr fontId="5" type="noConversion"/>
  </si>
  <si>
    <t>/api/sys/code:pb.emp.health.nowStatus</t>
  </si>
  <si>
    <t>勞退投保狀況</t>
    <phoneticPr fontId="5" type="noConversion"/>
  </si>
  <si>
    <t>RETIRE_NOW_STATUS</t>
    <phoneticPr fontId="5" type="noConversion"/>
  </si>
  <si>
    <t>11:提繳中
21:停繳(退保)
22:已轉出</t>
    <phoneticPr fontId="5" type="noConversion"/>
  </si>
  <si>
    <t>/api/sys/code:pb.emp.retire.nowStatus</t>
  </si>
  <si>
    <t>/api/pb/emp_structure</t>
    <phoneticPr fontId="5" type="noConversion"/>
  </si>
  <si>
    <t>員工薪資結構明細</t>
    <phoneticPr fontId="5" type="noConversion"/>
  </si>
  <si>
    <t>薪資科目_ID</t>
    <phoneticPr fontId="5" type="noConversion"/>
  </si>
  <si>
    <t>薪資科目加扣項別</t>
    <phoneticPr fontId="5" type="noConversion"/>
  </si>
  <si>
    <t>薪資科目計薪方式</t>
    <phoneticPr fontId="5" type="noConversion"/>
  </si>
  <si>
    <t>ITEM_SALARY_TYPE</t>
    <phoneticPr fontId="5" type="noConversion"/>
  </si>
  <si>
    <t>MONTH 每月
DAY 每日
HOUR 每小時</t>
    <phoneticPr fontId="5" type="noConversion"/>
  </si>
  <si>
    <t>/api/sys/code:pb.base.itemSalaryType</t>
  </si>
  <si>
    <t>薪資科目金額</t>
    <phoneticPr fontId="5" type="noConversion"/>
  </si>
  <si>
    <t>SALARY_AMOUNT</t>
    <phoneticPr fontId="5" type="noConversion"/>
  </si>
  <si>
    <t>幣別代碼</t>
    <phoneticPr fontId="5" type="noConversion"/>
  </si>
  <si>
    <t>CURRENCY</t>
    <phoneticPr fontId="5" type="noConversion"/>
  </si>
  <si>
    <t>是否計薪</t>
    <phoneticPr fontId="5" type="noConversion"/>
  </si>
  <si>
    <t>IS_PAY</t>
    <phoneticPr fontId="5" type="noConversion"/>
  </si>
  <si>
    <t>/api/pb/emp_rccc</t>
    <phoneticPr fontId="5" type="noConversion"/>
  </si>
  <si>
    <t>員工薪資異動_成本中心明細</t>
    <phoneticPr fontId="5" type="noConversion"/>
  </si>
  <si>
    <t>api/os/os_company</t>
    <phoneticPr fontId="5" type="noConversion"/>
  </si>
  <si>
    <t>api/pb/rccc</t>
    <phoneticPr fontId="5" type="noConversion"/>
  </si>
  <si>
    <t>分攤比例</t>
    <phoneticPr fontId="5" type="noConversion"/>
  </si>
  <si>
    <t>PERCENT</t>
    <phoneticPr fontId="5" type="noConversion"/>
  </si>
  <si>
    <t>7,4</t>
    <phoneticPr fontId="5" type="noConversion"/>
  </si>
  <si>
    <t>員工每月計薪結果-主檔</t>
    <phoneticPr fontId="5" type="noConversion"/>
  </si>
  <si>
    <t>抓取條件方式</t>
    <phoneticPr fontId="5" type="noConversion"/>
  </si>
  <si>
    <t>TYPE</t>
    <phoneticPr fontId="5" type="noConversion"/>
  </si>
  <si>
    <t>1:計薪年月  2:發放年月 3:所得年月</t>
    <phoneticPr fontId="5" type="noConversion"/>
  </si>
  <si>
    <t>年月起</t>
    <phoneticPr fontId="5" type="noConversion"/>
  </si>
  <si>
    <t>S_YM</t>
    <phoneticPr fontId="5" type="noConversion"/>
  </si>
  <si>
    <t>202101</t>
    <phoneticPr fontId="5" type="noConversion"/>
  </si>
  <si>
    <t>年月迄</t>
    <phoneticPr fontId="5" type="noConversion"/>
  </si>
  <si>
    <t>E_YM</t>
    <phoneticPr fontId="5" type="noConversion"/>
  </si>
  <si>
    <t>202112</t>
    <phoneticPr fontId="5" type="noConversion"/>
  </si>
  <si>
    <t>結檔名稱</t>
    <phoneticPr fontId="5" type="noConversion"/>
  </si>
  <si>
    <t>CLOSE_NAME</t>
    <phoneticPr fontId="5" type="noConversion"/>
  </si>
  <si>
    <t>發放種類</t>
    <phoneticPr fontId="5" type="noConversion"/>
  </si>
  <si>
    <t>SALARY_PAYCAT</t>
    <phoneticPr fontId="5" type="noConversion"/>
  </si>
  <si>
    <t>1:月結薪資 2:獎金 4:津貼 8:費用</t>
    <phoneticPr fontId="5" type="noConversion"/>
  </si>
  <si>
    <t>/api/sys/code:pb.base.salaryPayCat</t>
  </si>
  <si>
    <t>計薪年月</t>
    <phoneticPr fontId="5" type="noConversion"/>
  </si>
  <si>
    <t>JOB_MONTH</t>
    <phoneticPr fontId="5" type="noConversion"/>
  </si>
  <si>
    <t>YYYYMM01
(若1個CLOSE_ID 對應到多個計薪年月,取大值)</t>
    <phoneticPr fontId="5" type="noConversion"/>
  </si>
  <si>
    <t>發放日期</t>
    <phoneticPr fontId="5" type="noConversion"/>
  </si>
  <si>
    <t>PAY_DATE</t>
    <phoneticPr fontId="5" type="noConversion"/>
  </si>
  <si>
    <t>所得年月</t>
    <phoneticPr fontId="5" type="noConversion"/>
  </si>
  <si>
    <t>TAX_MONTH</t>
    <phoneticPr fontId="5" type="noConversion"/>
  </si>
  <si>
    <t>YYYYMM01</t>
    <phoneticPr fontId="5" type="noConversion"/>
  </si>
  <si>
    <t>加項總額</t>
    <phoneticPr fontId="5" type="noConversion"/>
  </si>
  <si>
    <t>INC_AMOUNT</t>
    <phoneticPr fontId="5" type="noConversion"/>
  </si>
  <si>
    <t>扣項總額</t>
    <phoneticPr fontId="5" type="noConversion"/>
  </si>
  <si>
    <t>DEC_AMOUNT</t>
    <phoneticPr fontId="5" type="noConversion"/>
  </si>
  <si>
    <t>實發金額</t>
    <phoneticPr fontId="5" type="noConversion"/>
  </si>
  <si>
    <t>NET_AMOUNT</t>
    <phoneticPr fontId="5" type="noConversion"/>
  </si>
  <si>
    <t>DEPT1_ID</t>
    <phoneticPr fontId="5" type="noConversion"/>
  </si>
  <si>
    <t>DEPT2_ID</t>
    <phoneticPr fontId="5" type="noConversion"/>
  </si>
  <si>
    <t>DEPT3_ID</t>
    <phoneticPr fontId="5" type="noConversion"/>
  </si>
  <si>
    <t>DEPT4_ID</t>
    <phoneticPr fontId="5" type="noConversion"/>
  </si>
  <si>
    <t>DEPT5_ID</t>
    <phoneticPr fontId="5" type="noConversion"/>
  </si>
  <si>
    <t>職位</t>
    <phoneticPr fontId="5" type="noConversion"/>
  </si>
  <si>
    <t>/api/ed/ed_job</t>
    <phoneticPr fontId="5" type="noConversion"/>
  </si>
  <si>
    <t>職等</t>
    <phoneticPr fontId="5" type="noConversion"/>
  </si>
  <si>
    <t>/api/ed/ed_grade</t>
    <phoneticPr fontId="5" type="noConversion"/>
  </si>
  <si>
    <t>職級</t>
    <phoneticPr fontId="5" type="noConversion"/>
  </si>
  <si>
    <t>/api/ed/ed_level</t>
    <phoneticPr fontId="5" type="noConversion"/>
  </si>
  <si>
    <t>身份類別</t>
    <phoneticPr fontId="5" type="noConversion"/>
  </si>
  <si>
    <t>/api/ed/ed_identity</t>
    <phoneticPr fontId="5" type="noConversion"/>
  </si>
  <si>
    <t>EMPLOYEE_TYPE</t>
    <phoneticPr fontId="5" type="noConversion"/>
  </si>
  <si>
    <t>1:直接員工 2:間接員工</t>
    <phoneticPr fontId="5" type="noConversion"/>
  </si>
  <si>
    <t>RESPOBILITY</t>
    <phoneticPr fontId="5" type="noConversion"/>
  </si>
  <si>
    <t>1:責任制 2:非責任制</t>
  </si>
  <si>
    <t>HEADCOUNT_STATUS</t>
    <phoneticPr fontId="5" type="noConversion"/>
  </si>
  <si>
    <t>1:編制內員工 2:編制外員工</t>
    <phoneticPr fontId="5" type="noConversion"/>
  </si>
  <si>
    <t>工作區域</t>
    <phoneticPr fontId="5" type="noConversion"/>
  </si>
  <si>
    <t>/api/ed/ed_area</t>
    <phoneticPr fontId="5" type="noConversion"/>
  </si>
  <si>
    <t>工作地點</t>
    <phoneticPr fontId="5" type="noConversion"/>
  </si>
  <si>
    <t>/api/ed/ed_site</t>
    <phoneticPr fontId="5" type="noConversion"/>
  </si>
  <si>
    <t>廠別</t>
    <phoneticPr fontId="5" type="noConversion"/>
  </si>
  <si>
    <t>/api/ed/ed_factory</t>
    <phoneticPr fontId="5" type="noConversion"/>
  </si>
  <si>
    <t>員工每月計薪結果-明細</t>
    <phoneticPr fontId="5" type="noConversion"/>
  </si>
  <si>
    <t>金額(台幣)</t>
    <phoneticPr fontId="5" type="noConversion"/>
  </si>
  <si>
    <t>SALARY_ITEM_AMOUNT</t>
    <phoneticPr fontId="5" type="noConversion"/>
  </si>
  <si>
    <t>CURRENCY_CODE</t>
    <phoneticPr fontId="5" type="noConversion"/>
  </si>
  <si>
    <t>幣別名稱</t>
    <phoneticPr fontId="5" type="noConversion"/>
  </si>
  <si>
    <t>CURRENCY_NAME</t>
    <phoneticPr fontId="5" type="noConversion"/>
  </si>
  <si>
    <t>幣別名稱_JSON</t>
    <phoneticPr fontId="5" type="noConversion"/>
  </si>
  <si>
    <t>CURRENCY_NAME_JSON</t>
    <phoneticPr fontId="5" type="noConversion"/>
  </si>
  <si>
    <t>薪資科目檔_ID</t>
    <phoneticPr fontId="5" type="noConversion"/>
  </si>
  <si>
    <t>/api/pb/pb40110/salary_item</t>
    <phoneticPr fontId="5" type="noConversion"/>
  </si>
  <si>
    <t>加扣日期區間起</t>
    <phoneticPr fontId="5" type="noConversion"/>
  </si>
  <si>
    <t>S_DATE</t>
    <phoneticPr fontId="5" type="noConversion"/>
  </si>
  <si>
    <t>2022/07/01</t>
    <phoneticPr fontId="5" type="noConversion"/>
  </si>
  <si>
    <t>加扣日期區間迄</t>
    <phoneticPr fontId="5" type="noConversion"/>
  </si>
  <si>
    <t>E_DATE</t>
    <phoneticPr fontId="5" type="noConversion"/>
  </si>
  <si>
    <t>2022/10/01</t>
    <phoneticPr fontId="5" type="noConversion"/>
  </si>
  <si>
    <t>是否無截止日 為 "是", 則不必填</t>
    <phoneticPr fontId="5" type="noConversion"/>
  </si>
  <si>
    <t>是否無截止日</t>
    <phoneticPr fontId="5" type="noConversion"/>
  </si>
  <si>
    <t>IS_NO_END</t>
    <phoneticPr fontId="5" type="noConversion"/>
  </si>
  <si>
    <t>加扣金額</t>
    <phoneticPr fontId="5" type="noConversion"/>
  </si>
  <si>
    <t>INCDEC_AMOUNT</t>
    <phoneticPr fontId="5" type="noConversion"/>
  </si>
  <si>
    <t>NUMBER</t>
    <phoneticPr fontId="5" type="noConversion"/>
  </si>
  <si>
    <t>500</t>
    <phoneticPr fontId="5" type="noConversion"/>
  </si>
  <si>
    <t>依據幣別允許小數點不同</t>
    <phoneticPr fontId="5" type="noConversion"/>
  </si>
  <si>
    <t>TWD</t>
    <phoneticPr fontId="5" type="noConversion"/>
  </si>
  <si>
    <t>寫入成功的加扣項依員工別_ID</t>
    <phoneticPr fontId="5" type="noConversion"/>
  </si>
  <si>
    <t>INCDEC_EMP_ID</t>
    <phoneticPr fontId="5" type="noConversion"/>
  </si>
  <si>
    <t>取得某員工簽核代理人資訊</t>
    <phoneticPr fontId="5" type="noConversion"/>
  </si>
  <si>
    <t>簽核代理人設定_ID</t>
    <phoneticPr fontId="5" type="noConversion"/>
  </si>
  <si>
    <t>AGENT_SIGN_ID</t>
    <phoneticPr fontId="5" type="noConversion"/>
  </si>
  <si>
    <t>代理人員工_ID</t>
    <phoneticPr fontId="5" type="noConversion"/>
  </si>
  <si>
    <t>AGENT_SIGN_EMP_ID</t>
    <phoneticPr fontId="5" type="noConversion"/>
  </si>
  <si>
    <t>代理人員工編號</t>
    <phoneticPr fontId="5" type="noConversion"/>
  </si>
  <si>
    <t>AGENT_SIGN_EMP_NO</t>
    <phoneticPr fontId="5" type="noConversion"/>
  </si>
  <si>
    <t>代理人姓名</t>
    <phoneticPr fontId="5" type="noConversion"/>
  </si>
  <si>
    <t>AGENT_SIGN_EMP_NAME</t>
    <phoneticPr fontId="5" type="noConversion"/>
  </si>
  <si>
    <t>代理起始時間</t>
    <phoneticPr fontId="5" type="noConversion"/>
  </si>
  <si>
    <t>AGENT_STIME</t>
    <phoneticPr fontId="5" type="noConversion"/>
  </si>
  <si>
    <t>代理迄止時間</t>
    <phoneticPr fontId="5" type="noConversion"/>
  </si>
  <si>
    <t>AGENT_ETIME</t>
    <phoneticPr fontId="5" type="noConversion"/>
  </si>
  <si>
    <t>簽核表單代號</t>
    <phoneticPr fontId="5" type="noConversion"/>
  </si>
  <si>
    <t>FORM_CODE</t>
    <phoneticPr fontId="5" type="noConversion"/>
  </si>
  <si>
    <t>公司表單名稱</t>
    <phoneticPr fontId="5" type="noConversion"/>
  </si>
  <si>
    <t>FORMSET_NAME</t>
    <phoneticPr fontId="5" type="noConversion"/>
  </si>
  <si>
    <t>--資料表結束</t>
    <phoneticPr fontId="5" type="noConversion"/>
  </si>
  <si>
    <t>員工資料筆數限制</t>
    <phoneticPr fontId="5" type="noConversion"/>
  </si>
  <si>
    <t>每個員工最多取幾筆代理人資料</t>
    <phoneticPr fontId="5" type="noConversion"/>
  </si>
  <si>
    <t>TOP</t>
    <phoneticPr fontId="5" type="noConversion"/>
  </si>
  <si>
    <t>3</t>
    <phoneticPr fontId="5" type="noConversion"/>
  </si>
  <si>
    <t>AGENT_EMP_ID</t>
    <phoneticPr fontId="5" type="noConversion"/>
  </si>
  <si>
    <t>代理人公司_ID</t>
    <phoneticPr fontId="5" type="noConversion"/>
  </si>
  <si>
    <t>代理人員工姓名</t>
    <phoneticPr fontId="5" type="noConversion"/>
  </si>
  <si>
    <t>代理人英文姓名</t>
    <phoneticPr fontId="5" type="noConversion"/>
  </si>
  <si>
    <t>代理人部門1_ID</t>
    <phoneticPr fontId="5" type="noConversion"/>
  </si>
  <si>
    <t>/api/os/dept.ORG_TYPE_CODE='1'</t>
    <phoneticPr fontId="5" type="noConversion"/>
  </si>
  <si>
    <t>代理人部門1</t>
    <phoneticPr fontId="5" type="noConversion"/>
  </si>
  <si>
    <t>代理人部門1名稱</t>
    <phoneticPr fontId="5" type="noConversion"/>
  </si>
  <si>
    <t>代理人部門2_ID</t>
    <phoneticPr fontId="5" type="noConversion"/>
  </si>
  <si>
    <t>/api/os/dept.ORG_TYPE_CODE='2'</t>
    <phoneticPr fontId="5" type="noConversion"/>
  </si>
  <si>
    <t>代理人部門2</t>
    <phoneticPr fontId="5" type="noConversion"/>
  </si>
  <si>
    <t>代理人部門2名稱</t>
    <phoneticPr fontId="5" type="noConversion"/>
  </si>
  <si>
    <t>代理人部門3_ID</t>
    <phoneticPr fontId="5" type="noConversion"/>
  </si>
  <si>
    <t>/api/os/dept.ORG_TYPE_CODE='3'</t>
    <phoneticPr fontId="5" type="noConversion"/>
  </si>
  <si>
    <t>代理人部門3</t>
    <phoneticPr fontId="5" type="noConversion"/>
  </si>
  <si>
    <t>代理人部門3名稱</t>
    <phoneticPr fontId="5" type="noConversion"/>
  </si>
  <si>
    <t>代理人部門4_ID</t>
    <phoneticPr fontId="5" type="noConversion"/>
  </si>
  <si>
    <t>/api/os/dept.ORG_TYPE_CODE='4'</t>
    <phoneticPr fontId="5" type="noConversion"/>
  </si>
  <si>
    <t>代理人部門4</t>
    <phoneticPr fontId="5" type="noConversion"/>
  </si>
  <si>
    <t>代理人部門4名稱</t>
    <phoneticPr fontId="5" type="noConversion"/>
  </si>
  <si>
    <t>代理人部門5_ID</t>
    <phoneticPr fontId="5" type="noConversion"/>
  </si>
  <si>
    <t>/api/os/dept.ORG_TYPE_CODE='5'</t>
    <phoneticPr fontId="5" type="noConversion"/>
  </si>
  <si>
    <t>代理人部門5</t>
    <phoneticPr fontId="5" type="noConversion"/>
  </si>
  <si>
    <t>代理人部門5名稱</t>
    <phoneticPr fontId="5" type="noConversion"/>
  </si>
  <si>
    <t>代理人職位_ID</t>
    <phoneticPr fontId="5" type="noConversion"/>
  </si>
  <si>
    <t>代理人職位</t>
    <phoneticPr fontId="5" type="noConversion"/>
  </si>
  <si>
    <t>代理人職位名稱</t>
    <phoneticPr fontId="5" type="noConversion"/>
  </si>
  <si>
    <t>代理人在職狀況</t>
    <phoneticPr fontId="5" type="noConversion"/>
  </si>
  <si>
    <t>代理人到職日期</t>
    <phoneticPr fontId="5" type="noConversion"/>
  </si>
  <si>
    <t>HIRE_DATE</t>
  </si>
  <si>
    <t>LEAVEITEM_NAME_JSON</t>
    <phoneticPr fontId="5" type="noConversion"/>
  </si>
  <si>
    <t>假勤項目說明</t>
    <phoneticPr fontId="5" type="noConversion"/>
  </si>
  <si>
    <t>LEAVEITEM_DESC</t>
    <phoneticPr fontId="5" type="noConversion"/>
  </si>
  <si>
    <t>假勤項目說明_JSON</t>
  </si>
  <si>
    <t>LEAVEITEM_DESC_JSON</t>
    <phoneticPr fontId="5" type="noConversion"/>
  </si>
  <si>
    <t>職務代理人必填</t>
    <phoneticPr fontId="5" type="noConversion"/>
  </si>
  <si>
    <t>BASE004</t>
    <phoneticPr fontId="5" type="noConversion"/>
  </si>
  <si>
    <t>0:非必填 1:必填</t>
    <phoneticPr fontId="5" type="noConversion"/>
  </si>
  <si>
    <t>請假原因必填</t>
    <phoneticPr fontId="5" type="noConversion"/>
  </si>
  <si>
    <t>BASE005</t>
    <phoneticPr fontId="5" type="noConversion"/>
  </si>
  <si>
    <t>附件必填</t>
    <phoneticPr fontId="5" type="noConversion"/>
  </si>
  <si>
    <t>BASE006</t>
    <phoneticPr fontId="5" type="noConversion"/>
  </si>
  <si>
    <t>假勤說明顯示</t>
    <phoneticPr fontId="5" type="noConversion"/>
  </si>
  <si>
    <t>BASE012</t>
    <phoneticPr fontId="5" type="noConversion"/>
  </si>
  <si>
    <t>0:不顯示 1:顯示</t>
    <phoneticPr fontId="5" type="noConversion"/>
  </si>
  <si>
    <t>am_leaveitem.LEAVEITEM_ID</t>
    <phoneticPr fontId="5" type="noConversion"/>
  </si>
  <si>
    <t>請假起始日期</t>
    <phoneticPr fontId="5" type="noConversion"/>
  </si>
  <si>
    <t>2023/09/19</t>
    <phoneticPr fontId="5" type="noConversion"/>
  </si>
  <si>
    <t>符合此請假區間</t>
    <phoneticPr fontId="5" type="noConversion"/>
  </si>
  <si>
    <t>員工請假主檔ID</t>
    <phoneticPr fontId="5" type="noConversion"/>
  </si>
  <si>
    <t>排除此筆假勤</t>
    <phoneticPr fontId="5" type="noConversion"/>
  </si>
  <si>
    <t>事件發生日</t>
    <phoneticPr fontId="5" type="noConversion"/>
  </si>
  <si>
    <t>EVENT_DATE</t>
    <phoneticPr fontId="5" type="noConversion"/>
  </si>
  <si>
    <t>事件發生日說明</t>
    <phoneticPr fontId="5" type="noConversion"/>
  </si>
  <si>
    <t>EVENT_DESC</t>
    <phoneticPr fontId="5" type="noConversion"/>
  </si>
  <si>
    <t>可休期間起</t>
    <phoneticPr fontId="5" type="noConversion"/>
  </si>
  <si>
    <t>ALLOW_SDATE</t>
    <phoneticPr fontId="5" type="noConversion"/>
  </si>
  <si>
    <t>可休期間迄</t>
    <phoneticPr fontId="5" type="noConversion"/>
  </si>
  <si>
    <t>ALLOW_EDATE</t>
    <phoneticPr fontId="5" type="noConversion"/>
  </si>
  <si>
    <t>事件發生日組合說明</t>
    <phoneticPr fontId="5" type="noConversion"/>
  </si>
  <si>
    <t>EVENT_FULL_DESC</t>
    <phoneticPr fontId="5" type="noConversion"/>
  </si>
  <si>
    <t>ex. 2022/06/20,可休期間2022/06/20-2022/09/28</t>
    <phoneticPr fontId="5" type="noConversion"/>
  </si>
  <si>
    <t>2022/07/01 10:00</t>
    <phoneticPr fontId="5" type="noConversion"/>
  </si>
  <si>
    <t>2022/07/01 18:00</t>
    <phoneticPr fontId="5" type="noConversion"/>
  </si>
  <si>
    <t>以假勤單位的數值顯示</t>
    <phoneticPr fontId="5" type="noConversion"/>
  </si>
  <si>
    <t>合計扣假請假分鐘數</t>
    <phoneticPr fontId="5" type="noConversion"/>
  </si>
  <si>
    <t>以分鐘顯示</t>
    <phoneticPr fontId="5" type="noConversion"/>
  </si>
  <si>
    <t>員工假勤剩餘時數</t>
    <phoneticPr fontId="5" type="noConversion"/>
  </si>
  <si>
    <t>2022/06/30</t>
    <phoneticPr fontId="5" type="noConversion"/>
  </si>
  <si>
    <t>請假主檔id</t>
    <phoneticPr fontId="5" type="noConversion"/>
  </si>
  <si>
    <t>可休</t>
    <phoneticPr fontId="5" type="noConversion"/>
  </si>
  <si>
    <t>已休</t>
    <phoneticPr fontId="5" type="noConversion"/>
  </si>
  <si>
    <t>USE_VALUE</t>
    <phoneticPr fontId="5" type="noConversion"/>
  </si>
  <si>
    <t>(包含本次的請假)</t>
    <phoneticPr fontId="5" type="noConversion"/>
  </si>
  <si>
    <t>剩餘(不含在途)</t>
    <phoneticPr fontId="5" type="noConversion"/>
  </si>
  <si>
    <t>REMAIN_VALUE</t>
    <phoneticPr fontId="5" type="noConversion"/>
  </si>
  <si>
    <t>剩餘(含在途)</t>
    <phoneticPr fontId="5" type="noConversion"/>
  </si>
  <si>
    <t>ONWAY_REMAIN_VALUE</t>
    <phoneticPr fontId="5" type="noConversion"/>
  </si>
  <si>
    <t>可休次數</t>
    <phoneticPr fontId="5" type="noConversion"/>
  </si>
  <si>
    <t>LIMIT_TIMES</t>
    <phoneticPr fontId="5" type="noConversion"/>
  </si>
  <si>
    <t>已休次數</t>
    <phoneticPr fontId="5" type="noConversion"/>
  </si>
  <si>
    <t>USE_TIMES</t>
    <phoneticPr fontId="5" type="noConversion"/>
  </si>
  <si>
    <t>剩餘次數(不含在途)</t>
    <phoneticPr fontId="5" type="noConversion"/>
  </si>
  <si>
    <t>REMAIN_TIMES</t>
    <phoneticPr fontId="5" type="noConversion"/>
  </si>
  <si>
    <t>剩餘次數(含在途)</t>
    <phoneticPr fontId="5" type="noConversion"/>
  </si>
  <si>
    <t>ONWAY_REMAIN_TIMES</t>
    <phoneticPr fontId="5" type="noConversion"/>
  </si>
  <si>
    <t>年度</t>
    <phoneticPr fontId="5" type="noConversion"/>
  </si>
  <si>
    <t>LEAVE_YEAR</t>
    <phoneticPr fontId="5" type="noConversion"/>
  </si>
  <si>
    <t>2023/12/20</t>
    <phoneticPr fontId="5" type="noConversion"/>
  </si>
  <si>
    <t>假勤類型</t>
    <phoneticPr fontId="5" type="noConversion"/>
  </si>
  <si>
    <t>LEAVE_KIND</t>
    <phoneticPr fontId="5" type="noConversion"/>
  </si>
  <si>
    <t>特休/補休/彈性假/一般假勤</t>
    <phoneticPr fontId="5" type="noConversion"/>
  </si>
  <si>
    <t>請假事件發生日檔_ID</t>
    <phoneticPr fontId="5" type="noConversion"/>
  </si>
  <si>
    <t>2 
事件發生日假假勤才有值</t>
    <phoneticPr fontId="5" type="noConversion"/>
  </si>
  <si>
    <t>假勤名稱</t>
    <phoneticPr fontId="5" type="noConversion"/>
  </si>
  <si>
    <t>事假</t>
    <phoneticPr fontId="5" type="noConversion"/>
  </si>
  <si>
    <t>2023/01/01</t>
    <phoneticPr fontId="5" type="noConversion"/>
  </si>
  <si>
    <t>2023/12/31</t>
    <phoneticPr fontId="5" type="noConversion"/>
  </si>
  <si>
    <t>可休規則</t>
    <phoneticPr fontId="5" type="noConversion"/>
  </si>
  <si>
    <t>LEAVE_RULE</t>
    <phoneticPr fontId="5" type="noConversion"/>
  </si>
  <si>
    <t>每 1 年 / 240 小時</t>
    <phoneticPr fontId="5" type="noConversion"/>
  </si>
  <si>
    <t xml:space="preserve">已休(不包含在途) </t>
    <phoneticPr fontId="5" type="noConversion"/>
  </si>
  <si>
    <t>LEAVE_USED</t>
    <phoneticPr fontId="5" type="noConversion"/>
  </si>
  <si>
    <t xml:space="preserve">8 小時 </t>
    <phoneticPr fontId="5" type="noConversion"/>
  </si>
  <si>
    <t xml:space="preserve">已休(包含在途) </t>
    <phoneticPr fontId="5" type="noConversion"/>
  </si>
  <si>
    <t>LEAVE_USED_PLUS_ONWAY</t>
    <phoneticPr fontId="5" type="noConversion"/>
  </si>
  <si>
    <t xml:space="preserve">24 小時 </t>
    <phoneticPr fontId="5" type="noConversion"/>
  </si>
  <si>
    <t xml:space="preserve">剩餘(不包含在途) </t>
    <phoneticPr fontId="5" type="noConversion"/>
  </si>
  <si>
    <t>LEAVE_REMAIN</t>
    <phoneticPr fontId="5" type="noConversion"/>
  </si>
  <si>
    <t>232 小時</t>
    <phoneticPr fontId="5" type="noConversion"/>
  </si>
  <si>
    <t>簽核中</t>
    <phoneticPr fontId="5" type="noConversion"/>
  </si>
  <si>
    <t>LEAVE_ONWAY</t>
    <phoneticPr fontId="5" type="noConversion"/>
  </si>
  <si>
    <t>16 小時</t>
    <phoneticPr fontId="5" type="noConversion"/>
  </si>
  <si>
    <t xml:space="preserve">基準日可申請(包含在途) </t>
    <phoneticPr fontId="5" type="noConversion"/>
  </si>
  <si>
    <t>LEAVE_REST</t>
    <phoneticPr fontId="5" type="noConversion"/>
  </si>
  <si>
    <t>216 小時</t>
    <phoneticPr fontId="5" type="noConversion"/>
  </si>
  <si>
    <t>事件發生日假勤必填, 發生日已存在</t>
    <phoneticPr fontId="5" type="noConversion"/>
  </si>
  <si>
    <t>事件發生日假勤必填, 新增發生日</t>
    <phoneticPr fontId="5" type="noConversion"/>
  </si>
  <si>
    <t>結婚</t>
    <phoneticPr fontId="5" type="noConversion"/>
  </si>
  <si>
    <t>請假代理人_IDS</t>
    <phoneticPr fontId="5" type="noConversion"/>
  </si>
  <si>
    <t>ed_emp  ex. 1,3,5,6 (畫面限制5組職務代理人)</t>
    <phoneticPr fontId="5" type="noConversion"/>
  </si>
  <si>
    <t>結婚去了..</t>
    <phoneticPr fontId="5" type="noConversion"/>
  </si>
  <si>
    <t>[{
  "fileUUID": "30381c3458faf2d31c38aed42e7c6e17",
  "fileName": "1.png",
  "fileSize": 74506,
  "fileMime": "image/png",
  "isTmp": 1
},
{
  "fileUUID": "8e9420f6112ef948f5abd3e929e801b9",
  "fileName": "bg5.jpg",
  "fileSize": 1273043,
  "fileMime": "image/jpeg",
  "isTmp": 1
}]</t>
    <phoneticPr fontId="5" type="noConversion"/>
  </si>
  <si>
    <t>編輯模式必填</t>
    <phoneticPr fontId="5" type="noConversion"/>
  </si>
  <si>
    <t>假勤時數</t>
    <phoneticPr fontId="5" type="noConversion"/>
  </si>
  <si>
    <t>LEAVE_VALUE_UNIT</t>
    <phoneticPr fontId="5" type="noConversion"/>
  </si>
  <si>
    <t>ed_emp   ex. 1,3,5,6(畫面限制5組職務代理人)</t>
    <phoneticPr fontId="5" type="noConversion"/>
  </si>
  <si>
    <t>WF1234567890</t>
    <phoneticPr fontId="5" type="noConversion"/>
  </si>
  <si>
    <t>寫入成功的假勤主檔ID</t>
    <phoneticPr fontId="5" type="noConversion"/>
  </si>
  <si>
    <t>加班起始時間</t>
    <phoneticPr fontId="5" type="noConversion"/>
  </si>
  <si>
    <t>2021/01/01 08:00</t>
    <phoneticPr fontId="5" type="noConversion"/>
  </si>
  <si>
    <t>加班結束時間</t>
    <phoneticPr fontId="5" type="noConversion"/>
  </si>
  <si>
    <t>2021/01/01 18:00</t>
    <phoneticPr fontId="5" type="noConversion"/>
  </si>
  <si>
    <t>2:支領加班費
3:支領補休</t>
    <phoneticPr fontId="5" type="noConversion"/>
  </si>
  <si>
    <t>加班主檔id</t>
    <phoneticPr fontId="5" type="noConversion"/>
  </si>
  <si>
    <t>/api/am/emp_ot 
0  表示新增</t>
    <phoneticPr fontId="5" type="noConversion"/>
  </si>
  <si>
    <t>加班時數</t>
    <phoneticPr fontId="5" type="noConversion"/>
  </si>
  <si>
    <t>加班時數單位</t>
    <phoneticPr fontId="5" type="noConversion"/>
  </si>
  <si>
    <t>OT_VALUE_UNIT</t>
    <phoneticPr fontId="5" type="noConversion"/>
  </si>
  <si>
    <t>加班分鐘數</t>
    <phoneticPr fontId="5" type="noConversion"/>
  </si>
  <si>
    <t>OT_MINS</t>
    <phoneticPr fontId="5" type="noConversion"/>
  </si>
  <si>
    <t>/api/am/emp_ot
0  表示新增</t>
    <phoneticPr fontId="5" type="noConversion"/>
  </si>
  <si>
    <t>寫入成功的加班主檔ID</t>
    <phoneticPr fontId="5" type="noConversion"/>
  </si>
  <si>
    <t>加班原因是否必填</t>
    <phoneticPr fontId="5" type="noConversion"/>
  </si>
  <si>
    <t>OT_REASON</t>
    <phoneticPr fontId="5" type="noConversion"/>
  </si>
  <si>
    <t>忘刷時間(多組)</t>
    <phoneticPr fontId="5" type="noConversion"/>
  </si>
  <si>
    <t>至多10個時間
[
    {"cardTime": "2022/06/02 08:00"},
    {"cardTime": "2022/06/02 17:00"}
]</t>
    <phoneticPr fontId="5" type="noConversion"/>
  </si>
  <si>
    <t>忘刷說明</t>
    <phoneticPr fontId="5" type="noConversion"/>
  </si>
  <si>
    <t>WF22133312321</t>
    <phoneticPr fontId="5" type="noConversion"/>
  </si>
  <si>
    <t>刷卡ID</t>
    <phoneticPr fontId="5" type="noConversion"/>
  </si>
  <si>
    <t>ID可以傳入多筆, 以逗號分隔 ,如  1,50,200,300</t>
    <phoneticPr fontId="5" type="noConversion"/>
  </si>
  <si>
    <t>由/api/am/emp_cardmatch 取得ID</t>
    <phoneticPr fontId="5" type="noConversion"/>
  </si>
  <si>
    <t>超時出勤回報_原因ID</t>
    <phoneticPr fontId="5" type="noConversion"/>
  </si>
  <si>
    <t>50</t>
    <phoneticPr fontId="5" type="noConversion"/>
  </si>
  <si>
    <t>由/api/am/over_attend 取得ID</t>
    <phoneticPr fontId="5" type="noConversion"/>
  </si>
  <si>
    <t>因為處理XXXXXXX</t>
    <phoneticPr fontId="5" type="noConversion"/>
  </si>
  <si>
    <t>執行階段的KEY</t>
    <phoneticPr fontId="5" type="noConversion"/>
  </si>
  <si>
    <t>SESSION_KEY</t>
    <phoneticPr fontId="5" type="noConversion"/>
  </si>
  <si>
    <t>新增表單時,必須唯一 ,不可重複 (建議用uuid)</t>
    <phoneticPr fontId="5" type="noConversion"/>
  </si>
  <si>
    <t>員工請假資料</t>
    <phoneticPr fontId="5" type="noConversion"/>
  </si>
  <si>
    <t>LEAVE_DATA</t>
    <phoneticPr fontId="5" type="noConversion"/>
  </si>
  <si>
    <t>Json 格式: 
[{
  "EMP_ID": "1",
  "LEAVEITEM_ID": "100",
  "LEAVE_START": "2023/05/02 09:00",
  "LEAVE_END": "2023/05/02 18:00",
  "AGENT_IDS": "1,2,3",
  "REASON": "XXXXXXXXXXXXX",
},
{
  "EMP_ID": "1",
  "LEAVEITEM_ID": "100",
  "LEAVE_START": "2023/05/02 09:00",
  "LEAVE_END": "2023/05/02 18:00",
  "AGENT_IDS": "1,2,3",
  "REASON": "XXXXXXXXXXXXX",
}
]
EMP_ID : 員工ID
LEAVEITEM_ID : 假勤ID
LEAVE_START : 請假開始時間
LEAVE_END : 請假結束時間
AGENT_IDS : 請假代理人 (多筆,逗號分隔)
REASON : 請假原因</t>
    <phoneticPr fontId="5" type="noConversion"/>
  </si>
  <si>
    <t>核准表單時,需傳入上次的UUID</t>
    <phoneticPr fontId="5" type="noConversion"/>
  </si>
  <si>
    <t>刪除表單時,需傳入上次的UUID</t>
    <phoneticPr fontId="5" type="noConversion"/>
  </si>
  <si>
    <t>員工加班資料</t>
    <phoneticPr fontId="5" type="noConversion"/>
  </si>
  <si>
    <t>OT_DATA</t>
    <phoneticPr fontId="5" type="noConversion"/>
  </si>
  <si>
    <t>Json 格式: 
[{
  "EMP_ID": "1",
  "OT_START": "2023/05/02 09:00",
  "OT_END": "2023/05/02 18:00",
  "PAY_TYPE": "2",
  "IS_MEAL": "1",
  "IS_CARDMATCH": "1",
  "REASON": "XXXXXXXXXXXXX"
},
{
  "EMP_ID": "2",
  "OT_START": "2023/05/02 09:00",
  "OT_END": "2023/05/02 18:00",
  "PAY_TYPE": "7",
  "IS_MEAL": "1",
  "IS_CARDMATCH": "1",
  "REASON": "XXXXXXXXXXXXX"
}]
EMP_ID : 員工ID
OT_START : 加班開始時間
OT_END : 加班結束時間
PAY_TYPE:加班抵換方式 (2:申請加班費 / 3:申請補休 / 7:同時支領加班費及補休)
IS_MEAL : 支領誤餐費(1:是 0:否)
IS_CARDMATCH:是否比對刷卡(1:是 0:否)
REASON : 加班原因</t>
    <phoneticPr fontId="5" type="noConversion"/>
  </si>
  <si>
    <t>/api/wf/wf022/getOtCoef_hour</t>
    <phoneticPr fontId="5" type="noConversion"/>
  </si>
  <si>
    <t>取得員工歸屬日適用係數</t>
    <phoneticPr fontId="5" type="noConversion"/>
  </si>
  <si>
    <t>係數值</t>
    <phoneticPr fontId="5" type="noConversion"/>
  </si>
  <si>
    <t>COEF_VALUE</t>
    <phoneticPr fontId="5" type="noConversion"/>
  </si>
  <si>
    <t>/api/wf/wf020/checkOt_hour</t>
    <phoneticPr fontId="5" type="noConversion"/>
  </si>
  <si>
    <t>加班時數檢查</t>
    <phoneticPr fontId="5" type="noConversion"/>
  </si>
  <si>
    <t>加班計稅方式</t>
    <phoneticPr fontId="5" type="noConversion"/>
  </si>
  <si>
    <t>1:應稅、0:免稅</t>
    <phoneticPr fontId="5" type="noConversion"/>
  </si>
  <si>
    <t>加班單位</t>
    <phoneticPr fontId="5" type="noConversion"/>
  </si>
  <si>
    <t>hour</t>
    <phoneticPr fontId="5" type="noConversion"/>
  </si>
  <si>
    <t>折換加班費時數係數</t>
    <phoneticPr fontId="5" type="noConversion"/>
  </si>
  <si>
    <t>EMP_OT_COEF</t>
    <phoneticPr fontId="5" type="noConversion"/>
  </si>
  <si>
    <t>[
  {
    "otValue": 1,
    "otCoef": 1
  },
  {
    "otValue": 2,
    "otCoef": 2.667
  }
]</t>
    <phoneticPr fontId="5" type="noConversion"/>
  </si>
  <si>
    <t>otValue : 時數 
otCoef : 係數</t>
    <phoneticPr fontId="5" type="noConversion"/>
  </si>
  <si>
    <t>折換補休假時數係數</t>
    <phoneticPr fontId="5" type="noConversion"/>
  </si>
  <si>
    <t>EMP_CL_COEF</t>
    <phoneticPr fontId="5" type="noConversion"/>
  </si>
  <si>
    <t>[
  {
    "clValue": 1,
    "clDateRange": [
      "2023/08/03",
      "2023/08/03"
    ],
    "clCoef": 1
  },
  {
    "clValue": 2,
    "clDateRange": [
      "2023/08/18",
      "2023/08/18"
    ],
    "clCoef": 2.667
  }
]</t>
    <phoneticPr fontId="5" type="noConversion"/>
  </si>
  <si>
    <t>clValuee : 時數 
clDateRange :  補休期限
clCoef : 係數</t>
    <phoneticPr fontId="5" type="noConversion"/>
  </si>
  <si>
    <t>/api/wf/wf020/insertOt_hour</t>
    <phoneticPr fontId="5" type="noConversion"/>
  </si>
  <si>
    <t>加班時數寫入</t>
    <phoneticPr fontId="5" type="noConversion"/>
  </si>
  <si>
    <t>/api/wf/wf022/import_ot_hour</t>
    <phoneticPr fontId="5" type="noConversion"/>
  </si>
  <si>
    <t>加班時數匯入</t>
    <phoneticPr fontId="5" type="noConversion"/>
  </si>
  <si>
    <t>加班日期起</t>
    <phoneticPr fontId="5" type="noConversion"/>
  </si>
  <si>
    <t>加班日期迄</t>
    <phoneticPr fontId="5" type="noConversion"/>
  </si>
  <si>
    <t>格式如 新增加班時數-匯入格式_介接.xlsx</t>
    <phoneticPr fontId="5" type="noConversion"/>
  </si>
  <si>
    <t>出差起始時間</t>
  </si>
  <si>
    <t>BIZ_START</t>
  </si>
  <si>
    <t>出差結束時間</t>
  </si>
  <si>
    <t>BIZ_END</t>
  </si>
  <si>
    <t>合計出差單位數</t>
    <phoneticPr fontId="5" type="noConversion"/>
  </si>
  <si>
    <t>合計出差分鐘數</t>
    <phoneticPr fontId="5" type="noConversion"/>
  </si>
  <si>
    <t>出差單位</t>
    <phoneticPr fontId="5" type="noConversion"/>
  </si>
  <si>
    <t>規則</t>
    <phoneticPr fontId="5" type="noConversion"/>
  </si>
  <si>
    <t>RULE</t>
    <phoneticPr fontId="5" type="noConversion"/>
  </si>
  <si>
    <t>warning、error</t>
    <phoneticPr fontId="5" type="noConversion"/>
  </si>
  <si>
    <t>錯誤訊息</t>
    <phoneticPr fontId="5" type="noConversion"/>
  </si>
  <si>
    <t>MSG</t>
    <phoneticPr fontId="5" type="noConversion"/>
  </si>
  <si>
    <t>RULE為，warning時顯示提示訊息, error時則顯示錯誤訊息
e.g. 部分或全部的出差時間已擔任其他同仁的職務代理人</t>
    <phoneticPr fontId="5" type="noConversion"/>
  </si>
  <si>
    <t>若BASE004為1則必填</t>
    <phoneticPr fontId="5" type="noConversion"/>
  </si>
  <si>
    <t>出差時間</t>
    <phoneticPr fontId="5" type="noConversion"/>
  </si>
  <si>
    <t>BIZ_DATETIME</t>
    <phoneticPr fontId="5" type="noConversion"/>
  </si>
  <si>
    <t>[]DATETIME</t>
    <phoneticPr fontId="5" type="noConversion"/>
  </si>
  <si>
    <t>[
    "2024/04/11 08:00",
    "2024/04/11 17:00"
]</t>
    <phoneticPr fontId="5" type="noConversion"/>
  </si>
  <si>
    <t>biz_trans  ex. 1,2,5</t>
    <phoneticPr fontId="5" type="noConversion"/>
  </si>
  <si>
    <t>biz_todo ex. 1,3,9</t>
    <phoneticPr fontId="5" type="noConversion"/>
  </si>
  <si>
    <t>出差地點 ID</t>
    <phoneticPr fontId="5" type="noConversion"/>
  </si>
  <si>
    <t>若REQUEST_TYPE為1，則必填</t>
    <phoneticPr fontId="5" type="noConversion"/>
  </si>
  <si>
    <t>教育訓練</t>
    <phoneticPr fontId="5" type="noConversion"/>
  </si>
  <si>
    <t>1:整體出差行程 2: 詳細出差行程</t>
    <phoneticPr fontId="5" type="noConversion"/>
  </si>
  <si>
    <t>詳細出差行程</t>
    <phoneticPr fontId="5" type="noConversion"/>
  </si>
  <si>
    <t>BIZ_TRIPS</t>
    <phoneticPr fontId="5" type="noConversion"/>
  </si>
  <si>
    <t>[]TRIP</t>
    <phoneticPr fontId="5" type="noConversion"/>
  </si>
  <si>
    <t>[
    {
      "UNIT": "hour",
      "TRIP_VALUE": 16,
      "TRIP_AREA_ID": 11801,
      "TRIP_REASON": "培訓",
      "TRIP_DATETIME": [
        "2024/04/08 08:00",
        "2024/04/09 18:00"
      ],
      "SEQ": 0
    },
    {
      "UNIT": "hour",
      "TRIP_VALUE": 8,
      "TRIP_AREA_ID": 11806,
      "TRIP_REASON": "教育訓練",
      "TRIP_DATETIME": [
        "2024/04/10 08:00",
        "2024/04/10 18:00"
      ],
      "SEQ": 1
    }
  ]</t>
    <phoneticPr fontId="5" type="noConversion"/>
  </si>
  <si>
    <t>若REQUEST_TYPE為2，則必填</t>
    <phoneticPr fontId="5" type="noConversion"/>
  </si>
  <si>
    <t>該詳細出差行程，出差地點_ID</t>
    <phoneticPr fontId="5" type="noConversion"/>
  </si>
  <si>
    <t>TRIP_AREA_ID</t>
    <phoneticPr fontId="5" type="noConversion"/>
  </si>
  <si>
    <t>TRIP物件內欄位
若REQUEST_TYPE為2，則必填</t>
    <phoneticPr fontId="5" type="noConversion"/>
  </si>
  <si>
    <t>該詳細出差行程，出差時間</t>
    <phoneticPr fontId="5" type="noConversion"/>
  </si>
  <si>
    <t>TRIP_DATETIME</t>
    <phoneticPr fontId="5" type="noConversion"/>
  </si>
  <si>
    <t>[
    "2024/04/11 08:00",
    "2024/04/11 12:00"
]</t>
    <phoneticPr fontId="5" type="noConversion"/>
  </si>
  <si>
    <t>該詳細出差行程，出差原因</t>
    <phoneticPr fontId="5" type="noConversion"/>
  </si>
  <si>
    <t>TRIP_REASON</t>
    <phoneticPr fontId="5" type="noConversion"/>
  </si>
  <si>
    <t xml:space="preserve">第幾段詳細出差行程 </t>
    <phoneticPr fontId="5" type="noConversion"/>
  </si>
  <si>
    <t>SEQ</t>
    <phoneticPr fontId="5" type="noConversion"/>
  </si>
  <si>
    <t>0</t>
    <phoneticPr fontId="5" type="noConversion"/>
  </si>
  <si>
    <t>出差主檔id</t>
    <phoneticPr fontId="5" type="noConversion"/>
  </si>
  <si>
    <t>出差刪除</t>
    <phoneticPr fontId="5" type="noConversion"/>
  </si>
  <si>
    <t>代碼資訊</t>
    <phoneticPr fontId="5" type="noConversion"/>
  </si>
  <si>
    <t>代碼類型</t>
    <phoneticPr fontId="5" type="noConversion"/>
  </si>
  <si>
    <t>CODE_TYPE</t>
    <phoneticPr fontId="5" type="noConversion"/>
  </si>
  <si>
    <t>global.usedStatus,global.boolean</t>
    <phoneticPr fontId="5" type="noConversion"/>
  </si>
  <si>
    <t>代號</t>
    <phoneticPr fontId="5" type="noConversion"/>
  </si>
  <si>
    <t>CODE_CODE</t>
    <phoneticPr fontId="5" type="noConversion"/>
  </si>
  <si>
    <t>名稱</t>
    <phoneticPr fontId="5" type="noConversion"/>
  </si>
  <si>
    <t>CODE_NAME</t>
    <phoneticPr fontId="5" type="noConversion"/>
  </si>
  <si>
    <t>CODE_NAME_JSON</t>
    <phoneticPr fontId="5" type="noConversion"/>
  </si>
  <si>
    <t>預先加班起始時間</t>
    <phoneticPr fontId="5" type="noConversion"/>
  </si>
  <si>
    <t>2024-05-04 08:00</t>
    <phoneticPr fontId="5" type="noConversion"/>
  </si>
  <si>
    <t>預先加班結束時間</t>
    <phoneticPr fontId="24" type="noConversion"/>
  </si>
  <si>
    <t>OT_EDATE</t>
    <phoneticPr fontId="24" type="noConversion"/>
  </si>
  <si>
    <t>2024-05-04 17:00</t>
    <phoneticPr fontId="24" type="noConversion"/>
  </si>
  <si>
    <t>Y</t>
    <phoneticPr fontId="24" type="noConversion"/>
  </si>
  <si>
    <t>預先加班支領方式</t>
    <phoneticPr fontId="24" type="noConversion"/>
  </si>
  <si>
    <t>PAY_TYPE</t>
    <phoneticPr fontId="24" type="noConversion"/>
  </si>
  <si>
    <t>TINYINT</t>
    <phoneticPr fontId="24" type="noConversion"/>
  </si>
  <si>
    <t>2</t>
    <phoneticPr fontId="24" type="noConversion"/>
  </si>
  <si>
    <t>2:支領加班費
3:支領補休</t>
    <phoneticPr fontId="24" type="noConversion"/>
  </si>
  <si>
    <t>預先加班原因</t>
    <phoneticPr fontId="24" type="noConversion"/>
  </si>
  <si>
    <t>REASON</t>
    <phoneticPr fontId="24" type="noConversion"/>
  </si>
  <si>
    <t>VARCHAR</t>
    <phoneticPr fontId="24" type="noConversion"/>
  </si>
  <si>
    <t>附件</t>
    <phoneticPr fontId="24" type="noConversion"/>
  </si>
  <si>
    <t>FILES</t>
    <phoneticPr fontId="24" type="noConversion"/>
  </si>
  <si>
    <t>備註</t>
    <phoneticPr fontId="24" type="noConversion"/>
  </si>
  <si>
    <t>NOTE</t>
    <phoneticPr fontId="24" type="noConversion"/>
  </si>
  <si>
    <t>預先加班主檔id</t>
    <phoneticPr fontId="24" type="noConversion"/>
  </si>
  <si>
    <t>EMP_PREOT_ID</t>
    <phoneticPr fontId="24" type="noConversion"/>
  </si>
  <si>
    <t>BIGINT</t>
    <phoneticPr fontId="24" type="noConversion"/>
  </si>
  <si>
    <t>0</t>
    <phoneticPr fontId="24" type="noConversion"/>
  </si>
  <si>
    <t>預先加班時數</t>
    <phoneticPr fontId="5" type="noConversion"/>
  </si>
  <si>
    <t>預先加班時數單位</t>
    <phoneticPr fontId="24" type="noConversion"/>
  </si>
  <si>
    <t>OT_VALUE_UNIT</t>
    <phoneticPr fontId="24" type="noConversion"/>
  </si>
  <si>
    <t>預先加班分鐘數</t>
    <phoneticPr fontId="24" type="noConversion"/>
  </si>
  <si>
    <t>OT_MINS</t>
    <phoneticPr fontId="24" type="noConversion"/>
  </si>
  <si>
    <t>INT</t>
    <phoneticPr fontId="24" type="noConversion"/>
  </si>
  <si>
    <t>WORKFLOW 表單編號</t>
    <phoneticPr fontId="24" type="noConversion"/>
  </si>
  <si>
    <t>WF_NO</t>
    <phoneticPr fontId="24" type="noConversion"/>
  </si>
  <si>
    <t>API11223344</t>
    <phoneticPr fontId="24" type="noConversion"/>
  </si>
  <si>
    <t>表單狀態</t>
    <phoneticPr fontId="24" type="noConversion"/>
  </si>
  <si>
    <t>WF_RESULT</t>
    <phoneticPr fontId="24" type="noConversion"/>
  </si>
  <si>
    <t>寫入成功的預先加班主檔ID</t>
    <phoneticPr fontId="5" type="noConversion"/>
  </si>
  <si>
    <t>EMP_PREOT_ID</t>
    <phoneticPr fontId="5" type="noConversion"/>
  </si>
  <si>
    <t>1</t>
    <phoneticPr fontId="24" type="noConversion"/>
  </si>
  <si>
    <t>預先加班原因是否必填</t>
    <phoneticPr fontId="24" type="noConversion"/>
  </si>
  <si>
    <t>OT_REASON</t>
    <phoneticPr fontId="24" type="noConversion"/>
  </si>
  <si>
    <t>預先加班申請起始時間</t>
    <phoneticPr fontId="5" type="noConversion"/>
  </si>
  <si>
    <t>預先加班申請結束時間</t>
    <phoneticPr fontId="5" type="noConversion"/>
  </si>
  <si>
    <t>預先加班當時單位</t>
    <phoneticPr fontId="5" type="noConversion"/>
  </si>
  <si>
    <t>公司_ID</t>
    <phoneticPr fontId="27" type="noConversion"/>
  </si>
  <si>
    <t>/api/wf/wfcust/form</t>
    <phoneticPr fontId="5" type="noConversion"/>
  </si>
  <si>
    <t>自訂表單API</t>
    <phoneticPr fontId="5" type="noConversion"/>
  </si>
  <si>
    <t>自訂表單_ID</t>
    <phoneticPr fontId="5" type="noConversion"/>
  </si>
  <si>
    <t>WF_CUST_ID</t>
    <phoneticPr fontId="5" type="noConversion"/>
  </si>
  <si>
    <t>自訂表單名稱_JSON</t>
    <phoneticPr fontId="5" type="noConversion"/>
  </si>
  <si>
    <t>FORMSET_NAME_JSON</t>
    <phoneticPr fontId="5" type="noConversion"/>
  </si>
  <si>
    <t>最新版本號</t>
    <phoneticPr fontId="5" type="noConversion"/>
  </si>
  <si>
    <t>NEWEST_VERSION</t>
    <phoneticPr fontId="5" type="noConversion"/>
  </si>
  <si>
    <t>/api/wf/wfcust/component</t>
    <phoneticPr fontId="5" type="noConversion"/>
  </si>
  <si>
    <t>自訂表單元件API</t>
    <phoneticPr fontId="5" type="noConversion"/>
  </si>
  <si>
    <t>版本號</t>
    <phoneticPr fontId="5" type="noConversion"/>
  </si>
  <si>
    <t>VERSION</t>
    <phoneticPr fontId="5" type="noConversion"/>
  </si>
  <si>
    <t xml:space="preserve">欄位編碼 </t>
    <phoneticPr fontId="5" type="noConversion"/>
  </si>
  <si>
    <t>FIELD_CODE</t>
    <phoneticPr fontId="5" type="noConversion"/>
  </si>
  <si>
    <t>欄位說明</t>
    <phoneticPr fontId="5" type="noConversion"/>
  </si>
  <si>
    <t>FIELD_JSON</t>
    <phoneticPr fontId="5" type="noConversion"/>
  </si>
  <si>
    <t>/api/wf/wfcust/request</t>
    <phoneticPr fontId="5" type="noConversion"/>
  </si>
  <si>
    <t>自訂表單申請資料API</t>
    <phoneticPr fontId="5" type="noConversion"/>
  </si>
  <si>
    <t>簽核完成日期時間起</t>
    <phoneticPr fontId="5" type="noConversion"/>
  </si>
  <si>
    <t>WF_SIGN_SDATE</t>
    <phoneticPr fontId="5" type="noConversion"/>
  </si>
  <si>
    <t xml:space="preserve">簽核完成日期時間迄  </t>
    <phoneticPr fontId="5" type="noConversion"/>
  </si>
  <si>
    <t>WF_SIGN_EDATE</t>
    <phoneticPr fontId="5" type="noConversion"/>
  </si>
  <si>
    <t>表單編號</t>
    <phoneticPr fontId="5" type="noConversion"/>
  </si>
  <si>
    <t>申請員工ID</t>
    <phoneticPr fontId="5" type="noConversion"/>
  </si>
  <si>
    <t>APPLICANT_EMP_ID</t>
    <phoneticPr fontId="5" type="noConversion"/>
  </si>
  <si>
    <t>表單內容結果</t>
    <phoneticPr fontId="5" type="noConversion"/>
  </si>
  <si>
    <t>REQUEST_JSON</t>
    <phoneticPr fontId="5" type="noConversion"/>
  </si>
  <si>
    <t>mediumtext</t>
    <phoneticPr fontId="5" type="noConversion"/>
  </si>
  <si>
    <t>因表單內容結果(Json) 為大型資料，請自行解析取的需要的欄位資訊。</t>
    <phoneticPr fontId="5" type="noConversion"/>
  </si>
  <si>
    <t>最後簽核時間</t>
    <phoneticPr fontId="5" type="noConversion"/>
  </si>
  <si>
    <t>最後簽核人員</t>
    <phoneticPr fontId="5" type="noConversion"/>
  </si>
  <si>
    <t>WF_SIGN_EMP_ID</t>
    <phoneticPr fontId="5" type="noConversion"/>
  </si>
  <si>
    <t>功能代碼</t>
    <phoneticPr fontId="5" type="noConversion"/>
  </si>
  <si>
    <t>funCode</t>
    <phoneticPr fontId="5" type="noConversion"/>
  </si>
  <si>
    <t>wf010</t>
    <phoneticPr fontId="5" type="noConversion"/>
  </si>
  <si>
    <t>檔案JSON</t>
    <phoneticPr fontId="5" type="noConversion"/>
  </si>
  <si>
    <t>OBJECT</t>
    <phoneticPr fontId="5" type="noConversion"/>
  </si>
  <si>
    <t>MEDIUMTEXT</t>
  </si>
  <si>
    <t>{
  "fileUUID": "30381c3458faf2d31c38aed42e7c6e17",
  "fileName": "1.png",
  "fileSize": 74506,
  "fileMime": "image/png",
  "isTmp": 1
}</t>
    <phoneticPr fontId="5" type="noConversion"/>
  </si>
  <si>
    <t>檔案UUID</t>
    <phoneticPr fontId="5" type="noConversion"/>
  </si>
  <si>
    <t>uuid</t>
    <phoneticPr fontId="5" type="noConversion"/>
  </si>
  <si>
    <t>75e9f8007da7785dbe650e69847b0510</t>
    <phoneticPr fontId="5" type="noConversion"/>
  </si>
  <si>
    <t>必須已寫入MAX系統 (在途中或已核准)</t>
    <phoneticPr fontId="5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</si>
</sst>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fonts count="37">
    <font>
      <sz val="12"/>
      <name val="新細明體"/>
      <family val="1"/>
      <charset val="136"/>
    </font>
    <font>
      <sz val="12"/>
      <name val="Times New Roman"/>
      <family val="1"/>
    </font>
    <font>
      <sz val="10"/>
      <name val="Helv"/>
      <family val="2"/>
    </font>
    <font>
      <sz val="12"/>
      <name val="新細明體"/>
      <family val="1"/>
      <charset val="136"/>
    </font>
    <font>
      <u/>
      <sz val="12"/>
      <color indexed="12"/>
      <name val="新細明體"/>
      <family val="1"/>
      <charset val="136"/>
    </font>
    <font>
      <sz val="9"/>
      <name val="新細明體"/>
      <family val="1"/>
      <charset val="136"/>
    </font>
    <font>
      <sz val="10"/>
      <name val="ＭＳ ゴシック"/>
      <family val="3"/>
    </font>
    <font>
      <sz val="9"/>
      <name val="細明體"/>
      <family val="3"/>
      <charset val="136"/>
    </font>
    <font>
      <u/>
      <sz val="11"/>
      <color indexed="12"/>
      <name val="ＭＳ Ｐゴシック"/>
      <family val="2"/>
    </font>
    <font>
      <u/>
      <sz val="11"/>
      <color indexed="36"/>
      <name val="ＭＳ Ｐゴシック"/>
      <family val="2"/>
    </font>
    <font>
      <sz val="12"/>
      <name val="ＭＳ ゴシック"/>
      <family val="3"/>
    </font>
    <font>
      <sz val="9"/>
      <name val="新細明體"/>
      <family val="1"/>
      <charset val="136"/>
    </font>
    <font>
      <u/>
      <sz val="12"/>
      <color indexed="12"/>
      <name val="微軟正黑體"/>
      <family val="2"/>
      <charset val="136"/>
    </font>
    <font>
      <b/>
      <sz val="10"/>
      <color indexed="8"/>
      <name val="微軟正黑體"/>
      <family val="2"/>
      <charset val="136"/>
    </font>
    <font>
      <sz val="10"/>
      <color indexed="8"/>
      <name val="微軟正黑體"/>
      <family val="2"/>
      <charset val="136"/>
    </font>
    <font>
      <sz val="10"/>
      <name val="微軟正黑體"/>
      <family val="2"/>
      <charset val="136"/>
    </font>
    <font>
      <sz val="10"/>
      <name val="Arial"/>
      <family val="2"/>
    </font>
    <font>
      <sz val="12"/>
      <name val="細明體"/>
      <family val="3"/>
      <charset val="136"/>
    </font>
    <font>
      <sz val="12"/>
      <color indexed="30"/>
      <name val="細明體"/>
      <family val="3"/>
      <charset val="136"/>
    </font>
    <font>
      <sz val="10"/>
      <color indexed="30"/>
      <name val="微軟正黑體"/>
      <family val="2"/>
      <charset val="136"/>
    </font>
    <font>
      <sz val="12"/>
      <color indexed="8"/>
      <name val="細明體"/>
      <family val="3"/>
      <charset val="136"/>
    </font>
    <font>
      <sz val="8"/>
      <name val="細明體"/>
      <family val="3"/>
      <charset val="136"/>
    </font>
    <font>
      <sz val="12"/>
      <name val="微軟正黑體"/>
      <family val="2"/>
      <charset val="136"/>
    </font>
    <font>
      <b/>
      <sz val="18"/>
      <name val="微軟正黑體"/>
      <family val="2"/>
      <charset val="136"/>
    </font>
    <font>
      <sz val="9"/>
      <name val="新細明體"/>
      <family val="1"/>
      <charset val="136"/>
    </font>
    <font>
      <sz val="12"/>
      <name val="Microsoft JhengHei Light"/>
      <family val="2"/>
      <charset val="136"/>
    </font>
    <font>
      <sz val="9"/>
      <name val="新細明體"/>
      <family val="1"/>
      <charset val="136"/>
    </font>
    <font>
      <sz val="9"/>
      <name val="新細明體"/>
      <family val="1"/>
      <charset val="136"/>
    </font>
    <font>
      <sz val="12"/>
      <color theme="1"/>
      <name val="Calibri"/>
      <family val="1"/>
      <charset val="136"/>
      <scheme val="minor"/>
    </font>
    <font>
      <sz val="11"/>
      <color rgb="FF7A7A7A"/>
      <name val="細明體"/>
      <family val="3"/>
      <charset val="136"/>
    </font>
    <font>
      <sz val="12"/>
      <name val="Calibri"/>
      <family val="1"/>
      <charset val="136"/>
      <scheme val="minor"/>
    </font>
    <font>
      <sz val="12"/>
      <color indexed="30"/>
      <name val="Calibri"/>
      <family val="1"/>
      <charset val="136"/>
      <scheme val="minor"/>
    </font>
    <font>
      <sz val="12"/>
      <color indexed="8"/>
      <name val="Calibri"/>
      <family val="1"/>
      <charset val="136"/>
      <scheme val="minor"/>
    </font>
    <font>
      <sz val="12"/>
      <color rgb="FF000000"/>
      <name val="細明體"/>
      <family val="3"/>
      <charset val="136"/>
    </font>
    <font>
      <sz val="11"/>
      <color rgb="FF172B4D"/>
      <name val="Segoe UI"/>
      <family val="2"/>
    </font>
    <font>
      <sz val="10"/>
      <color theme="9" tint="0.39997558519241921"/>
      <name val="微軟正黑體"/>
      <family val="2"/>
      <charset val="136"/>
    </font>
    <font>
      <b/>
      <sz val="18"/>
      <color theme="0"/>
      <name val="微軟正黑體"/>
      <family val="2"/>
      <charset val="136"/>
    </font>
  </fonts>
  <fills count="13">
    <fill>
      <patternFill patternType="none"/>
    </fill>
    <fill>
      <patternFill patternType="gray125"/>
    </fill>
    <fill>
      <patternFill patternType="solid">
        <fgColor indexed="22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indexed="42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rgb="FFFFFFFF"/>
        <bgColor rgb="FF000000"/>
      </patternFill>
    </fill>
    <fill>
      <patternFill patternType="solid">
        <fgColor rgb="FF0000FF"/>
        <bgColor indexed="64"/>
      </patternFill>
    </fill>
    <fill>
      <patternFill patternType="solid">
        <fgColor theme="8" tint="0.39997558519241921"/>
        <bgColor indexed="64"/>
      </patternFill>
    </fill>
  </fills>
  <borders count="20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8"/>
      </left>
      <right/>
      <top style="thin">
        <color indexed="8"/>
      </top>
      <bottom style="thin">
        <color indexed="8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8"/>
      </left>
      <right/>
      <top style="thin">
        <color indexed="8"/>
      </top>
      <bottom/>
      <diagonal/>
    </border>
    <border>
      <left style="thin">
        <color indexed="64"/>
      </left>
      <right/>
      <top style="dashed">
        <color indexed="64"/>
      </top>
      <bottom style="thin">
        <color indexed="64"/>
      </bottom>
      <diagonal/>
    </border>
    <border>
      <left/>
      <right/>
      <top style="dashed">
        <color indexed="64"/>
      </top>
      <bottom style="thin">
        <color indexed="64"/>
      </bottom>
      <diagonal/>
    </border>
    <border>
      <left/>
      <right style="thin">
        <color indexed="64"/>
      </right>
      <top style="dashed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/>
      <top style="thin">
        <color rgb="FF000000"/>
      </top>
      <bottom style="thin">
        <color rgb="FF000000"/>
      </bottom>
      <diagonal/>
    </border>
  </borders>
  <cellStyleXfs count="20">
    <xf numFmtId="0" fontId="0" fillId="0" borderId="0"/>
    <xf numFmtId="0" fontId="1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1" fillId="0" borderId="0"/>
    <xf numFmtId="0" fontId="1" fillId="0" borderId="0"/>
    <xf numFmtId="0" fontId="8" fillId="0" borderId="0" applyNumberFormat="0" applyFill="0" applyBorder="0" applyAlignment="0" applyProtection="0">
      <alignment vertical="top"/>
      <protection locked="0"/>
    </xf>
    <xf numFmtId="0" fontId="3" fillId="0" borderId="0"/>
    <xf numFmtId="0" fontId="28" fillId="0" borderId="0">
      <alignment vertical="center"/>
    </xf>
    <xf numFmtId="0" fontId="16" fillId="0" borderId="0">
      <alignment vertical="center"/>
    </xf>
    <xf numFmtId="0" fontId="6" fillId="0" borderId="0"/>
    <xf numFmtId="0" fontId="1" fillId="0" borderId="0"/>
    <xf numFmtId="0" fontId="9" fillId="0" borderId="0" applyNumberFormat="0" applyFill="0" applyBorder="0" applyAlignment="0" applyProtection="0">
      <alignment vertical="top"/>
      <protection locked="0"/>
    </xf>
    <xf numFmtId="0" fontId="4" fillId="0" borderId="0" applyNumberFormat="0" applyFill="0" applyBorder="0" applyAlignment="0" applyProtection="0">
      <alignment vertical="top"/>
      <protection locked="0"/>
    </xf>
    <xf numFmtId="0" fontId="4" fillId="0" borderId="0" applyNumberFormat="0" applyFill="0" applyBorder="0" applyAlignment="0" applyProtection="0">
      <alignment vertical="top"/>
      <protection locked="0"/>
    </xf>
    <xf numFmtId="0" fontId="10" fillId="0" borderId="0"/>
    <xf numFmtId="0" fontId="1" fillId="0" borderId="0"/>
  </cellStyleXfs>
  <cellXfs count="242">
    <xf numFmtId="0" fontId="0" fillId="0" borderId="0" xfId="0" applyAlignment="1">
      <alignment vertical="center"/>
    </xf>
    <xf numFmtId="0" fontId="12" fillId="0" borderId="0" xfId="16" applyFont="1" applyAlignment="1" applyProtection="1">
      <alignment vertical="center"/>
    </xf>
    <xf numFmtId="0" fontId="13" fillId="0" borderId="0" xfId="0" applyFont="1" applyAlignment="1">
      <alignment horizontal="left" vertical="center"/>
    </xf>
    <xf numFmtId="0" fontId="14" fillId="0" borderId="0" xfId="0" applyFont="1" applyAlignment="1">
      <alignment vertical="center"/>
    </xf>
    <xf numFmtId="0" fontId="15" fillId="0" borderId="0" xfId="13" applyFont="1" applyAlignment="1">
      <alignment vertical="center"/>
    </xf>
    <xf numFmtId="0" fontId="14" fillId="0" borderId="0" xfId="13" applyFont="1" applyAlignment="1">
      <alignment vertical="center"/>
    </xf>
    <xf numFmtId="0" fontId="14" fillId="0" borderId="0" xfId="13" applyFont="1" applyAlignment="1">
      <alignment horizontal="center" vertical="center"/>
    </xf>
    <xf numFmtId="0" fontId="14" fillId="2" borderId="1" xfId="13" applyFont="1" applyFill="1" applyBorder="1" applyAlignment="1">
      <alignment horizontal="center" vertical="center"/>
    </xf>
    <xf numFmtId="0" fontId="15" fillId="0" borderId="0" xfId="13" applyFont="1" applyAlignment="1">
      <alignment horizontal="center" vertical="center"/>
    </xf>
    <xf numFmtId="0" fontId="15" fillId="2" borderId="1" xfId="0" applyFont="1" applyFill="1" applyBorder="1" applyAlignment="1">
      <alignment horizontal="center" vertical="center"/>
    </xf>
    <xf numFmtId="0" fontId="15" fillId="0" borderId="0" xfId="0" applyFont="1" applyAlignment="1">
      <alignment vertical="center"/>
    </xf>
    <xf numFmtId="0" fontId="15" fillId="0" borderId="0" xfId="0" applyFont="1" applyAlignment="1">
      <alignment horizontal="center" vertical="top"/>
    </xf>
    <xf numFmtId="0" fontId="15" fillId="0" borderId="0" xfId="0" applyFont="1" applyAlignment="1">
      <alignment vertical="top"/>
    </xf>
    <xf numFmtId="0" fontId="15" fillId="0" borderId="0" xfId="0" applyFont="1" applyAlignment="1">
      <alignment horizontal="center" vertical="center"/>
    </xf>
    <xf numFmtId="0" fontId="15" fillId="0" borderId="0" xfId="0" applyFont="1" applyAlignment="1">
      <alignment horizontal="center" vertical="center" wrapText="1"/>
    </xf>
    <xf numFmtId="0" fontId="15" fillId="0" borderId="1" xfId="0" applyFont="1" applyBorder="1" applyAlignment="1">
      <alignment horizontal="center" vertical="center"/>
    </xf>
    <xf numFmtId="14" fontId="15" fillId="0" borderId="1" xfId="0" applyNumberFormat="1" applyFont="1" applyBorder="1" applyAlignment="1">
      <alignment horizontal="center" vertical="center"/>
    </xf>
    <xf numFmtId="14" fontId="15" fillId="0" borderId="1" xfId="0" applyNumberFormat="1" applyFont="1" applyBorder="1" applyAlignment="1">
      <alignment horizontal="left" vertical="center"/>
    </xf>
    <xf numFmtId="49" fontId="17" fillId="0" borderId="1" xfId="0" applyNumberFormat="1" applyFont="1" applyBorder="1" applyAlignment="1">
      <alignment horizontal="center" vertical="center"/>
    </xf>
    <xf numFmtId="49" fontId="17" fillId="0" borderId="1" xfId="0" applyNumberFormat="1" applyFont="1" applyBorder="1" applyAlignment="1">
      <alignment vertical="center"/>
    </xf>
    <xf numFmtId="0" fontId="17" fillId="0" borderId="0" xfId="0" applyFont="1" applyAlignment="1">
      <alignment vertical="center"/>
    </xf>
    <xf numFmtId="49" fontId="17" fillId="0" borderId="0" xfId="0" applyNumberFormat="1" applyFont="1"/>
    <xf numFmtId="0" fontId="14" fillId="6" borderId="2" xfId="13" applyFont="1" applyFill="1" applyBorder="1" applyAlignment="1">
      <alignment vertical="center"/>
    </xf>
    <xf numFmtId="0" fontId="14" fillId="6" borderId="3" xfId="13" applyFont="1" applyFill="1" applyBorder="1" applyAlignment="1">
      <alignment horizontal="center" vertical="center"/>
    </xf>
    <xf numFmtId="0" fontId="15" fillId="6" borderId="0" xfId="13" applyFont="1" applyFill="1" applyAlignment="1">
      <alignment vertical="center"/>
    </xf>
    <xf numFmtId="0" fontId="14" fillId="6" borderId="0" xfId="13" applyFont="1" applyFill="1" applyAlignment="1">
      <alignment vertical="center"/>
    </xf>
    <xf numFmtId="0" fontId="17" fillId="6" borderId="1" xfId="0" applyFont="1" applyFill="1" applyBorder="1" applyAlignment="1">
      <alignment horizontal="justify" vertical="center" wrapText="1"/>
    </xf>
    <xf numFmtId="0" fontId="17" fillId="6" borderId="1" xfId="0" applyFont="1" applyFill="1" applyBorder="1" applyAlignment="1">
      <alignment horizontal="center" vertical="center" wrapText="1"/>
    </xf>
    <xf numFmtId="49" fontId="17" fillId="6" borderId="1" xfId="0" applyNumberFormat="1" applyFont="1" applyFill="1" applyBorder="1" applyAlignment="1">
      <alignment vertical="center"/>
    </xf>
    <xf numFmtId="49" fontId="17" fillId="6" borderId="1" xfId="0" applyNumberFormat="1" applyFont="1" applyFill="1" applyBorder="1" applyAlignment="1">
      <alignment vertical="center" wrapText="1"/>
    </xf>
    <xf numFmtId="0" fontId="15" fillId="7" borderId="1" xfId="14" applyFont="1" applyFill="1" applyBorder="1" applyAlignment="1">
      <alignment horizontal="center" vertical="top"/>
    </xf>
    <xf numFmtId="0" fontId="15" fillId="7" borderId="1" xfId="14" quotePrefix="1" applyFont="1" applyFill="1" applyBorder="1" applyAlignment="1">
      <alignment horizontal="center" vertical="top"/>
    </xf>
    <xf numFmtId="0" fontId="12" fillId="7" borderId="1" xfId="16" applyFont="1" applyFill="1" applyBorder="1" applyAlignment="1" applyProtection="1">
      <alignment horizontal="center" vertical="top"/>
    </xf>
    <xf numFmtId="0" fontId="15" fillId="7" borderId="4" xfId="17" applyFont="1" applyFill="1" applyBorder="1" applyAlignment="1" applyProtection="1">
      <alignment horizontal="left" vertical="top"/>
    </xf>
    <xf numFmtId="0" fontId="15" fillId="7" borderId="3" xfId="17" applyFont="1" applyFill="1" applyBorder="1" applyAlignment="1" applyProtection="1">
      <alignment horizontal="left" vertical="top"/>
    </xf>
    <xf numFmtId="0" fontId="15" fillId="7" borderId="1" xfId="0" applyFont="1" applyFill="1" applyBorder="1" applyAlignment="1">
      <alignment horizontal="left" vertical="top"/>
    </xf>
    <xf numFmtId="0" fontId="15" fillId="7" borderId="1" xfId="0" applyFont="1" applyFill="1" applyBorder="1" applyAlignment="1">
      <alignment vertical="top"/>
    </xf>
    <xf numFmtId="0" fontId="15" fillId="7" borderId="1" xfId="16" applyFont="1" applyFill="1" applyBorder="1" applyAlignment="1" applyProtection="1">
      <alignment vertical="top"/>
    </xf>
    <xf numFmtId="0" fontId="15" fillId="7" borderId="3" xfId="0" applyFont="1" applyFill="1" applyBorder="1" applyAlignment="1">
      <alignment vertical="top"/>
    </xf>
    <xf numFmtId="0" fontId="15" fillId="7" borderId="3" xfId="16" applyFont="1" applyFill="1" applyBorder="1" applyAlignment="1" applyProtection="1">
      <alignment vertical="top"/>
    </xf>
    <xf numFmtId="0" fontId="15" fillId="7" borderId="0" xfId="0" applyFont="1" applyFill="1" applyAlignment="1">
      <alignment vertical="top"/>
    </xf>
    <xf numFmtId="0" fontId="15" fillId="7" borderId="0" xfId="0" applyFont="1" applyFill="1" applyAlignment="1">
      <alignment horizontal="center" vertical="top"/>
    </xf>
    <xf numFmtId="0" fontId="15" fillId="7" borderId="1" xfId="0" applyFont="1" applyFill="1" applyBorder="1" applyAlignment="1">
      <alignment horizontal="center" vertical="center"/>
    </xf>
    <xf numFmtId="0" fontId="17" fillId="8" borderId="0" xfId="0" applyFont="1" applyFill="1"/>
    <xf numFmtId="0" fontId="15" fillId="7" borderId="1" xfId="0" applyFont="1" applyFill="1" applyBorder="1" applyAlignment="1">
      <alignment horizontal="center" vertical="top"/>
    </xf>
    <xf numFmtId="0" fontId="17" fillId="0" borderId="0" xfId="0" applyFont="1"/>
    <xf numFmtId="0" fontId="14" fillId="0" borderId="3" xfId="13" applyFont="1" applyBorder="1" applyAlignment="1">
      <alignment horizontal="center" vertical="center"/>
    </xf>
    <xf numFmtId="49" fontId="18" fillId="0" borderId="1" xfId="0" applyNumberFormat="1" applyFont="1" applyBorder="1" applyAlignment="1">
      <alignment vertical="center"/>
    </xf>
    <xf numFmtId="0" fontId="17" fillId="0" borderId="1" xfId="0" applyFont="1" applyBorder="1" applyAlignment="1">
      <alignment horizontal="center" vertical="center"/>
    </xf>
    <xf numFmtId="0" fontId="17" fillId="8" borderId="0" xfId="0" applyFont="1" applyFill="1" applyAlignment="1">
      <alignment vertical="center"/>
    </xf>
    <xf numFmtId="0" fontId="17" fillId="0" borderId="1" xfId="0" applyFont="1" applyBorder="1" applyAlignment="1">
      <alignment horizontal="justify" vertical="center" wrapText="1"/>
    </xf>
    <xf numFmtId="0" fontId="17" fillId="0" borderId="1" xfId="0" applyFont="1" applyBorder="1" applyAlignment="1">
      <alignment horizontal="center" vertical="center" wrapText="1"/>
    </xf>
    <xf numFmtId="49" fontId="17" fillId="0" borderId="1" xfId="0" applyNumberFormat="1" applyFont="1" applyBorder="1" applyAlignment="1">
      <alignment vertical="center" wrapText="1"/>
    </xf>
    <xf numFmtId="0" fontId="17" fillId="0" borderId="1" xfId="0" applyFont="1" applyBorder="1" applyAlignment="1">
      <alignment vertical="center" wrapText="1"/>
    </xf>
    <xf numFmtId="0" fontId="0" fillId="0" borderId="1" xfId="0" applyBorder="1" applyAlignment="1">
      <alignment vertical="center"/>
    </xf>
    <xf numFmtId="0" fontId="15" fillId="6" borderId="0" xfId="0" applyFont="1" applyFill="1" applyAlignment="1">
      <alignment horizontal="center" vertical="top"/>
    </xf>
    <xf numFmtId="49" fontId="17" fillId="4" borderId="1" xfId="0" applyNumberFormat="1" applyFont="1" applyFill="1" applyBorder="1"/>
    <xf numFmtId="49" fontId="17" fillId="4" borderId="1" xfId="0" applyNumberFormat="1" applyFont="1" applyFill="1" applyBorder="1" applyAlignment="1">
      <alignment horizontal="center"/>
    </xf>
    <xf numFmtId="0" fontId="14" fillId="0" borderId="2" xfId="13" applyFont="1" applyBorder="1" applyAlignment="1">
      <alignment vertical="center"/>
    </xf>
    <xf numFmtId="49" fontId="17" fillId="6" borderId="5" xfId="0" applyNumberFormat="1" applyFont="1" applyFill="1" applyBorder="1" applyAlignment="1">
      <alignment wrapText="1"/>
    </xf>
    <xf numFmtId="49" fontId="15" fillId="0" borderId="1" xfId="0" applyNumberFormat="1" applyFont="1" applyBorder="1" applyAlignment="1">
      <alignment wrapText="1"/>
    </xf>
    <xf numFmtId="49" fontId="19" fillId="0" borderId="1" xfId="0" applyNumberFormat="1" applyFont="1" applyBorder="1"/>
    <xf numFmtId="0" fontId="17" fillId="0" borderId="1" xfId="0" applyFont="1" applyBorder="1" applyAlignment="1">
      <alignment horizontal="center" wrapText="1"/>
    </xf>
    <xf numFmtId="49" fontId="17" fillId="0" borderId="1" xfId="0" applyNumberFormat="1" applyFont="1" applyBorder="1" applyAlignment="1">
      <alignment wrapText="1"/>
    </xf>
    <xf numFmtId="0" fontId="17" fillId="0" borderId="1" xfId="0" applyFont="1" applyBorder="1" applyAlignment="1">
      <alignment horizontal="justify" wrapText="1"/>
    </xf>
    <xf numFmtId="0" fontId="15" fillId="7" borderId="1" xfId="0" applyFont="1" applyFill="1" applyBorder="1" applyAlignment="1">
      <alignment horizontal="left" vertical="center"/>
    </xf>
    <xf numFmtId="49" fontId="17" fillId="0" borderId="1" xfId="0" applyNumberFormat="1" applyFont="1" applyBorder="1"/>
    <xf numFmtId="0" fontId="17" fillId="0" borderId="1" xfId="0" applyFont="1" applyBorder="1" applyAlignment="1">
      <alignment horizontal="justify" vertical="top" wrapText="1"/>
    </xf>
    <xf numFmtId="0" fontId="17" fillId="0" borderId="1" xfId="0" applyFont="1" applyBorder="1" applyAlignment="1">
      <alignment horizontal="center" vertical="top" wrapText="1"/>
    </xf>
    <xf numFmtId="49" fontId="17" fillId="0" borderId="1" xfId="0" applyNumberFormat="1" applyFont="1" applyBorder="1" applyAlignment="1">
      <alignment vertical="top" wrapText="1"/>
    </xf>
    <xf numFmtId="0" fontId="17" fillId="6" borderId="1" xfId="0" applyFont="1" applyFill="1" applyBorder="1" applyAlignment="1">
      <alignment wrapText="1"/>
    </xf>
    <xf numFmtId="0" fontId="17" fillId="6" borderId="1" xfId="0" applyFont="1" applyFill="1" applyBorder="1" applyAlignment="1">
      <alignment horizontal="justify" wrapText="1"/>
    </xf>
    <xf numFmtId="0" fontId="17" fillId="6" borderId="1" xfId="0" applyFont="1" applyFill="1" applyBorder="1" applyAlignment="1">
      <alignment horizontal="center" wrapText="1"/>
    </xf>
    <xf numFmtId="49" fontId="17" fillId="6" borderId="1" xfId="0" applyNumberFormat="1" applyFont="1" applyFill="1" applyBorder="1"/>
    <xf numFmtId="0" fontId="17" fillId="6" borderId="1" xfId="0" applyFont="1" applyFill="1" applyBorder="1" applyAlignment="1">
      <alignment horizontal="center" vertical="top" wrapText="1"/>
    </xf>
    <xf numFmtId="49" fontId="18" fillId="0" borderId="1" xfId="0" applyNumberFormat="1" applyFont="1" applyBorder="1"/>
    <xf numFmtId="0" fontId="17" fillId="3" borderId="1" xfId="0" applyFont="1" applyFill="1" applyBorder="1" applyAlignment="1">
      <alignment vertical="center"/>
    </xf>
    <xf numFmtId="49" fontId="17" fillId="0" borderId="1" xfId="0" applyNumberFormat="1" applyFont="1" applyBorder="1" applyAlignment="1">
      <alignment horizontal="center"/>
    </xf>
    <xf numFmtId="0" fontId="29" fillId="0" borderId="0" xfId="0" applyFont="1" applyAlignment="1">
      <alignment vertical="center"/>
    </xf>
    <xf numFmtId="49" fontId="17" fillId="6" borderId="1" xfId="0" applyNumberFormat="1" applyFont="1" applyFill="1" applyBorder="1" applyAlignment="1">
      <alignment wrapText="1"/>
    </xf>
    <xf numFmtId="0" fontId="30" fillId="0" borderId="1" xfId="0" applyFont="1" applyBorder="1" applyAlignment="1">
      <alignment horizontal="justify" vertical="center" wrapText="1"/>
    </xf>
    <xf numFmtId="0" fontId="30" fillId="0" borderId="1" xfId="0" applyFont="1" applyBorder="1" applyAlignment="1">
      <alignment horizontal="center" vertical="center" wrapText="1"/>
    </xf>
    <xf numFmtId="49" fontId="30" fillId="0" borderId="1" xfId="0" applyNumberFormat="1" applyFont="1" applyBorder="1" applyAlignment="1">
      <alignment vertical="center"/>
    </xf>
    <xf numFmtId="49" fontId="31" fillId="0" borderId="1" xfId="0" applyNumberFormat="1" applyFont="1" applyBorder="1" applyAlignment="1">
      <alignment vertical="center"/>
    </xf>
    <xf numFmtId="49" fontId="17" fillId="0" borderId="1" xfId="0" applyNumberFormat="1" applyFont="1" applyBorder="1" applyAlignment="1">
      <alignment horizontal="left" vertical="center" wrapText="1"/>
    </xf>
    <xf numFmtId="49" fontId="30" fillId="0" borderId="1" xfId="0" applyNumberFormat="1" applyFont="1" applyBorder="1" applyAlignment="1">
      <alignment vertical="center" wrapText="1"/>
    </xf>
    <xf numFmtId="0" fontId="30" fillId="6" borderId="1" xfId="0" applyFont="1" applyFill="1" applyBorder="1" applyAlignment="1">
      <alignment horizontal="justify" vertical="center" wrapText="1"/>
    </xf>
    <xf numFmtId="0" fontId="30" fillId="6" borderId="1" xfId="0" applyFont="1" applyFill="1" applyBorder="1" applyAlignment="1">
      <alignment horizontal="center" vertical="center" wrapText="1"/>
    </xf>
    <xf numFmtId="49" fontId="30" fillId="6" borderId="1" xfId="0" applyNumberFormat="1" applyFont="1" applyFill="1" applyBorder="1" applyAlignment="1">
      <alignment vertical="center" wrapText="1"/>
    </xf>
    <xf numFmtId="49" fontId="30" fillId="6" borderId="1" xfId="0" applyNumberFormat="1" applyFont="1" applyFill="1" applyBorder="1" applyAlignment="1">
      <alignment vertical="center"/>
    </xf>
    <xf numFmtId="0" fontId="30" fillId="6" borderId="1" xfId="0" applyFont="1" applyFill="1" applyBorder="1" applyAlignment="1">
      <alignment vertical="center"/>
    </xf>
    <xf numFmtId="49" fontId="17" fillId="0" borderId="5" xfId="0" applyNumberFormat="1" applyFont="1" applyBorder="1" applyAlignment="1">
      <alignment wrapText="1"/>
    </xf>
    <xf numFmtId="0" fontId="30" fillId="0" borderId="1" xfId="0" applyFont="1" applyBorder="1" applyAlignment="1">
      <alignment vertical="center" wrapText="1"/>
    </xf>
    <xf numFmtId="0" fontId="32" fillId="6" borderId="0" xfId="13" applyFont="1" applyFill="1" applyAlignment="1">
      <alignment vertical="center"/>
    </xf>
    <xf numFmtId="0" fontId="32" fillId="0" borderId="3" xfId="13" applyFont="1" applyBorder="1" applyAlignment="1">
      <alignment horizontal="center" vertical="center"/>
    </xf>
    <xf numFmtId="0" fontId="30" fillId="6" borderId="0" xfId="13" applyFont="1" applyFill="1" applyAlignment="1">
      <alignment vertical="center"/>
    </xf>
    <xf numFmtId="0" fontId="20" fillId="0" borderId="0" xfId="13" applyFont="1" applyAlignment="1">
      <alignment vertical="center"/>
    </xf>
    <xf numFmtId="0" fontId="20" fillId="0" borderId="3" xfId="13" applyFont="1" applyBorder="1" applyAlignment="1">
      <alignment horizontal="center" vertical="center"/>
    </xf>
    <xf numFmtId="0" fontId="17" fillId="0" borderId="0" xfId="13" applyFont="1" applyAlignment="1">
      <alignment vertical="center"/>
    </xf>
    <xf numFmtId="0" fontId="20" fillId="0" borderId="2" xfId="13" applyFont="1" applyBorder="1" applyAlignment="1">
      <alignment vertical="center"/>
    </xf>
    <xf numFmtId="0" fontId="20" fillId="6" borderId="0" xfId="13" applyFont="1" applyFill="1" applyAlignment="1">
      <alignment vertical="center"/>
    </xf>
    <xf numFmtId="0" fontId="17" fillId="6" borderId="0" xfId="13" applyFont="1" applyFill="1" applyAlignment="1">
      <alignment vertical="center"/>
    </xf>
    <xf numFmtId="0" fontId="17" fillId="6" borderId="1" xfId="0" applyFont="1" applyFill="1" applyBorder="1" applyAlignment="1">
      <alignment vertical="center" wrapText="1"/>
    </xf>
    <xf numFmtId="0" fontId="33" fillId="0" borderId="1" xfId="0" applyFont="1" applyBorder="1" applyAlignment="1">
      <alignment vertical="center"/>
    </xf>
    <xf numFmtId="0" fontId="17" fillId="6" borderId="1" xfId="0" applyFont="1" applyFill="1" applyBorder="1" applyAlignment="1">
      <alignment vertical="center"/>
    </xf>
    <xf numFmtId="0" fontId="17" fillId="0" borderId="0" xfId="0" applyFont="1" applyAlignment="1">
      <alignment vertical="center" wrapText="1"/>
    </xf>
    <xf numFmtId="0" fontId="32" fillId="0" borderId="0" xfId="13" applyFont="1" applyAlignment="1">
      <alignment vertical="center"/>
    </xf>
    <xf numFmtId="0" fontId="32" fillId="0" borderId="1" xfId="13" applyFont="1" applyBorder="1" applyAlignment="1">
      <alignment horizontal="center" vertical="center"/>
    </xf>
    <xf numFmtId="0" fontId="30" fillId="0" borderId="1" xfId="0" applyFont="1" applyBorder="1" applyAlignment="1">
      <alignment horizontal="justify" wrapText="1"/>
    </xf>
    <xf numFmtId="0" fontId="30" fillId="0" borderId="1" xfId="0" applyFont="1" applyBorder="1" applyAlignment="1">
      <alignment horizontal="center" wrapText="1"/>
    </xf>
    <xf numFmtId="49" fontId="30" fillId="0" borderId="1" xfId="0" applyNumberFormat="1" applyFont="1" applyBorder="1"/>
    <xf numFmtId="0" fontId="30" fillId="0" borderId="0" xfId="13" applyFont="1" applyAlignment="1">
      <alignment vertical="center"/>
    </xf>
    <xf numFmtId="0" fontId="32" fillId="0" borderId="2" xfId="13" applyFont="1" applyBorder="1" applyAlignment="1">
      <alignment vertical="center"/>
    </xf>
    <xf numFmtId="0" fontId="32" fillId="6" borderId="2" xfId="13" applyFont="1" applyFill="1" applyBorder="1" applyAlignment="1">
      <alignment vertical="center"/>
    </xf>
    <xf numFmtId="0" fontId="30" fillId="6" borderId="1" xfId="0" applyFont="1" applyFill="1" applyBorder="1" applyAlignment="1">
      <alignment horizontal="justify" wrapText="1"/>
    </xf>
    <xf numFmtId="0" fontId="30" fillId="6" borderId="1" xfId="0" applyFont="1" applyFill="1" applyBorder="1" applyAlignment="1">
      <alignment horizontal="center" wrapText="1"/>
    </xf>
    <xf numFmtId="49" fontId="30" fillId="6" borderId="1" xfId="0" applyNumberFormat="1" applyFont="1" applyFill="1" applyBorder="1"/>
    <xf numFmtId="49" fontId="17" fillId="0" borderId="0" xfId="0" applyNumberFormat="1" applyFont="1" applyAlignment="1">
      <alignment vertical="center"/>
    </xf>
    <xf numFmtId="0" fontId="15" fillId="6" borderId="0" xfId="0" applyFont="1" applyFill="1" applyAlignment="1">
      <alignment vertical="top"/>
    </xf>
    <xf numFmtId="49" fontId="17" fillId="6" borderId="1" xfId="0" applyNumberFormat="1" applyFont="1" applyFill="1" applyBorder="1" applyAlignment="1">
      <alignment vertical="top" wrapText="1"/>
    </xf>
    <xf numFmtId="0" fontId="17" fillId="6" borderId="1" xfId="0" applyFont="1" applyFill="1" applyBorder="1" applyAlignment="1">
      <alignment horizontal="justify" vertical="top" wrapText="1"/>
    </xf>
    <xf numFmtId="49" fontId="17" fillId="6" borderId="5" xfId="0" applyNumberFormat="1" applyFont="1" applyFill="1" applyBorder="1" applyAlignment="1">
      <alignment vertical="center" wrapText="1"/>
    </xf>
    <xf numFmtId="0" fontId="17" fillId="0" borderId="6" xfId="0" applyFont="1" applyBorder="1" applyAlignment="1">
      <alignment horizontal="justify" vertical="center" wrapText="1"/>
    </xf>
    <xf numFmtId="0" fontId="17" fillId="0" borderId="6" xfId="0" applyFont="1" applyBorder="1" applyAlignment="1">
      <alignment horizontal="center" vertical="center" wrapText="1"/>
    </xf>
    <xf numFmtId="0" fontId="17" fillId="0" borderId="5" xfId="0" applyFont="1" applyBorder="1" applyAlignment="1">
      <alignment horizontal="center" vertical="center" wrapText="1"/>
    </xf>
    <xf numFmtId="49" fontId="17" fillId="0" borderId="5" xfId="0" applyNumberFormat="1" applyFont="1" applyBorder="1" applyAlignment="1">
      <alignment vertical="center" wrapText="1"/>
    </xf>
    <xf numFmtId="0" fontId="17" fillId="0" borderId="3" xfId="0" applyFont="1" applyBorder="1" applyAlignment="1">
      <alignment horizontal="center" vertical="center" wrapText="1"/>
    </xf>
    <xf numFmtId="49" fontId="17" fillId="0" borderId="6" xfId="0" applyNumberFormat="1" applyFont="1" applyBorder="1" applyAlignment="1">
      <alignment horizontal="center" vertical="center"/>
    </xf>
    <xf numFmtId="49" fontId="17" fillId="0" borderId="5" xfId="0" applyNumberFormat="1" applyFont="1" applyBorder="1" applyAlignment="1">
      <alignment vertical="center"/>
    </xf>
    <xf numFmtId="0" fontId="30" fillId="6" borderId="1" xfId="0" applyFont="1" applyFill="1" applyBorder="1" applyAlignment="1">
      <alignment vertical="center" wrapText="1"/>
    </xf>
    <xf numFmtId="0" fontId="15" fillId="6" borderId="1" xfId="13" applyFont="1" applyFill="1" applyBorder="1" applyAlignment="1">
      <alignment vertical="center"/>
    </xf>
    <xf numFmtId="0" fontId="32" fillId="6" borderId="3" xfId="13" applyFont="1" applyFill="1" applyBorder="1" applyAlignment="1">
      <alignment horizontal="center" vertical="center"/>
    </xf>
    <xf numFmtId="0" fontId="30" fillId="3" borderId="1" xfId="0" applyFont="1" applyFill="1" applyBorder="1" applyAlignment="1">
      <alignment vertical="center"/>
    </xf>
    <xf numFmtId="49" fontId="21" fillId="0" borderId="1" xfId="0" applyNumberFormat="1" applyFont="1" applyBorder="1" applyAlignment="1">
      <alignment vertical="center" wrapText="1"/>
    </xf>
    <xf numFmtId="49" fontId="17" fillId="6" borderId="1" xfId="0" quotePrefix="1" applyNumberFormat="1" applyFont="1" applyFill="1" applyBorder="1" applyAlignment="1">
      <alignment vertical="center" wrapText="1"/>
    </xf>
    <xf numFmtId="49" fontId="17" fillId="6" borderId="0" xfId="0" applyNumberFormat="1" applyFont="1" applyFill="1"/>
    <xf numFmtId="0" fontId="15" fillId="7" borderId="1" xfId="17" applyFont="1" applyFill="1" applyBorder="1" applyAlignment="1" applyProtection="1">
      <alignment horizontal="left" vertical="top"/>
    </xf>
    <xf numFmtId="49" fontId="31" fillId="0" borderId="1" xfId="0" applyNumberFormat="1" applyFont="1" applyBorder="1"/>
    <xf numFmtId="0" fontId="0" fillId="0" borderId="1" xfId="0" applyBorder="1" applyAlignment="1">
      <alignment vertical="center" wrapText="1"/>
    </xf>
    <xf numFmtId="0" fontId="34" fillId="7" borderId="0" xfId="0" applyFont="1" applyFill="1" applyAlignment="1">
      <alignment vertical="center"/>
    </xf>
    <xf numFmtId="0" fontId="22" fillId="0" borderId="0" xfId="13" applyFont="1" applyAlignment="1">
      <alignment vertical="center"/>
    </xf>
    <xf numFmtId="49" fontId="17" fillId="4" borderId="3" xfId="0" applyNumberFormat="1" applyFont="1" applyFill="1" applyBorder="1"/>
    <xf numFmtId="49" fontId="17" fillId="0" borderId="3" xfId="0" applyNumberFormat="1" applyFont="1" applyBorder="1"/>
    <xf numFmtId="49" fontId="17" fillId="0" borderId="4" xfId="0" applyNumberFormat="1" applyFont="1" applyBorder="1"/>
    <xf numFmtId="0" fontId="17" fillId="0" borderId="0" xfId="0" applyFont="1" applyAlignment="1">
      <alignment horizontal="justify" vertical="center" wrapText="1"/>
    </xf>
    <xf numFmtId="0" fontId="17" fillId="0" borderId="0" xfId="0" applyFont="1" applyAlignment="1">
      <alignment horizontal="center" vertical="center" wrapText="1"/>
    </xf>
    <xf numFmtId="49" fontId="0" fillId="6" borderId="1" xfId="0" applyNumberFormat="1" applyFill="1" applyBorder="1" applyAlignment="1">
      <alignment vertical="center" wrapText="1"/>
    </xf>
    <xf numFmtId="49" fontId="17" fillId="0" borderId="1" xfId="0" quotePrefix="1" applyNumberFormat="1" applyFont="1" applyBorder="1" applyAlignment="1">
      <alignment vertical="center"/>
    </xf>
    <xf numFmtId="0" fontId="30" fillId="6" borderId="1" xfId="0" applyFont="1" applyFill="1" applyBorder="1" applyAlignment="1">
      <alignment horizontal="left" vertical="center" wrapText="1"/>
    </xf>
    <xf numFmtId="0" fontId="4" fillId="0" borderId="0" xfId="16" applyAlignment="1" applyProtection="1">
      <alignment vertical="center"/>
    </xf>
    <xf numFmtId="49" fontId="17" fillId="0" borderId="4" xfId="0" applyNumberFormat="1" applyFont="1" applyBorder="1" applyAlignment="1">
      <alignment vertical="center"/>
    </xf>
    <xf numFmtId="49" fontId="17" fillId="0" borderId="7" xfId="0" applyNumberFormat="1" applyFont="1" applyBorder="1"/>
    <xf numFmtId="0" fontId="14" fillId="0" borderId="8" xfId="13" applyFont="1" applyBorder="1" applyAlignment="1">
      <alignment horizontal="center" vertical="center"/>
    </xf>
    <xf numFmtId="0" fontId="17" fillId="0" borderId="7" xfId="0" applyFont="1" applyBorder="1" applyAlignment="1">
      <alignment horizontal="justify" vertical="center" wrapText="1"/>
    </xf>
    <xf numFmtId="0" fontId="17" fillId="3" borderId="7" xfId="0" applyFont="1" applyFill="1" applyBorder="1" applyAlignment="1">
      <alignment vertical="center"/>
    </xf>
    <xf numFmtId="0" fontId="17" fillId="0" borderId="9" xfId="0" applyFont="1" applyBorder="1" applyAlignment="1">
      <alignment horizontal="center" vertical="center" wrapText="1"/>
    </xf>
    <xf numFmtId="0" fontId="17" fillId="0" borderId="8" xfId="0" applyFont="1" applyBorder="1" applyAlignment="1">
      <alignment horizontal="center" vertical="center" wrapText="1"/>
    </xf>
    <xf numFmtId="49" fontId="17" fillId="0" borderId="9" xfId="0" applyNumberFormat="1" applyFont="1" applyBorder="1" applyAlignment="1">
      <alignment vertical="center"/>
    </xf>
    <xf numFmtId="49" fontId="17" fillId="0" borderId="9" xfId="0" applyNumberFormat="1" applyFont="1" applyBorder="1"/>
    <xf numFmtId="49" fontId="17" fillId="0" borderId="3" xfId="0" applyNumberFormat="1" applyFont="1" applyBorder="1" applyAlignment="1">
      <alignment vertical="center"/>
    </xf>
    <xf numFmtId="49" fontId="30" fillId="0" borderId="1" xfId="0" applyNumberFormat="1" applyFont="1" applyBorder="1" applyAlignment="1">
      <alignment wrapText="1"/>
    </xf>
    <xf numFmtId="49" fontId="30" fillId="6" borderId="1" xfId="0" quotePrefix="1" applyNumberFormat="1" applyFont="1" applyFill="1" applyBorder="1" applyAlignment="1">
      <alignment wrapText="1"/>
    </xf>
    <xf numFmtId="0" fontId="17" fillId="0" borderId="1" xfId="0" applyFont="1" applyBorder="1" applyAlignment="1">
      <alignment horizontal="left" wrapText="1"/>
    </xf>
    <xf numFmtId="0" fontId="17" fillId="6" borderId="1" xfId="0" applyFont="1" applyFill="1" applyBorder="1" applyAlignment="1">
      <alignment horizontal="left" wrapText="1"/>
    </xf>
    <xf numFmtId="0" fontId="35" fillId="9" borderId="0" xfId="13" applyFont="1" applyFill="1" applyAlignment="1">
      <alignment vertical="center"/>
    </xf>
    <xf numFmtId="0" fontId="15" fillId="9" borderId="0" xfId="13" applyFont="1" applyFill="1" applyAlignment="1">
      <alignment vertical="center"/>
    </xf>
    <xf numFmtId="0" fontId="15" fillId="0" borderId="1" xfId="0" applyFont="1" applyBorder="1" applyAlignment="1">
      <alignment horizontal="center" wrapText="1"/>
    </xf>
    <xf numFmtId="0" fontId="15" fillId="6" borderId="1" xfId="0" applyFont="1" applyFill="1" applyBorder="1" applyAlignment="1">
      <alignment horizontal="center" wrapText="1"/>
    </xf>
    <xf numFmtId="0" fontId="17" fillId="0" borderId="1" xfId="0" applyFont="1" applyBorder="1" applyAlignment="1">
      <alignment wrapText="1"/>
    </xf>
    <xf numFmtId="0" fontId="0" fillId="0" borderId="1" xfId="0" applyBorder="1" applyAlignment="1">
      <alignment horizontal="left"/>
    </xf>
    <xf numFmtId="0" fontId="14" fillId="0" borderId="1" xfId="13" applyFont="1" applyBorder="1" applyAlignment="1">
      <alignment horizontal="center" vertical="center"/>
    </xf>
    <xf numFmtId="0" fontId="17" fillId="6" borderId="1" xfId="0" applyFont="1" applyFill="1" applyBorder="1" applyAlignment="1">
      <alignment horizontal="left" vertical="center" wrapText="1"/>
    </xf>
    <xf numFmtId="0" fontId="15" fillId="7" borderId="4" xfId="16" applyFont="1" applyFill="1" applyBorder="1" applyAlignment="1" applyProtection="1">
      <alignment vertical="top"/>
    </xf>
    <xf numFmtId="49" fontId="17" fillId="0" borderId="3" xfId="0" applyNumberFormat="1" applyFont="1" applyBorder="1" applyAlignment="1">
      <alignment wrapText="1"/>
    </xf>
    <xf numFmtId="49" fontId="17" fillId="0" borderId="0" xfId="0" applyNumberFormat="1" applyFont="1" applyAlignment="1">
      <alignment wrapText="1"/>
    </xf>
    <xf numFmtId="49" fontId="17" fillId="0" borderId="3" xfId="0" applyNumberFormat="1" applyFont="1" applyBorder="1" applyAlignment="1">
      <alignment vertical="center" wrapText="1"/>
    </xf>
    <xf numFmtId="0" fontId="30" fillId="0" borderId="1" xfId="0" quotePrefix="1" applyFont="1" applyBorder="1" applyAlignment="1">
      <alignment horizontal="left" vertical="center" wrapText="1"/>
    </xf>
    <xf numFmtId="49" fontId="17" fillId="0" borderId="1" xfId="0" quotePrefix="1" applyNumberFormat="1" applyFont="1" applyBorder="1" applyAlignment="1">
      <alignment vertical="center" wrapText="1"/>
    </xf>
    <xf numFmtId="0" fontId="15" fillId="5" borderId="0" xfId="0" applyFont="1" applyFill="1" applyAlignment="1">
      <alignment vertical="top"/>
    </xf>
    <xf numFmtId="0" fontId="15" fillId="5" borderId="0" xfId="0" applyFont="1" applyFill="1" applyAlignment="1">
      <alignment horizontal="center" vertical="top"/>
    </xf>
    <xf numFmtId="0" fontId="15" fillId="7" borderId="10" xfId="17" applyFont="1" applyFill="1" applyBorder="1" applyAlignment="1" applyProtection="1">
      <alignment horizontal="left" vertical="top"/>
    </xf>
    <xf numFmtId="0" fontId="20" fillId="6" borderId="3" xfId="13" applyFont="1" applyFill="1" applyBorder="1" applyAlignment="1">
      <alignment horizontal="center" vertical="center"/>
    </xf>
    <xf numFmtId="49" fontId="17" fillId="6" borderId="1" xfId="0" applyNumberFormat="1" applyFont="1" applyFill="1" applyBorder="1" applyAlignment="1">
      <alignment horizontal="center"/>
    </xf>
    <xf numFmtId="49" fontId="31" fillId="6" borderId="1" xfId="0" applyNumberFormat="1" applyFont="1" applyFill="1" applyBorder="1"/>
    <xf numFmtId="49" fontId="17" fillId="6" borderId="0" xfId="0" applyNumberFormat="1" applyFont="1" applyFill="1" applyAlignment="1">
      <alignment wrapText="1"/>
    </xf>
    <xf numFmtId="49" fontId="17" fillId="6" borderId="3" xfId="0" applyNumberFormat="1" applyFont="1" applyFill="1" applyBorder="1" applyAlignment="1">
      <alignment wrapText="1"/>
    </xf>
    <xf numFmtId="0" fontId="0" fillId="0" borderId="4" xfId="0" applyBorder="1" applyAlignment="1">
      <alignment horizontal="justify" vertical="center" wrapText="1"/>
    </xf>
    <xf numFmtId="0" fontId="0" fillId="10" borderId="4" xfId="0" applyFill="1" applyBorder="1" applyAlignment="1">
      <alignment horizontal="center" vertical="center" wrapText="1"/>
    </xf>
    <xf numFmtId="0" fontId="0" fillId="0" borderId="9" xfId="0" applyBorder="1" applyAlignment="1">
      <alignment horizontal="justify" vertical="center" wrapText="1"/>
    </xf>
    <xf numFmtId="0" fontId="0" fillId="10" borderId="9" xfId="0" applyFill="1" applyBorder="1" applyAlignment="1">
      <alignment horizontal="center" vertical="center" wrapText="1"/>
    </xf>
    <xf numFmtId="49" fontId="17" fillId="0" borderId="1" xfId="0" applyNumberFormat="1" applyFont="1" applyBorder="1" applyAlignment="1">
      <alignment horizontal="left" vertical="center"/>
    </xf>
    <xf numFmtId="0" fontId="14" fillId="0" borderId="12" xfId="13" applyFont="1" applyBorder="1" applyAlignment="1">
      <alignment horizontal="center" vertical="center"/>
    </xf>
    <xf numFmtId="0" fontId="30" fillId="0" borderId="13" xfId="0" applyFont="1" applyBorder="1" applyAlignment="1">
      <alignment horizontal="justify" vertical="center" wrapText="1"/>
    </xf>
    <xf numFmtId="0" fontId="30" fillId="0" borderId="13" xfId="0" applyFont="1" applyBorder="1" applyAlignment="1">
      <alignment horizontal="center" vertical="center" wrapText="1"/>
    </xf>
    <xf numFmtId="49" fontId="17" fillId="0" borderId="12" xfId="0" applyNumberFormat="1" applyFont="1" applyBorder="1"/>
    <xf numFmtId="49" fontId="17" fillId="0" borderId="13" xfId="0" applyNumberFormat="1" applyFont="1" applyBorder="1"/>
    <xf numFmtId="49" fontId="17" fillId="0" borderId="14" xfId="0" applyNumberFormat="1" applyFont="1" applyBorder="1" applyAlignment="1">
      <alignment wrapText="1"/>
    </xf>
    <xf numFmtId="0" fontId="25" fillId="0" borderId="1" xfId="0" applyFont="1" applyBorder="1" applyAlignment="1">
      <alignment horizontal="center" vertical="center"/>
    </xf>
    <xf numFmtId="0" fontId="15" fillId="6" borderId="1" xfId="14" applyFont="1" applyFill="1" applyBorder="1" applyAlignment="1">
      <alignment horizontal="center" vertical="top"/>
    </xf>
    <xf numFmtId="0" fontId="15" fillId="6" borderId="1" xfId="14" quotePrefix="1" applyFont="1" applyFill="1" applyBorder="1" applyAlignment="1">
      <alignment horizontal="center" vertical="top"/>
    </xf>
    <xf numFmtId="0" fontId="12" fillId="6" borderId="1" xfId="16" applyFont="1" applyFill="1" applyBorder="1" applyAlignment="1" applyProtection="1">
      <alignment horizontal="center" vertical="top"/>
    </xf>
    <xf numFmtId="0" fontId="15" fillId="6" borderId="1" xfId="0" applyFont="1" applyFill="1" applyBorder="1" applyAlignment="1">
      <alignment horizontal="left" vertical="top"/>
    </xf>
    <xf numFmtId="0" fontId="15" fillId="6" borderId="1" xfId="0" applyFont="1" applyFill="1" applyBorder="1" applyAlignment="1">
      <alignment horizontal="center" vertical="top"/>
    </xf>
    <xf numFmtId="0" fontId="15" fillId="2" borderId="1" xfId="0" applyFont="1" applyFill="1" applyBorder="1" applyAlignment="1">
      <alignment horizontal="center" vertical="center"/>
    </xf>
    <xf numFmtId="0" fontId="23" fillId="9" borderId="15" xfId="13" applyFont="1" applyFill="1" applyBorder="1" applyAlignment="1">
      <alignment horizontal="center" vertical="top"/>
    </xf>
    <xf numFmtId="0" fontId="23" fillId="9" borderId="16" xfId="13" applyFont="1" applyFill="1" applyBorder="1" applyAlignment="1">
      <alignment horizontal="center" vertical="top"/>
    </xf>
    <xf numFmtId="0" fontId="23" fillId="9" borderId="17" xfId="13" applyFont="1" applyFill="1" applyBorder="1" applyAlignment="1">
      <alignment horizontal="center" vertical="top"/>
    </xf>
    <xf numFmtId="0" fontId="36" fillId="11" borderId="15" xfId="13" applyFont="1" applyFill="1" applyBorder="1" applyAlignment="1">
      <alignment horizontal="center" vertical="top"/>
    </xf>
    <xf numFmtId="0" fontId="36" fillId="11" borderId="16" xfId="13" applyFont="1" applyFill="1" applyBorder="1" applyAlignment="1">
      <alignment horizontal="center" vertical="top"/>
    </xf>
    <xf numFmtId="0" fontId="36" fillId="11" borderId="17" xfId="13" applyFont="1" applyFill="1" applyBorder="1" applyAlignment="1">
      <alignment horizontal="center" vertical="top"/>
    </xf>
    <xf numFmtId="0" fontId="23" fillId="12" borderId="15" xfId="13" applyFont="1" applyFill="1" applyBorder="1" applyAlignment="1">
      <alignment horizontal="center" vertical="top"/>
    </xf>
    <xf numFmtId="0" fontId="23" fillId="12" borderId="16" xfId="13" applyFont="1" applyFill="1" applyBorder="1" applyAlignment="1">
      <alignment horizontal="center" vertical="top"/>
    </xf>
    <xf numFmtId="0" fontId="23" fillId="12" borderId="17" xfId="13" applyFont="1" applyFill="1" applyBorder="1" applyAlignment="1">
      <alignment horizontal="center" vertical="top"/>
    </xf>
    <xf numFmtId="0" fontId="36" fillId="11" borderId="8" xfId="13" applyFont="1" applyFill="1" applyBorder="1" applyAlignment="1">
      <alignment horizontal="center" vertical="top"/>
    </xf>
    <xf numFmtId="0" fontId="36" fillId="11" borderId="7" xfId="13" applyFont="1" applyFill="1" applyBorder="1" applyAlignment="1">
      <alignment horizontal="center" vertical="top"/>
    </xf>
    <xf numFmtId="0" fontId="0" fillId="0" borderId="7" xfId="0" applyBorder="1" applyAlignment="1">
      <alignment vertical="center"/>
    </xf>
    <xf numFmtId="0" fontId="36" fillId="11" borderId="15" xfId="13" applyFont="1" applyFill="1" applyBorder="1" applyAlignment="1">
      <alignment horizontal="center" vertical="center"/>
    </xf>
    <xf numFmtId="0" fontId="36" fillId="11" borderId="16" xfId="13" applyFont="1" applyFill="1" applyBorder="1" applyAlignment="1">
      <alignment horizontal="center" vertical="center"/>
    </xf>
    <xf numFmtId="0" fontId="36" fillId="11" borderId="17" xfId="13" applyFont="1" applyFill="1" applyBorder="1" applyAlignment="1">
      <alignment horizontal="center" vertical="center"/>
    </xf>
    <xf numFmtId="0" fontId="23" fillId="12" borderId="8" xfId="13" applyFont="1" applyFill="1" applyBorder="1" applyAlignment="1">
      <alignment horizontal="center" vertical="top"/>
    </xf>
    <xf numFmtId="0" fontId="23" fillId="12" borderId="7" xfId="13" applyFont="1" applyFill="1" applyBorder="1" applyAlignment="1">
      <alignment horizontal="center" vertical="top"/>
    </xf>
    <xf numFmtId="0" fontId="36" fillId="11" borderId="18" xfId="13" applyFont="1" applyFill="1" applyBorder="1" applyAlignment="1">
      <alignment horizontal="center" vertical="top"/>
    </xf>
    <xf numFmtId="0" fontId="36" fillId="11" borderId="0" xfId="13" applyFont="1" applyFill="1" applyAlignment="1">
      <alignment horizontal="center" vertical="top"/>
    </xf>
    <xf numFmtId="0" fontId="0" fillId="0" borderId="0" xfId="0" applyAlignment="1">
      <alignment vertical="center"/>
    </xf>
    <xf numFmtId="0" fontId="23" fillId="9" borderId="8" xfId="13" applyFont="1" applyFill="1" applyBorder="1" applyAlignment="1">
      <alignment horizontal="center" vertical="top"/>
    </xf>
    <xf numFmtId="0" fontId="23" fillId="9" borderId="7" xfId="13" applyFont="1" applyFill="1" applyBorder="1" applyAlignment="1">
      <alignment horizontal="center" vertical="top"/>
    </xf>
    <xf numFmtId="0" fontId="0" fillId="0" borderId="9" xfId="0" applyBorder="1" applyAlignment="1">
      <alignment vertical="center"/>
    </xf>
    <xf numFmtId="0" fontId="23" fillId="9" borderId="3" xfId="13" applyFont="1" applyFill="1" applyBorder="1" applyAlignment="1">
      <alignment horizontal="center" vertical="top"/>
    </xf>
    <xf numFmtId="0" fontId="23" fillId="9" borderId="10" xfId="13" applyFont="1" applyFill="1" applyBorder="1" applyAlignment="1">
      <alignment horizontal="center" vertical="top"/>
    </xf>
    <xf numFmtId="0" fontId="23" fillId="9" borderId="4" xfId="13" applyFont="1" applyFill="1" applyBorder="1" applyAlignment="1">
      <alignment horizontal="center" vertical="top"/>
    </xf>
    <xf numFmtId="0" fontId="15" fillId="6" borderId="4" xfId="17" applyFont="1" applyFill="1" applyBorder="1" applyAlignment="1" applyProtection="1">
      <alignment horizontal="left" vertical="top"/>
    </xf>
    <xf numFmtId="0" fontId="15" fillId="6" borderId="3" xfId="17" applyFont="1" applyFill="1" applyBorder="1" applyAlignment="1" applyProtection="1">
      <alignment horizontal="left" vertical="top"/>
    </xf>
    <xf numFmtId="0" fontId="17" fillId="10" borderId="1" xfId="0" applyFont="1" applyFill="1" applyBorder="1" applyAlignment="1">
      <alignment horizontal="justify" vertical="center" wrapText="1"/>
    </xf>
    <xf numFmtId="0" fontId="17" fillId="10" borderId="4" xfId="0" applyFont="1" applyFill="1" applyBorder="1" applyAlignment="1">
      <alignment horizontal="center" vertical="center" wrapText="1"/>
    </xf>
    <xf numFmtId="0" fontId="17" fillId="10" borderId="11" xfId="0" applyFont="1" applyFill="1" applyBorder="1" applyAlignment="1">
      <alignment horizontal="justify" vertical="center" wrapText="1"/>
    </xf>
    <xf numFmtId="0" fontId="17" fillId="10" borderId="9" xfId="0" applyFont="1" applyFill="1" applyBorder="1" applyAlignment="1">
      <alignment horizontal="center" vertical="center" wrapText="1"/>
    </xf>
    <xf numFmtId="0" fontId="17" fillId="0" borderId="4" xfId="0" applyFont="1" applyBorder="1" applyAlignment="1">
      <alignment horizontal="center" vertical="center" wrapText="1"/>
    </xf>
    <xf numFmtId="49" fontId="17" fillId="0" borderId="19" xfId="0" applyNumberFormat="1" applyFont="1" applyBorder="1" applyAlignment="1">
      <alignment wrapText="1"/>
    </xf>
    <xf numFmtId="49" fontId="17" fillId="0" borderId="1" xfId="0" quotePrefix="1" applyNumberFormat="1" applyFont="1" applyBorder="1" applyAlignment="1">
      <alignment wrapText="1"/>
    </xf>
    <xf numFmtId="49" fontId="17" fillId="0" borderId="12" xfId="0" applyNumberFormat="1" applyFont="1" applyBorder="1" applyAlignment="1">
      <alignment wrapText="1"/>
    </xf>
    <xf numFmtId="0" fontId="17" fillId="0" borderId="1" xfId="0" applyFont="1" applyBorder="1" applyAlignment="1">
      <alignment vertical="center"/>
    </xf>
    <xf numFmtId="0" fontId="22" fillId="0" borderId="1" xfId="0" applyFont="1" applyBorder="1" applyAlignment="1">
      <alignment horizontal="center" vertical="center"/>
    </xf>
  </cellXfs>
  <cellStyles count="20">
    <cellStyle name="_AES2BMS介面一覽_20080831" xfId="1" xr:uid="{23CF5837-4C60-4E75-9D91-69F5F20B2C82}"/>
    <cellStyle name="_RA003_需求明細表_PS_進貨" xfId="2" xr:uid="{E5A97138-C346-48CE-A8A4-CB0DBEC6D498}"/>
    <cellStyle name="_進貨-ammy" xfId="3" xr:uid="{834FAC7A-0C6D-45FF-AE93-BA271B596730}"/>
    <cellStyle name="_製票要件整理彙整_0930秋萍" xfId="4" xr:uid="{D92533CB-1936-4E9E-94A8-7BB5E9BFA438}"/>
    <cellStyle name="_製票要件整理彙整_1225秋萍" xfId="5" xr:uid="{218D1D1C-B9B0-4955-99D8-D861D6E00E67}"/>
    <cellStyle name="_製票要件整理彙整_代售_0304" xfId="6" xr:uid="{BAA26EF0-D686-4D0E-A00F-728A20C5EEA4}"/>
    <cellStyle name="0,0_x000a__x000a_NA_x000a__x000a_" xfId="7" xr:uid="{24C1959D-BD9B-463F-AB93-B9435033C2B2}"/>
    <cellStyle name="0,0_x000d__x000a_NA_x000d__x000a_" xfId="8" xr:uid="{972333B1-6EA9-4F88-9409-944C9E7418D3}"/>
    <cellStyle name="Hyperlink" xfId="16" builtinId="8"/>
    <cellStyle name="Normal" xfId="0" builtinId="0"/>
    <cellStyle name="ハイパーリンク" xfId="9" xr:uid="{8FC74369-AD2E-4AE3-88BA-CC74EC2ED3BA}"/>
    <cellStyle name="一般 2" xfId="10" xr:uid="{9EB5C509-60F2-465A-B386-D5211FC65094}"/>
    <cellStyle name="一般 3" xfId="11" xr:uid="{C1F19197-8E7C-4315-8A90-406445D4D861}"/>
    <cellStyle name="一般 4" xfId="12" xr:uid="{5C9C46F2-99B2-4A59-BF8E-2C05B75F89C0}"/>
    <cellStyle name="一般_AES interface with SC" xfId="13" xr:uid="{4DED078D-CDD0-4F8E-A42C-37703544654E}"/>
    <cellStyle name="一般_RA013_MST_介面一覽表 (2)" xfId="14" xr:uid="{40724B3E-6AB6-4DF0-A055-873F95B0B089}"/>
    <cellStyle name="表示済みのハイパーリンク" xfId="15" xr:uid="{700D6F33-296C-4EF2-97F6-0D3778C621C9}"/>
    <cellStyle name="超連結_RA013_MST_介面一覽表 (2)" xfId="17" xr:uid="{5F5E27D6-F3AA-499F-802E-4035A8412C0F}"/>
    <cellStyle name="標準_障害" xfId="18" xr:uid="{DA8C4C3B-1254-4A55-97C9-DC952248F2C6}"/>
    <cellStyle name="樣式 1" xfId="19" xr:uid="{0911CB92-2C06-4EE4-A013-451703E6E486}"/>
  </cellStyles>
  <dxfs count="2">
    <dxf>
      <font>
        <b/>
        <i val="0"/>
      </font>
      <fill>
        <patternFill>
          <bgColor rgb="FFD7D7D7"/>
        </patternFill>
      </fill>
    </dxf>
    <dxf>
      <font>
        <b val="0"/>
        <i val="0"/>
      </font>
      <fill>
        <patternFill patternType="none">
          <bgColor indexed="65"/>
        </patternFill>
      </fill>
    </dxf>
  </dxfs>
  <tableStyles count="1" defaultTableStyle="TableStyleMedium9" defaultPivotStyle="PivotStyleLight16">
    <tableStyle name="MySqlDefault" pivot="0" table="0" count="2" xr9:uid="{EBF71FCA-70D0-4FD5-9747-95B7C2FF44F3}">
      <tableStyleElement type="wholeTable" dxfId="1"/>
      <tableStyleElement type="headerRow" dxfId="0"/>
    </tableStyle>
  </tableStyles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DD0806"/>
      <rgbColor rgb="001FB714"/>
      <rgbColor rgb="000000D4"/>
      <rgbColor rgb="00FCF305"/>
      <rgbColor rgb="00F20884"/>
      <rgbColor rgb="0000ABEA"/>
      <rgbColor rgb="00900000"/>
      <rgbColor rgb="00006411"/>
      <rgbColor rgb="00000090"/>
      <rgbColor rgb="0090713A"/>
      <rgbColor rgb="004600A5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17" Type="http://schemas.openxmlformats.org/officeDocument/2006/relationships/worksheet" Target="worksheets/sheet117.xml"/><Relationship Id="rId21" Type="http://schemas.openxmlformats.org/officeDocument/2006/relationships/worksheet" Target="worksheets/sheet21.xml"/><Relationship Id="rId42" Type="http://schemas.openxmlformats.org/officeDocument/2006/relationships/worksheet" Target="worksheets/sheet42.xml"/><Relationship Id="rId63" Type="http://schemas.openxmlformats.org/officeDocument/2006/relationships/worksheet" Target="worksheets/sheet63.xml"/><Relationship Id="rId84" Type="http://schemas.openxmlformats.org/officeDocument/2006/relationships/worksheet" Target="worksheets/sheet84.xml"/><Relationship Id="rId16" Type="http://schemas.openxmlformats.org/officeDocument/2006/relationships/worksheet" Target="worksheets/sheet16.xml"/><Relationship Id="rId107" Type="http://schemas.openxmlformats.org/officeDocument/2006/relationships/worksheet" Target="worksheets/sheet107.xml"/><Relationship Id="rId11" Type="http://schemas.openxmlformats.org/officeDocument/2006/relationships/worksheet" Target="worksheets/sheet11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53" Type="http://schemas.openxmlformats.org/officeDocument/2006/relationships/worksheet" Target="worksheets/sheet53.xml"/><Relationship Id="rId58" Type="http://schemas.openxmlformats.org/officeDocument/2006/relationships/worksheet" Target="worksheets/sheet58.xml"/><Relationship Id="rId74" Type="http://schemas.openxmlformats.org/officeDocument/2006/relationships/worksheet" Target="worksheets/sheet74.xml"/><Relationship Id="rId79" Type="http://schemas.openxmlformats.org/officeDocument/2006/relationships/worksheet" Target="worksheets/sheet79.xml"/><Relationship Id="rId102" Type="http://schemas.openxmlformats.org/officeDocument/2006/relationships/worksheet" Target="worksheets/sheet102.xml"/><Relationship Id="rId123" Type="http://schemas.openxmlformats.org/officeDocument/2006/relationships/worksheet" Target="worksheets/sheet123.xml"/><Relationship Id="rId128" Type="http://schemas.openxmlformats.org/officeDocument/2006/relationships/styles" Target="styles.xml"/><Relationship Id="rId5" Type="http://schemas.openxmlformats.org/officeDocument/2006/relationships/worksheet" Target="worksheets/sheet5.xml"/><Relationship Id="rId90" Type="http://schemas.openxmlformats.org/officeDocument/2006/relationships/worksheet" Target="worksheets/sheet90.xml"/><Relationship Id="rId95" Type="http://schemas.openxmlformats.org/officeDocument/2006/relationships/worksheet" Target="worksheets/sheet95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43" Type="http://schemas.openxmlformats.org/officeDocument/2006/relationships/worksheet" Target="worksheets/sheet43.xml"/><Relationship Id="rId48" Type="http://schemas.openxmlformats.org/officeDocument/2006/relationships/worksheet" Target="worksheets/sheet48.xml"/><Relationship Id="rId64" Type="http://schemas.openxmlformats.org/officeDocument/2006/relationships/worksheet" Target="worksheets/sheet64.xml"/><Relationship Id="rId69" Type="http://schemas.openxmlformats.org/officeDocument/2006/relationships/worksheet" Target="worksheets/sheet69.xml"/><Relationship Id="rId113" Type="http://schemas.openxmlformats.org/officeDocument/2006/relationships/worksheet" Target="worksheets/sheet113.xml"/><Relationship Id="rId118" Type="http://schemas.openxmlformats.org/officeDocument/2006/relationships/worksheet" Target="worksheets/sheet118.xml"/><Relationship Id="rId80" Type="http://schemas.openxmlformats.org/officeDocument/2006/relationships/worksheet" Target="worksheets/sheet80.xml"/><Relationship Id="rId85" Type="http://schemas.openxmlformats.org/officeDocument/2006/relationships/worksheet" Target="worksheets/sheet85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59" Type="http://schemas.openxmlformats.org/officeDocument/2006/relationships/worksheet" Target="worksheets/sheet59.xml"/><Relationship Id="rId103" Type="http://schemas.openxmlformats.org/officeDocument/2006/relationships/worksheet" Target="worksheets/sheet103.xml"/><Relationship Id="rId108" Type="http://schemas.openxmlformats.org/officeDocument/2006/relationships/worksheet" Target="worksheets/sheet108.xml"/><Relationship Id="rId124" Type="http://schemas.openxmlformats.org/officeDocument/2006/relationships/worksheet" Target="worksheets/sheet124.xml"/><Relationship Id="rId129" Type="http://schemas.openxmlformats.org/officeDocument/2006/relationships/sharedStrings" Target="sharedStrings.xml"/><Relationship Id="rId54" Type="http://schemas.openxmlformats.org/officeDocument/2006/relationships/worksheet" Target="worksheets/sheet54.xml"/><Relationship Id="rId70" Type="http://schemas.openxmlformats.org/officeDocument/2006/relationships/worksheet" Target="worksheets/sheet70.xml"/><Relationship Id="rId75" Type="http://schemas.openxmlformats.org/officeDocument/2006/relationships/worksheet" Target="worksheets/sheet75.xml"/><Relationship Id="rId91" Type="http://schemas.openxmlformats.org/officeDocument/2006/relationships/worksheet" Target="worksheets/sheet91.xml"/><Relationship Id="rId96" Type="http://schemas.openxmlformats.org/officeDocument/2006/relationships/worksheet" Target="worksheets/sheet96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49" Type="http://schemas.openxmlformats.org/officeDocument/2006/relationships/worksheet" Target="worksheets/sheet49.xml"/><Relationship Id="rId114" Type="http://schemas.openxmlformats.org/officeDocument/2006/relationships/worksheet" Target="worksheets/sheet114.xml"/><Relationship Id="rId119" Type="http://schemas.openxmlformats.org/officeDocument/2006/relationships/worksheet" Target="worksheets/sheet119.xml"/><Relationship Id="rId44" Type="http://schemas.openxmlformats.org/officeDocument/2006/relationships/worksheet" Target="worksheets/sheet44.xml"/><Relationship Id="rId60" Type="http://schemas.openxmlformats.org/officeDocument/2006/relationships/worksheet" Target="worksheets/sheet60.xml"/><Relationship Id="rId65" Type="http://schemas.openxmlformats.org/officeDocument/2006/relationships/worksheet" Target="worksheets/sheet65.xml"/><Relationship Id="rId81" Type="http://schemas.openxmlformats.org/officeDocument/2006/relationships/worksheet" Target="worksheets/sheet81.xml"/><Relationship Id="rId86" Type="http://schemas.openxmlformats.org/officeDocument/2006/relationships/worksheet" Target="worksheets/sheet86.xml"/><Relationship Id="rId130" Type="http://schemas.openxmlformats.org/officeDocument/2006/relationships/calcChain" Target="calcChain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9" Type="http://schemas.openxmlformats.org/officeDocument/2006/relationships/worksheet" Target="worksheets/sheet39.xml"/><Relationship Id="rId109" Type="http://schemas.openxmlformats.org/officeDocument/2006/relationships/worksheet" Target="worksheets/sheet109.xml"/><Relationship Id="rId34" Type="http://schemas.openxmlformats.org/officeDocument/2006/relationships/worksheet" Target="worksheets/sheet34.xml"/><Relationship Id="rId50" Type="http://schemas.openxmlformats.org/officeDocument/2006/relationships/worksheet" Target="worksheets/sheet50.xml"/><Relationship Id="rId55" Type="http://schemas.openxmlformats.org/officeDocument/2006/relationships/worksheet" Target="worksheets/sheet55.xml"/><Relationship Id="rId76" Type="http://schemas.openxmlformats.org/officeDocument/2006/relationships/worksheet" Target="worksheets/sheet76.xml"/><Relationship Id="rId97" Type="http://schemas.openxmlformats.org/officeDocument/2006/relationships/worksheet" Target="worksheets/sheet97.xml"/><Relationship Id="rId104" Type="http://schemas.openxmlformats.org/officeDocument/2006/relationships/worksheet" Target="worksheets/sheet104.xml"/><Relationship Id="rId120" Type="http://schemas.openxmlformats.org/officeDocument/2006/relationships/worksheet" Target="worksheets/sheet120.xml"/><Relationship Id="rId125" Type="http://schemas.openxmlformats.org/officeDocument/2006/relationships/externalLink" Target="externalLinks/externalLink1.xml"/><Relationship Id="rId7" Type="http://schemas.openxmlformats.org/officeDocument/2006/relationships/worksheet" Target="worksheets/sheet7.xml"/><Relationship Id="rId71" Type="http://schemas.openxmlformats.org/officeDocument/2006/relationships/worksheet" Target="worksheets/sheet71.xml"/><Relationship Id="rId92" Type="http://schemas.openxmlformats.org/officeDocument/2006/relationships/worksheet" Target="worksheets/sheet92.xml"/><Relationship Id="rId2" Type="http://schemas.openxmlformats.org/officeDocument/2006/relationships/worksheet" Target="worksheets/sheet2.xml"/><Relationship Id="rId29" Type="http://schemas.openxmlformats.org/officeDocument/2006/relationships/worksheet" Target="worksheets/sheet29.xml"/><Relationship Id="rId24" Type="http://schemas.openxmlformats.org/officeDocument/2006/relationships/worksheet" Target="worksheets/sheet24.xml"/><Relationship Id="rId40" Type="http://schemas.openxmlformats.org/officeDocument/2006/relationships/worksheet" Target="worksheets/sheet40.xml"/><Relationship Id="rId45" Type="http://schemas.openxmlformats.org/officeDocument/2006/relationships/worksheet" Target="worksheets/sheet45.xml"/><Relationship Id="rId66" Type="http://schemas.openxmlformats.org/officeDocument/2006/relationships/worksheet" Target="worksheets/sheet66.xml"/><Relationship Id="rId87" Type="http://schemas.openxmlformats.org/officeDocument/2006/relationships/worksheet" Target="worksheets/sheet87.xml"/><Relationship Id="rId110" Type="http://schemas.openxmlformats.org/officeDocument/2006/relationships/worksheet" Target="worksheets/sheet110.xml"/><Relationship Id="rId115" Type="http://schemas.openxmlformats.org/officeDocument/2006/relationships/worksheet" Target="worksheets/sheet115.xml"/><Relationship Id="rId131" Type="http://schemas.openxmlformats.org/officeDocument/2006/relationships/customXml" Target="../customXml/item1.xml"/><Relationship Id="rId61" Type="http://schemas.openxmlformats.org/officeDocument/2006/relationships/worksheet" Target="worksheets/sheet61.xml"/><Relationship Id="rId82" Type="http://schemas.openxmlformats.org/officeDocument/2006/relationships/worksheet" Target="worksheets/sheet82.xml"/><Relationship Id="rId19" Type="http://schemas.openxmlformats.org/officeDocument/2006/relationships/worksheet" Target="worksheets/sheet19.xml"/><Relationship Id="rId14" Type="http://schemas.openxmlformats.org/officeDocument/2006/relationships/worksheet" Target="worksheets/sheet14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56" Type="http://schemas.openxmlformats.org/officeDocument/2006/relationships/worksheet" Target="worksheets/sheet56.xml"/><Relationship Id="rId77" Type="http://schemas.openxmlformats.org/officeDocument/2006/relationships/worksheet" Target="worksheets/sheet77.xml"/><Relationship Id="rId100" Type="http://schemas.openxmlformats.org/officeDocument/2006/relationships/worksheet" Target="worksheets/sheet100.xml"/><Relationship Id="rId105" Type="http://schemas.openxmlformats.org/officeDocument/2006/relationships/worksheet" Target="worksheets/sheet105.xml"/><Relationship Id="rId126" Type="http://schemas.openxmlformats.org/officeDocument/2006/relationships/externalLink" Target="externalLinks/externalLink2.xml"/><Relationship Id="rId8" Type="http://schemas.openxmlformats.org/officeDocument/2006/relationships/worksheet" Target="worksheets/sheet8.xml"/><Relationship Id="rId51" Type="http://schemas.openxmlformats.org/officeDocument/2006/relationships/worksheet" Target="worksheets/sheet51.xml"/><Relationship Id="rId72" Type="http://schemas.openxmlformats.org/officeDocument/2006/relationships/worksheet" Target="worksheets/sheet72.xml"/><Relationship Id="rId93" Type="http://schemas.openxmlformats.org/officeDocument/2006/relationships/worksheet" Target="worksheets/sheet93.xml"/><Relationship Id="rId98" Type="http://schemas.openxmlformats.org/officeDocument/2006/relationships/worksheet" Target="worksheets/sheet98.xml"/><Relationship Id="rId121" Type="http://schemas.openxmlformats.org/officeDocument/2006/relationships/worksheet" Target="worksheets/sheet121.xml"/><Relationship Id="rId3" Type="http://schemas.openxmlformats.org/officeDocument/2006/relationships/worksheet" Target="worksheets/sheet3.xml"/><Relationship Id="rId25" Type="http://schemas.openxmlformats.org/officeDocument/2006/relationships/worksheet" Target="worksheets/sheet25.xml"/><Relationship Id="rId46" Type="http://schemas.openxmlformats.org/officeDocument/2006/relationships/worksheet" Target="worksheets/sheet46.xml"/><Relationship Id="rId67" Type="http://schemas.openxmlformats.org/officeDocument/2006/relationships/worksheet" Target="worksheets/sheet67.xml"/><Relationship Id="rId116" Type="http://schemas.openxmlformats.org/officeDocument/2006/relationships/worksheet" Target="worksheets/sheet116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62" Type="http://schemas.openxmlformats.org/officeDocument/2006/relationships/worksheet" Target="worksheets/sheet62.xml"/><Relationship Id="rId83" Type="http://schemas.openxmlformats.org/officeDocument/2006/relationships/worksheet" Target="worksheets/sheet83.xml"/><Relationship Id="rId88" Type="http://schemas.openxmlformats.org/officeDocument/2006/relationships/worksheet" Target="worksheets/sheet88.xml"/><Relationship Id="rId111" Type="http://schemas.openxmlformats.org/officeDocument/2006/relationships/worksheet" Target="worksheets/sheet111.xml"/><Relationship Id="rId132" Type="http://schemas.openxmlformats.org/officeDocument/2006/relationships/customXml" Target="../customXml/item2.xml"/><Relationship Id="rId15" Type="http://schemas.openxmlformats.org/officeDocument/2006/relationships/worksheet" Target="worksheets/sheet15.xml"/><Relationship Id="rId36" Type="http://schemas.openxmlformats.org/officeDocument/2006/relationships/worksheet" Target="worksheets/sheet36.xml"/><Relationship Id="rId57" Type="http://schemas.openxmlformats.org/officeDocument/2006/relationships/worksheet" Target="worksheets/sheet57.xml"/><Relationship Id="rId106" Type="http://schemas.openxmlformats.org/officeDocument/2006/relationships/worksheet" Target="worksheets/sheet106.xml"/><Relationship Id="rId127" Type="http://schemas.openxmlformats.org/officeDocument/2006/relationships/theme" Target="theme/theme1.xml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52" Type="http://schemas.openxmlformats.org/officeDocument/2006/relationships/worksheet" Target="worksheets/sheet52.xml"/><Relationship Id="rId73" Type="http://schemas.openxmlformats.org/officeDocument/2006/relationships/worksheet" Target="worksheets/sheet73.xml"/><Relationship Id="rId78" Type="http://schemas.openxmlformats.org/officeDocument/2006/relationships/worksheet" Target="worksheets/sheet78.xml"/><Relationship Id="rId94" Type="http://schemas.openxmlformats.org/officeDocument/2006/relationships/worksheet" Target="worksheets/sheet94.xml"/><Relationship Id="rId99" Type="http://schemas.openxmlformats.org/officeDocument/2006/relationships/worksheet" Target="worksheets/sheet99.xml"/><Relationship Id="rId101" Type="http://schemas.openxmlformats.org/officeDocument/2006/relationships/worksheet" Target="worksheets/sheet101.xml"/><Relationship Id="rId122" Type="http://schemas.openxmlformats.org/officeDocument/2006/relationships/worksheet" Target="worksheets/sheet122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26" Type="http://schemas.openxmlformats.org/officeDocument/2006/relationships/worksheet" Target="worksheets/sheet26.xml"/><Relationship Id="rId47" Type="http://schemas.openxmlformats.org/officeDocument/2006/relationships/worksheet" Target="worksheets/sheet47.xml"/><Relationship Id="rId68" Type="http://schemas.openxmlformats.org/officeDocument/2006/relationships/worksheet" Target="worksheets/sheet68.xml"/><Relationship Id="rId89" Type="http://schemas.openxmlformats.org/officeDocument/2006/relationships/worksheet" Target="worksheets/sheet89.xml"/><Relationship Id="rId112" Type="http://schemas.openxmlformats.org/officeDocument/2006/relationships/worksheet" Target="worksheets/sheet112.xml"/><Relationship Id="rId133" Type="http://schemas.microsoft.com/office/2006/relationships/vbaProject" Target="vbaProject.bin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https://104cloud.sharepoint.com/Documents%20and%20Settings/a8911009/Local%20Settings/Temporary%20Internet%20Files/OLK41B/Work/SET%203G&#32763;&#35695;/3G/Format/&#36914;&#25431;/SET3G_Progress_&#38272;&#24066;_Subsystem_sample_20110726.xls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https://104cloud.sharepoint.com/eHRMS2.0/3.&#22522;&#26412;&#35373;&#35336;/3.4.&#36039;&#26009;&#24235;&#35373;&#35336;/UPCC3G_SD011_OM_&#23458;&#25142;&#21934;&#25818;.xls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Progress"/>
      <sheetName val="List"/>
      <sheetName val="sample_SC"/>
      <sheetName val="記入方法"/>
    </sheetNames>
    <sheetDataSet>
      <sheetData sheetId="0"/>
      <sheetData sheetId="1"/>
      <sheetData sheetId="2"/>
      <sheetData sheetId="3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物流藍圖參考"/>
      <sheetName val="取檔名用"/>
      <sheetName val="異動履歷"/>
      <sheetName val="當日主檔對應表"/>
      <sheetName val="正式TABLE一覽"/>
      <sheetName val="介面"/>
      <sheetName val="1"/>
      <sheetName val="2"/>
      <sheetName val="3"/>
      <sheetName val="4"/>
      <sheetName val="5"/>
      <sheetName val="6"/>
      <sheetName val="7"/>
      <sheetName val="8"/>
      <sheetName val="9"/>
      <sheetName val="10"/>
      <sheetName val="11"/>
      <sheetName val="12"/>
      <sheetName val="13"/>
      <sheetName val="14"/>
      <sheetName val="15"/>
      <sheetName val="16"/>
      <sheetName val="17"/>
      <sheetName val="18"/>
      <sheetName val="19"/>
      <sheetName val="20"/>
      <sheetName val="21"/>
      <sheetName val="22"/>
      <sheetName val="23"/>
      <sheetName val="24"/>
      <sheetName val="25"/>
      <sheetName val="26"/>
      <sheetName val="27"/>
      <sheetName val="28"/>
      <sheetName val="29"/>
      <sheetName val="30"/>
      <sheetName val="31"/>
      <sheetName val="32"/>
      <sheetName val="33"/>
      <sheetName val="34"/>
      <sheetName val="35"/>
      <sheetName val="36"/>
      <sheetName val="37"/>
      <sheetName val="38"/>
      <sheetName val="39"/>
      <sheetName val="41"/>
      <sheetName val="40"/>
      <sheetName val="42"/>
      <sheetName val="43"/>
      <sheetName val="44"/>
      <sheetName val="45"/>
      <sheetName val="46"/>
      <sheetName val="47"/>
      <sheetName val="48"/>
      <sheetName val="49"/>
      <sheetName val="50"/>
      <sheetName val="51"/>
      <sheetName val="52"/>
      <sheetName val="53"/>
      <sheetName val="53 (2)"/>
      <sheetName val="54"/>
      <sheetName val="55"/>
      <sheetName val="56"/>
      <sheetName val="57"/>
      <sheetName val="58"/>
      <sheetName val="59"/>
      <sheetName val="60"/>
      <sheetName val="61"/>
      <sheetName val="62"/>
      <sheetName val="63"/>
      <sheetName val="64"/>
      <sheetName val="65"/>
      <sheetName val="66"/>
      <sheetName val="67"/>
      <sheetName val="68"/>
      <sheetName val="69"/>
      <sheetName val="70"/>
      <sheetName val="71"/>
      <sheetName val="72"/>
      <sheetName val="73"/>
      <sheetName val="74"/>
      <sheetName val="75"/>
      <sheetName val="76"/>
      <sheetName val="78"/>
      <sheetName val="79"/>
      <sheetName val="80"/>
      <sheetName val="81"/>
      <sheetName val="82"/>
      <sheetName val="83"/>
      <sheetName val="84"/>
      <sheetName val="91"/>
      <sheetName val="92"/>
      <sheetName val="93"/>
      <sheetName val="94"/>
      <sheetName val="95"/>
      <sheetName val="96"/>
      <sheetName val="97"/>
      <sheetName val="98"/>
      <sheetName val="99"/>
      <sheetName val="100"/>
      <sheetName val="101"/>
      <sheetName val="102"/>
      <sheetName val="103"/>
      <sheetName val="104"/>
      <sheetName val="105"/>
      <sheetName val="106"/>
      <sheetName val="107"/>
      <sheetName val="108"/>
      <sheetName val="109"/>
      <sheetName val="110"/>
      <sheetName val="111"/>
      <sheetName val="112"/>
      <sheetName val="113"/>
      <sheetName val="114"/>
      <sheetName val="115"/>
      <sheetName val="116"/>
      <sheetName val="117"/>
      <sheetName val="118"/>
      <sheetName val="119"/>
      <sheetName val="120"/>
      <sheetName val="121"/>
      <sheetName val="122"/>
      <sheetName val="123"/>
      <sheetName val="124"/>
      <sheetName val="125"/>
      <sheetName val="126"/>
      <sheetName val="127"/>
      <sheetName val="128"/>
      <sheetName val="129"/>
      <sheetName val="130"/>
      <sheetName val="131"/>
      <sheetName val="132"/>
      <sheetName val="133"/>
      <sheetName val="134"/>
      <sheetName val="135"/>
      <sheetName val="136"/>
      <sheetName val="137"/>
      <sheetName val="138"/>
      <sheetName val="139"/>
      <sheetName val="140"/>
      <sheetName val="141"/>
      <sheetName val="142"/>
      <sheetName val="143"/>
      <sheetName val="144"/>
      <sheetName val="145"/>
      <sheetName val="146"/>
      <sheetName val="147"/>
      <sheetName val="148"/>
      <sheetName val="149"/>
      <sheetName val="152"/>
      <sheetName val="153"/>
      <sheetName val="159"/>
      <sheetName val="160"/>
      <sheetName val="163"/>
      <sheetName val="195"/>
      <sheetName val="196"/>
      <sheetName val="198"/>
      <sheetName val="199"/>
      <sheetName val="200"/>
      <sheetName val="201"/>
      <sheetName val="205"/>
      <sheetName val="207"/>
      <sheetName val="209"/>
      <sheetName val="211"/>
      <sheetName val="212"/>
      <sheetName val="218"/>
      <sheetName val="219"/>
      <sheetName val="220"/>
      <sheetName val="221"/>
      <sheetName val="222"/>
      <sheetName val="229"/>
      <sheetName val="223"/>
      <sheetName val="224"/>
      <sheetName val="225"/>
      <sheetName val="226"/>
      <sheetName val="227"/>
      <sheetName val="TYPE"/>
      <sheetName val="OLD"/>
      <sheetName val="複制範本"/>
      <sheetName val="OM500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  <sheetData sheetId="25"/>
      <sheetData sheetId="26"/>
      <sheetData sheetId="27"/>
      <sheetData sheetId="28"/>
      <sheetData sheetId="29"/>
      <sheetData sheetId="30"/>
      <sheetData sheetId="31"/>
      <sheetData sheetId="32"/>
      <sheetData sheetId="33"/>
      <sheetData sheetId="34"/>
      <sheetData sheetId="35"/>
      <sheetData sheetId="36"/>
      <sheetData sheetId="37"/>
      <sheetData sheetId="38"/>
      <sheetData sheetId="39"/>
      <sheetData sheetId="40"/>
      <sheetData sheetId="41"/>
      <sheetData sheetId="42"/>
      <sheetData sheetId="43"/>
      <sheetData sheetId="44"/>
      <sheetData sheetId="45"/>
      <sheetData sheetId="46"/>
      <sheetData sheetId="47"/>
      <sheetData sheetId="48"/>
      <sheetData sheetId="49"/>
      <sheetData sheetId="50"/>
      <sheetData sheetId="51"/>
      <sheetData sheetId="52"/>
      <sheetData sheetId="53"/>
      <sheetData sheetId="54"/>
      <sheetData sheetId="55"/>
      <sheetData sheetId="56"/>
      <sheetData sheetId="57"/>
      <sheetData sheetId="58"/>
      <sheetData sheetId="59"/>
      <sheetData sheetId="60"/>
      <sheetData sheetId="61"/>
      <sheetData sheetId="62"/>
      <sheetData sheetId="63"/>
      <sheetData sheetId="64"/>
      <sheetData sheetId="65"/>
      <sheetData sheetId="66"/>
      <sheetData sheetId="67"/>
      <sheetData sheetId="68"/>
      <sheetData sheetId="69"/>
      <sheetData sheetId="70"/>
      <sheetData sheetId="71"/>
      <sheetData sheetId="72"/>
      <sheetData sheetId="73"/>
      <sheetData sheetId="74"/>
      <sheetData sheetId="75"/>
      <sheetData sheetId="76"/>
      <sheetData sheetId="77"/>
      <sheetData sheetId="78"/>
      <sheetData sheetId="79"/>
      <sheetData sheetId="80"/>
      <sheetData sheetId="81"/>
      <sheetData sheetId="82"/>
      <sheetData sheetId="83"/>
      <sheetData sheetId="84"/>
      <sheetData sheetId="85"/>
      <sheetData sheetId="86"/>
      <sheetData sheetId="87"/>
      <sheetData sheetId="88"/>
      <sheetData sheetId="89"/>
      <sheetData sheetId="90"/>
      <sheetData sheetId="91"/>
      <sheetData sheetId="92"/>
      <sheetData sheetId="93"/>
      <sheetData sheetId="94"/>
      <sheetData sheetId="95"/>
      <sheetData sheetId="96"/>
      <sheetData sheetId="97"/>
      <sheetData sheetId="98"/>
      <sheetData sheetId="99"/>
      <sheetData sheetId="100"/>
      <sheetData sheetId="101"/>
      <sheetData sheetId="102"/>
      <sheetData sheetId="103"/>
      <sheetData sheetId="104"/>
      <sheetData sheetId="105"/>
      <sheetData sheetId="106"/>
      <sheetData sheetId="107"/>
      <sheetData sheetId="108"/>
      <sheetData sheetId="109"/>
      <sheetData sheetId="110"/>
      <sheetData sheetId="111"/>
      <sheetData sheetId="112"/>
      <sheetData sheetId="113"/>
      <sheetData sheetId="114"/>
      <sheetData sheetId="115"/>
      <sheetData sheetId="116"/>
      <sheetData sheetId="117"/>
      <sheetData sheetId="118"/>
      <sheetData sheetId="119"/>
      <sheetData sheetId="120"/>
      <sheetData sheetId="121"/>
      <sheetData sheetId="122"/>
      <sheetData sheetId="123"/>
      <sheetData sheetId="124"/>
      <sheetData sheetId="125"/>
      <sheetData sheetId="126"/>
      <sheetData sheetId="127"/>
      <sheetData sheetId="128"/>
      <sheetData sheetId="129"/>
      <sheetData sheetId="130"/>
      <sheetData sheetId="131"/>
      <sheetData sheetId="132"/>
      <sheetData sheetId="133"/>
      <sheetData sheetId="134"/>
      <sheetData sheetId="135"/>
      <sheetData sheetId="136"/>
      <sheetData sheetId="137"/>
      <sheetData sheetId="138"/>
      <sheetData sheetId="139"/>
      <sheetData sheetId="140"/>
      <sheetData sheetId="141"/>
      <sheetData sheetId="142"/>
      <sheetData sheetId="143"/>
      <sheetData sheetId="144"/>
      <sheetData sheetId="145"/>
      <sheetData sheetId="146"/>
      <sheetData sheetId="147"/>
      <sheetData sheetId="148"/>
      <sheetData sheetId="149"/>
      <sheetData sheetId="150"/>
      <sheetData sheetId="151"/>
      <sheetData sheetId="152"/>
      <sheetData sheetId="153"/>
      <sheetData sheetId="154"/>
      <sheetData sheetId="155"/>
      <sheetData sheetId="156"/>
      <sheetData sheetId="157"/>
      <sheetData sheetId="158"/>
      <sheetData sheetId="159"/>
      <sheetData sheetId="160"/>
      <sheetData sheetId="161"/>
      <sheetData sheetId="162"/>
      <sheetData sheetId="163"/>
      <sheetData sheetId="164"/>
      <sheetData sheetId="165"/>
      <sheetData sheetId="166"/>
      <sheetData sheetId="167"/>
      <sheetData sheetId="168"/>
      <sheetData sheetId="169"/>
      <sheetData sheetId="170"/>
      <sheetData sheetId="171"/>
      <sheetData sheetId="172"/>
      <sheetData sheetId="173"/>
      <sheetData sheetId="174"/>
      <sheetData sheetId="175"/>
      <sheetData sheetId="176"/>
      <sheetData sheetId="177"/>
      <sheetData sheetId="178"/>
      <sheetData sheetId="179"/>
    </sheetDataSet>
  </externalBook>
</externalLink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tint val="100000"/>
                <a:shade val="100000"/>
                <a:satMod val="130000"/>
              </a:schemeClr>
            </a:gs>
            <a:gs pos="100000">
              <a:schemeClr val="phClr">
                <a:tint val="50000"/>
                <a:shade val="100000"/>
                <a:satMod val="350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/>
      <a:bodyPr/>
      <a:lstStyle/>
      <a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a:style>
    </a:spDef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888EFB7-48F8-4D41-BCDE-F440D8A2A76A}">
  <sheetPr codeName="工作表1"/>
  <dimension ref="A1:AE299"/>
  <sheetViews>
    <sheetView topLeftCell="B1" zoomScale="115" zoomScaleNormal="115" workbookViewId="0">
      <selection activeCell="D4" sqref="D4"/>
    </sheetView>
  </sheetViews>
  <sheetFormatPr defaultColWidth="11" defaultRowHeight="13.5"/>
  <cols>
    <col min="1" max="1" width="6" style="13" customWidth="1"/>
    <col min="2" max="2" width="13" style="13" bestFit="1" customWidth="1"/>
    <col min="3" max="3" width="46.375" style="13" customWidth="1"/>
    <col min="4" max="4" width="8.375" style="13" customWidth="1"/>
    <col min="5" max="6" width="11" style="13" customWidth="1"/>
    <col min="7" max="8" width="11" style="14" customWidth="1"/>
    <col min="9" max="16384" width="11" style="13"/>
  </cols>
  <sheetData>
    <row r="1" spans="1:31">
      <c r="A1" s="203" t="s">
        <v>0</v>
      </c>
      <c r="B1" s="203"/>
      <c r="C1" s="203"/>
      <c r="D1" s="203"/>
      <c r="AE1" s="13" t="str">
        <f t="shared" ref="AE1:AE64" si="0">IF($L1="Y","INSERT INTO `sys_table_relation` (`TABLE_NAME`, `CHILD_TABLE_NAME`, `SQL_QUERY`, `ERROR_DESC` ,`ERROR_DESC_JSON`) VALUES ('" &amp;$J1 &amp; "', '" &amp; $AB1 &amp; "', '" &amp; "select count(*) from "&amp; $AB1 &amp;" where " &amp; IF(COUNTIF(D:D,"IS_DESTROYED"),"IS_DESTROYED=0 and ","") &amp;   $D1 &amp; "={pid}" &amp; "', " &amp; "'【"&amp; $AC1 &amp;"】已使用此筆資料，故不可刪除!!'" &amp; ",'" &amp; SUBSTITUTE("{'zh_TW': '" &amp;  "【"&amp; $AC1 &amp;"】已使用此筆資料，不可刪除!!"  &amp; "' ,'en_US': '" &amp;  "Have used this information, it can not be deleted !!" &amp; "'  ,'zh_CN': '" &amp; "【"&amp; $AC1 &amp;"】已使用此筆資料，不可刪除!!" &amp; "' }", CHAR(39),CHAR(34))   &amp; "');","")</f>
        <v/>
      </c>
    </row>
    <row r="2" spans="1:31">
      <c r="A2" s="9" t="s">
        <v>1</v>
      </c>
      <c r="B2" s="9" t="s">
        <v>2</v>
      </c>
      <c r="C2" s="9" t="s">
        <v>3</v>
      </c>
      <c r="D2" s="9" t="s">
        <v>4</v>
      </c>
      <c r="AE2" s="13" t="str">
        <f t="shared" si="0"/>
        <v/>
      </c>
    </row>
    <row r="3" spans="1:31">
      <c r="A3" s="15" t="s">
        <v>5</v>
      </c>
      <c r="B3" s="16">
        <v>45566</v>
      </c>
      <c r="C3" s="17" t="s">
        <v>6</v>
      </c>
      <c r="D3" s="15" t="s">
        <v>7</v>
      </c>
      <c r="AE3" s="13" t="str">
        <f t="shared" si="0"/>
        <v/>
      </c>
    </row>
    <row r="4" spans="1:31">
      <c r="A4" s="15" t="s">
        <v>8</v>
      </c>
      <c r="B4" s="16">
        <v>45747</v>
      </c>
      <c r="C4" s="15"/>
      <c r="D4" s="15" t="s">
        <v>7</v>
      </c>
      <c r="AE4" s="13" t="str">
        <f t="shared" si="0"/>
        <v/>
      </c>
    </row>
    <row r="5" spans="1:31">
      <c r="A5" s="15"/>
      <c r="B5" s="15"/>
      <c r="C5" s="15"/>
      <c r="D5" s="15"/>
      <c r="AE5" s="13" t="str">
        <f t="shared" si="0"/>
        <v/>
      </c>
    </row>
    <row r="6" spans="1:31">
      <c r="A6" s="15"/>
      <c r="B6" s="15"/>
      <c r="C6" s="15"/>
      <c r="D6" s="15"/>
      <c r="AE6" s="13" t="str">
        <f t="shared" si="0"/>
        <v/>
      </c>
    </row>
    <row r="7" spans="1:31">
      <c r="A7" s="15"/>
      <c r="B7" s="15"/>
      <c r="C7" s="15"/>
      <c r="D7" s="15"/>
      <c r="AE7" s="13" t="str">
        <f t="shared" si="0"/>
        <v/>
      </c>
    </row>
    <row r="8" spans="1:31">
      <c r="A8" s="15"/>
      <c r="B8" s="15"/>
      <c r="C8" s="15"/>
      <c r="D8" s="15"/>
      <c r="AE8" s="13" t="str">
        <f t="shared" si="0"/>
        <v/>
      </c>
    </row>
    <row r="9" spans="1:31">
      <c r="A9" s="15"/>
      <c r="B9" s="15"/>
      <c r="C9" s="15"/>
      <c r="D9" s="15"/>
      <c r="AE9" s="13" t="str">
        <f t="shared" si="0"/>
        <v/>
      </c>
    </row>
    <row r="10" spans="1:31">
      <c r="A10" s="15"/>
      <c r="B10" s="15"/>
      <c r="C10" s="15"/>
      <c r="D10" s="15"/>
      <c r="AE10" s="13" t="str">
        <f t="shared" si="0"/>
        <v/>
      </c>
    </row>
    <row r="11" spans="1:31">
      <c r="A11" s="15"/>
      <c r="B11" s="15"/>
      <c r="C11" s="15"/>
      <c r="D11" s="15"/>
      <c r="AE11" s="13" t="str">
        <f t="shared" si="0"/>
        <v/>
      </c>
    </row>
    <row r="12" spans="1:31">
      <c r="A12" s="15"/>
      <c r="B12" s="15"/>
      <c r="C12" s="15"/>
      <c r="D12" s="15"/>
      <c r="AE12" s="13" t="str">
        <f t="shared" si="0"/>
        <v/>
      </c>
    </row>
    <row r="13" spans="1:31">
      <c r="A13" s="15"/>
      <c r="B13" s="15"/>
      <c r="C13" s="15"/>
      <c r="D13" s="15"/>
      <c r="AE13" s="13" t="str">
        <f t="shared" si="0"/>
        <v/>
      </c>
    </row>
    <row r="14" spans="1:31">
      <c r="A14" s="15"/>
      <c r="B14" s="15"/>
      <c r="C14" s="15"/>
      <c r="D14" s="15"/>
      <c r="AE14" s="13" t="str">
        <f t="shared" si="0"/>
        <v/>
      </c>
    </row>
    <row r="15" spans="1:31">
      <c r="A15" s="15"/>
      <c r="B15" s="15"/>
      <c r="C15" s="15"/>
      <c r="D15" s="15"/>
      <c r="AE15" s="13" t="str">
        <f t="shared" si="0"/>
        <v/>
      </c>
    </row>
    <row r="16" spans="1:31">
      <c r="A16" s="15"/>
      <c r="B16" s="15"/>
      <c r="C16" s="15"/>
      <c r="D16" s="15"/>
      <c r="AE16" s="13" t="str">
        <f t="shared" si="0"/>
        <v/>
      </c>
    </row>
    <row r="17" spans="1:31">
      <c r="A17" s="15"/>
      <c r="B17" s="15"/>
      <c r="C17" s="15"/>
      <c r="D17" s="15"/>
      <c r="AE17" s="13" t="str">
        <f t="shared" si="0"/>
        <v/>
      </c>
    </row>
    <row r="18" spans="1:31">
      <c r="A18" s="15"/>
      <c r="B18" s="15"/>
      <c r="C18" s="15"/>
      <c r="D18" s="15"/>
      <c r="AE18" s="13" t="str">
        <f t="shared" si="0"/>
        <v/>
      </c>
    </row>
    <row r="19" spans="1:31">
      <c r="A19" s="15"/>
      <c r="B19" s="15"/>
      <c r="C19" s="15"/>
      <c r="D19" s="15"/>
      <c r="AE19" s="13" t="str">
        <f t="shared" si="0"/>
        <v/>
      </c>
    </row>
    <row r="20" spans="1:31">
      <c r="A20" s="15"/>
      <c r="B20" s="15"/>
      <c r="C20" s="15"/>
      <c r="D20" s="15"/>
      <c r="AE20" s="13" t="str">
        <f t="shared" si="0"/>
        <v/>
      </c>
    </row>
    <row r="21" spans="1:31">
      <c r="A21" s="15"/>
      <c r="B21" s="15"/>
      <c r="C21" s="15"/>
      <c r="D21" s="15"/>
      <c r="AE21" s="13" t="str">
        <f t="shared" si="0"/>
        <v/>
      </c>
    </row>
    <row r="22" spans="1:31">
      <c r="AE22" s="13" t="str">
        <f t="shared" si="0"/>
        <v/>
      </c>
    </row>
    <row r="23" spans="1:31">
      <c r="AE23" s="13" t="str">
        <f t="shared" si="0"/>
        <v/>
      </c>
    </row>
    <row r="24" spans="1:31">
      <c r="AE24" s="13" t="str">
        <f t="shared" si="0"/>
        <v/>
      </c>
    </row>
    <row r="25" spans="1:31">
      <c r="AE25" s="13" t="str">
        <f t="shared" si="0"/>
        <v/>
      </c>
    </row>
    <row r="26" spans="1:31">
      <c r="AE26" s="13" t="str">
        <f t="shared" si="0"/>
        <v/>
      </c>
    </row>
    <row r="27" spans="1:31">
      <c r="AE27" s="13" t="str">
        <f t="shared" si="0"/>
        <v/>
      </c>
    </row>
    <row r="28" spans="1:31">
      <c r="AE28" s="13" t="str">
        <f t="shared" si="0"/>
        <v/>
      </c>
    </row>
    <row r="29" spans="1:31">
      <c r="AE29" s="13" t="str">
        <f t="shared" si="0"/>
        <v/>
      </c>
    </row>
    <row r="30" spans="1:31">
      <c r="AE30" s="13" t="str">
        <f t="shared" si="0"/>
        <v/>
      </c>
    </row>
    <row r="31" spans="1:31">
      <c r="AE31" s="13" t="str">
        <f t="shared" si="0"/>
        <v/>
      </c>
    </row>
    <row r="32" spans="1:31">
      <c r="AE32" s="13" t="str">
        <f t="shared" si="0"/>
        <v/>
      </c>
    </row>
    <row r="33" spans="31:31">
      <c r="AE33" s="13" t="str">
        <f t="shared" si="0"/>
        <v/>
      </c>
    </row>
    <row r="34" spans="31:31">
      <c r="AE34" s="13" t="str">
        <f t="shared" si="0"/>
        <v/>
      </c>
    </row>
    <row r="35" spans="31:31">
      <c r="AE35" s="13" t="str">
        <f t="shared" si="0"/>
        <v/>
      </c>
    </row>
    <row r="36" spans="31:31">
      <c r="AE36" s="13" t="str">
        <f t="shared" si="0"/>
        <v/>
      </c>
    </row>
    <row r="37" spans="31:31">
      <c r="AE37" s="13" t="str">
        <f t="shared" si="0"/>
        <v/>
      </c>
    </row>
    <row r="38" spans="31:31">
      <c r="AE38" s="13" t="str">
        <f t="shared" si="0"/>
        <v/>
      </c>
    </row>
    <row r="39" spans="31:31">
      <c r="AE39" s="13" t="str">
        <f t="shared" si="0"/>
        <v/>
      </c>
    </row>
    <row r="40" spans="31:31">
      <c r="AE40" s="13" t="str">
        <f t="shared" si="0"/>
        <v/>
      </c>
    </row>
    <row r="41" spans="31:31">
      <c r="AE41" s="13" t="str">
        <f t="shared" si="0"/>
        <v/>
      </c>
    </row>
    <row r="42" spans="31:31">
      <c r="AE42" s="13" t="str">
        <f t="shared" si="0"/>
        <v/>
      </c>
    </row>
    <row r="43" spans="31:31">
      <c r="AE43" s="13" t="str">
        <f t="shared" si="0"/>
        <v/>
      </c>
    </row>
    <row r="44" spans="31:31">
      <c r="AE44" s="13" t="str">
        <f t="shared" si="0"/>
        <v/>
      </c>
    </row>
    <row r="45" spans="31:31">
      <c r="AE45" s="13" t="str">
        <f t="shared" si="0"/>
        <v/>
      </c>
    </row>
    <row r="46" spans="31:31">
      <c r="AE46" s="13" t="str">
        <f t="shared" si="0"/>
        <v/>
      </c>
    </row>
    <row r="47" spans="31:31">
      <c r="AE47" s="13" t="str">
        <f t="shared" si="0"/>
        <v/>
      </c>
    </row>
    <row r="48" spans="31:31">
      <c r="AE48" s="13" t="str">
        <f t="shared" si="0"/>
        <v/>
      </c>
    </row>
    <row r="49" spans="31:31">
      <c r="AE49" s="13" t="str">
        <f t="shared" si="0"/>
        <v/>
      </c>
    </row>
    <row r="50" spans="31:31">
      <c r="AE50" s="13" t="str">
        <f t="shared" si="0"/>
        <v/>
      </c>
    </row>
    <row r="51" spans="31:31">
      <c r="AE51" s="13" t="str">
        <f t="shared" si="0"/>
        <v/>
      </c>
    </row>
    <row r="52" spans="31:31">
      <c r="AE52" s="13" t="str">
        <f t="shared" si="0"/>
        <v/>
      </c>
    </row>
    <row r="53" spans="31:31">
      <c r="AE53" s="13" t="str">
        <f t="shared" si="0"/>
        <v/>
      </c>
    </row>
    <row r="54" spans="31:31">
      <c r="AE54" s="13" t="str">
        <f t="shared" si="0"/>
        <v/>
      </c>
    </row>
    <row r="55" spans="31:31">
      <c r="AE55" s="13" t="str">
        <f t="shared" si="0"/>
        <v/>
      </c>
    </row>
    <row r="56" spans="31:31">
      <c r="AE56" s="13" t="str">
        <f t="shared" si="0"/>
        <v/>
      </c>
    </row>
    <row r="57" spans="31:31">
      <c r="AE57" s="13" t="str">
        <f t="shared" si="0"/>
        <v/>
      </c>
    </row>
    <row r="58" spans="31:31">
      <c r="AE58" s="13" t="str">
        <f t="shared" si="0"/>
        <v/>
      </c>
    </row>
    <row r="59" spans="31:31">
      <c r="AE59" s="13" t="str">
        <f t="shared" si="0"/>
        <v/>
      </c>
    </row>
    <row r="60" spans="31:31">
      <c r="AE60" s="13" t="str">
        <f t="shared" si="0"/>
        <v/>
      </c>
    </row>
    <row r="61" spans="31:31">
      <c r="AE61" s="13" t="str">
        <f t="shared" si="0"/>
        <v/>
      </c>
    </row>
    <row r="62" spans="31:31">
      <c r="AE62" s="13" t="str">
        <f t="shared" si="0"/>
        <v/>
      </c>
    </row>
    <row r="63" spans="31:31">
      <c r="AE63" s="13" t="str">
        <f t="shared" si="0"/>
        <v/>
      </c>
    </row>
    <row r="64" spans="31:31">
      <c r="AE64" s="13" t="str">
        <f t="shared" si="0"/>
        <v/>
      </c>
    </row>
    <row r="65" spans="31:31">
      <c r="AE65" s="13" t="str">
        <f t="shared" ref="AE65:AE128" si="1">IF($L65="Y","INSERT INTO `sys_table_relation` (`TABLE_NAME`, `CHILD_TABLE_NAME`, `SQL_QUERY`, `ERROR_DESC` ,`ERROR_DESC_JSON`) VALUES ('" &amp;$J65 &amp; "', '" &amp; $AB65 &amp; "', '" &amp; "select count(*) from "&amp; $AB65 &amp;" where " &amp; IF(COUNTIF(D:D,"IS_DESTROYED"),"IS_DESTROYED=0 and ","") &amp;   $D65 &amp; "={pid}" &amp; "', " &amp; "'【"&amp; $AC65 &amp;"】已使用此筆資料，故不可刪除!!'" &amp; ",'" &amp; SUBSTITUTE("{'zh_TW': '" &amp;  "【"&amp; $AC65 &amp;"】已使用此筆資料，不可刪除!!"  &amp; "' ,'en_US': '" &amp;  "Have used this information, it can not be deleted !!" &amp; "'  ,'zh_CN': '" &amp; "【"&amp; $AC65 &amp;"】已使用此筆資料，不可刪除!!" &amp; "' }", CHAR(39),CHAR(34))   &amp; "');","")</f>
        <v/>
      </c>
    </row>
    <row r="66" spans="31:31">
      <c r="AE66" s="13" t="str">
        <f t="shared" si="1"/>
        <v/>
      </c>
    </row>
    <row r="67" spans="31:31">
      <c r="AE67" s="13" t="str">
        <f t="shared" si="1"/>
        <v/>
      </c>
    </row>
    <row r="68" spans="31:31">
      <c r="AE68" s="13" t="str">
        <f t="shared" si="1"/>
        <v/>
      </c>
    </row>
    <row r="69" spans="31:31">
      <c r="AE69" s="13" t="str">
        <f t="shared" si="1"/>
        <v/>
      </c>
    </row>
    <row r="70" spans="31:31">
      <c r="AE70" s="13" t="str">
        <f t="shared" si="1"/>
        <v/>
      </c>
    </row>
    <row r="71" spans="31:31">
      <c r="AE71" s="13" t="str">
        <f t="shared" si="1"/>
        <v/>
      </c>
    </row>
    <row r="72" spans="31:31">
      <c r="AE72" s="13" t="str">
        <f t="shared" si="1"/>
        <v/>
      </c>
    </row>
    <row r="73" spans="31:31">
      <c r="AE73" s="13" t="str">
        <f t="shared" si="1"/>
        <v/>
      </c>
    </row>
    <row r="74" spans="31:31">
      <c r="AE74" s="13" t="str">
        <f t="shared" si="1"/>
        <v/>
      </c>
    </row>
    <row r="75" spans="31:31">
      <c r="AE75" s="13" t="str">
        <f t="shared" si="1"/>
        <v/>
      </c>
    </row>
    <row r="76" spans="31:31">
      <c r="AE76" s="13" t="str">
        <f t="shared" si="1"/>
        <v/>
      </c>
    </row>
    <row r="77" spans="31:31">
      <c r="AE77" s="13" t="str">
        <f t="shared" si="1"/>
        <v/>
      </c>
    </row>
    <row r="78" spans="31:31">
      <c r="AE78" s="13" t="str">
        <f t="shared" si="1"/>
        <v/>
      </c>
    </row>
    <row r="79" spans="31:31">
      <c r="AE79" s="13" t="str">
        <f t="shared" si="1"/>
        <v/>
      </c>
    </row>
    <row r="80" spans="31:31">
      <c r="AE80" s="13" t="str">
        <f t="shared" si="1"/>
        <v/>
      </c>
    </row>
    <row r="81" spans="31:31">
      <c r="AE81" s="13" t="str">
        <f t="shared" si="1"/>
        <v/>
      </c>
    </row>
    <row r="82" spans="31:31">
      <c r="AE82" s="13" t="str">
        <f t="shared" si="1"/>
        <v/>
      </c>
    </row>
    <row r="83" spans="31:31">
      <c r="AE83" s="13" t="str">
        <f t="shared" si="1"/>
        <v/>
      </c>
    </row>
    <row r="84" spans="31:31">
      <c r="AE84" s="13" t="str">
        <f t="shared" si="1"/>
        <v/>
      </c>
    </row>
    <row r="85" spans="31:31">
      <c r="AE85" s="13" t="str">
        <f t="shared" si="1"/>
        <v/>
      </c>
    </row>
    <row r="86" spans="31:31">
      <c r="AE86" s="13" t="str">
        <f t="shared" si="1"/>
        <v/>
      </c>
    </row>
    <row r="87" spans="31:31">
      <c r="AE87" s="13" t="str">
        <f t="shared" si="1"/>
        <v/>
      </c>
    </row>
    <row r="88" spans="31:31">
      <c r="AE88" s="13" t="str">
        <f t="shared" si="1"/>
        <v/>
      </c>
    </row>
    <row r="89" spans="31:31">
      <c r="AE89" s="13" t="str">
        <f t="shared" si="1"/>
        <v/>
      </c>
    </row>
    <row r="90" spans="31:31">
      <c r="AE90" s="13" t="str">
        <f t="shared" si="1"/>
        <v/>
      </c>
    </row>
    <row r="91" spans="31:31">
      <c r="AE91" s="13" t="str">
        <f t="shared" si="1"/>
        <v/>
      </c>
    </row>
    <row r="92" spans="31:31">
      <c r="AE92" s="13" t="str">
        <f t="shared" si="1"/>
        <v/>
      </c>
    </row>
    <row r="93" spans="31:31">
      <c r="AE93" s="13" t="str">
        <f t="shared" si="1"/>
        <v/>
      </c>
    </row>
    <row r="94" spans="31:31">
      <c r="AE94" s="13" t="str">
        <f t="shared" si="1"/>
        <v/>
      </c>
    </row>
    <row r="95" spans="31:31">
      <c r="AE95" s="13" t="str">
        <f t="shared" si="1"/>
        <v/>
      </c>
    </row>
    <row r="96" spans="31:31">
      <c r="AE96" s="13" t="str">
        <f t="shared" si="1"/>
        <v/>
      </c>
    </row>
    <row r="97" spans="31:31">
      <c r="AE97" s="13" t="str">
        <f t="shared" si="1"/>
        <v/>
      </c>
    </row>
    <row r="98" spans="31:31">
      <c r="AE98" s="13" t="str">
        <f t="shared" si="1"/>
        <v/>
      </c>
    </row>
    <row r="99" spans="31:31">
      <c r="AE99" s="13" t="str">
        <f t="shared" si="1"/>
        <v/>
      </c>
    </row>
    <row r="100" spans="31:31">
      <c r="AE100" s="13" t="str">
        <f t="shared" si="1"/>
        <v/>
      </c>
    </row>
    <row r="101" spans="31:31">
      <c r="AE101" s="13" t="str">
        <f t="shared" si="1"/>
        <v/>
      </c>
    </row>
    <row r="102" spans="31:31">
      <c r="AE102" s="13" t="str">
        <f t="shared" si="1"/>
        <v/>
      </c>
    </row>
    <row r="103" spans="31:31">
      <c r="AE103" s="13" t="str">
        <f t="shared" si="1"/>
        <v/>
      </c>
    </row>
    <row r="104" spans="31:31">
      <c r="AE104" s="13" t="str">
        <f t="shared" si="1"/>
        <v/>
      </c>
    </row>
    <row r="105" spans="31:31">
      <c r="AE105" s="13" t="str">
        <f t="shared" si="1"/>
        <v/>
      </c>
    </row>
    <row r="106" spans="31:31">
      <c r="AE106" s="13" t="str">
        <f t="shared" si="1"/>
        <v/>
      </c>
    </row>
    <row r="107" spans="31:31">
      <c r="AE107" s="13" t="str">
        <f t="shared" si="1"/>
        <v/>
      </c>
    </row>
    <row r="108" spans="31:31">
      <c r="AE108" s="13" t="str">
        <f t="shared" si="1"/>
        <v/>
      </c>
    </row>
    <row r="109" spans="31:31">
      <c r="AE109" s="13" t="str">
        <f t="shared" si="1"/>
        <v/>
      </c>
    </row>
    <row r="110" spans="31:31">
      <c r="AE110" s="13" t="str">
        <f t="shared" si="1"/>
        <v/>
      </c>
    </row>
    <row r="111" spans="31:31">
      <c r="AE111" s="13" t="str">
        <f t="shared" si="1"/>
        <v/>
      </c>
    </row>
    <row r="112" spans="31:31">
      <c r="AE112" s="13" t="str">
        <f t="shared" si="1"/>
        <v/>
      </c>
    </row>
    <row r="113" spans="31:31">
      <c r="AE113" s="13" t="str">
        <f t="shared" si="1"/>
        <v/>
      </c>
    </row>
    <row r="114" spans="31:31">
      <c r="AE114" s="13" t="str">
        <f t="shared" si="1"/>
        <v/>
      </c>
    </row>
    <row r="115" spans="31:31">
      <c r="AE115" s="13" t="str">
        <f t="shared" si="1"/>
        <v/>
      </c>
    </row>
    <row r="116" spans="31:31">
      <c r="AE116" s="13" t="str">
        <f t="shared" si="1"/>
        <v/>
      </c>
    </row>
    <row r="117" spans="31:31">
      <c r="AE117" s="13" t="str">
        <f t="shared" si="1"/>
        <v/>
      </c>
    </row>
    <row r="118" spans="31:31">
      <c r="AE118" s="13" t="str">
        <f t="shared" si="1"/>
        <v/>
      </c>
    </row>
    <row r="119" spans="31:31">
      <c r="AE119" s="13" t="str">
        <f t="shared" si="1"/>
        <v/>
      </c>
    </row>
    <row r="120" spans="31:31">
      <c r="AE120" s="13" t="str">
        <f t="shared" si="1"/>
        <v/>
      </c>
    </row>
    <row r="121" spans="31:31">
      <c r="AE121" s="13" t="str">
        <f t="shared" si="1"/>
        <v/>
      </c>
    </row>
    <row r="122" spans="31:31">
      <c r="AE122" s="13" t="str">
        <f t="shared" si="1"/>
        <v/>
      </c>
    </row>
    <row r="123" spans="31:31">
      <c r="AE123" s="13" t="str">
        <f t="shared" si="1"/>
        <v/>
      </c>
    </row>
    <row r="124" spans="31:31">
      <c r="AE124" s="13" t="str">
        <f t="shared" si="1"/>
        <v/>
      </c>
    </row>
    <row r="125" spans="31:31">
      <c r="AE125" s="13" t="str">
        <f t="shared" si="1"/>
        <v/>
      </c>
    </row>
    <row r="126" spans="31:31">
      <c r="AE126" s="13" t="str">
        <f t="shared" si="1"/>
        <v/>
      </c>
    </row>
    <row r="127" spans="31:31">
      <c r="AE127" s="13" t="str">
        <f t="shared" si="1"/>
        <v/>
      </c>
    </row>
    <row r="128" spans="31:31">
      <c r="AE128" s="13" t="str">
        <f t="shared" si="1"/>
        <v/>
      </c>
    </row>
    <row r="129" spans="31:31">
      <c r="AE129" s="13" t="str">
        <f t="shared" ref="AE129:AE192" si="2">IF($L129="Y","INSERT INTO `sys_table_relation` (`TABLE_NAME`, `CHILD_TABLE_NAME`, `SQL_QUERY`, `ERROR_DESC` ,`ERROR_DESC_JSON`) VALUES ('" &amp;$J129 &amp; "', '" &amp; $AB129 &amp; "', '" &amp; "select count(*) from "&amp; $AB129 &amp;" where " &amp; IF(COUNTIF(D:D,"IS_DESTROYED"),"IS_DESTROYED=0 and ","") &amp;   $D129 &amp; "={pid}" &amp; "', " &amp; "'【"&amp; $AC129 &amp;"】已使用此筆資料，故不可刪除!!'" &amp; ",'" &amp; SUBSTITUTE("{'zh_TW': '" &amp;  "【"&amp; $AC129 &amp;"】已使用此筆資料，不可刪除!!"  &amp; "' ,'en_US': '" &amp;  "Have used this information, it can not be deleted !!" &amp; "'  ,'zh_CN': '" &amp; "【"&amp; $AC129 &amp;"】已使用此筆資料，不可刪除!!" &amp; "' }", CHAR(39),CHAR(34))   &amp; "');","")</f>
        <v/>
      </c>
    </row>
    <row r="130" spans="31:31">
      <c r="AE130" s="13" t="str">
        <f t="shared" si="2"/>
        <v/>
      </c>
    </row>
    <row r="131" spans="31:31">
      <c r="AE131" s="13" t="str">
        <f t="shared" si="2"/>
        <v/>
      </c>
    </row>
    <row r="132" spans="31:31">
      <c r="AE132" s="13" t="str">
        <f t="shared" si="2"/>
        <v/>
      </c>
    </row>
    <row r="133" spans="31:31">
      <c r="AE133" s="13" t="str">
        <f t="shared" si="2"/>
        <v/>
      </c>
    </row>
    <row r="134" spans="31:31">
      <c r="AE134" s="13" t="str">
        <f t="shared" si="2"/>
        <v/>
      </c>
    </row>
    <row r="135" spans="31:31">
      <c r="AE135" s="13" t="str">
        <f t="shared" si="2"/>
        <v/>
      </c>
    </row>
    <row r="136" spans="31:31">
      <c r="AE136" s="13" t="str">
        <f t="shared" si="2"/>
        <v/>
      </c>
    </row>
    <row r="137" spans="31:31">
      <c r="AE137" s="13" t="str">
        <f t="shared" si="2"/>
        <v/>
      </c>
    </row>
    <row r="138" spans="31:31">
      <c r="AE138" s="13" t="str">
        <f t="shared" si="2"/>
        <v/>
      </c>
    </row>
    <row r="139" spans="31:31">
      <c r="AE139" s="13" t="str">
        <f t="shared" si="2"/>
        <v/>
      </c>
    </row>
    <row r="140" spans="31:31">
      <c r="AE140" s="13" t="str">
        <f t="shared" si="2"/>
        <v/>
      </c>
    </row>
    <row r="141" spans="31:31">
      <c r="AE141" s="13" t="str">
        <f t="shared" si="2"/>
        <v/>
      </c>
    </row>
    <row r="142" spans="31:31">
      <c r="AE142" s="13" t="str">
        <f t="shared" si="2"/>
        <v/>
      </c>
    </row>
    <row r="143" spans="31:31">
      <c r="AE143" s="13" t="str">
        <f t="shared" si="2"/>
        <v/>
      </c>
    </row>
    <row r="144" spans="31:31">
      <c r="AE144" s="13" t="str">
        <f t="shared" si="2"/>
        <v/>
      </c>
    </row>
    <row r="145" spans="31:31">
      <c r="AE145" s="13" t="str">
        <f t="shared" si="2"/>
        <v/>
      </c>
    </row>
    <row r="146" spans="31:31">
      <c r="AE146" s="13" t="str">
        <f t="shared" si="2"/>
        <v/>
      </c>
    </row>
    <row r="147" spans="31:31">
      <c r="AE147" s="13" t="str">
        <f t="shared" si="2"/>
        <v/>
      </c>
    </row>
    <row r="148" spans="31:31">
      <c r="AE148" s="13" t="str">
        <f t="shared" si="2"/>
        <v/>
      </c>
    </row>
    <row r="149" spans="31:31">
      <c r="AE149" s="13" t="str">
        <f t="shared" si="2"/>
        <v/>
      </c>
    </row>
    <row r="150" spans="31:31">
      <c r="AE150" s="13" t="str">
        <f t="shared" si="2"/>
        <v/>
      </c>
    </row>
    <row r="151" spans="31:31">
      <c r="AE151" s="13" t="str">
        <f t="shared" si="2"/>
        <v/>
      </c>
    </row>
    <row r="152" spans="31:31">
      <c r="AE152" s="13" t="str">
        <f t="shared" si="2"/>
        <v/>
      </c>
    </row>
    <row r="153" spans="31:31">
      <c r="AE153" s="13" t="str">
        <f t="shared" si="2"/>
        <v/>
      </c>
    </row>
    <row r="154" spans="31:31">
      <c r="AE154" s="13" t="str">
        <f t="shared" si="2"/>
        <v/>
      </c>
    </row>
    <row r="155" spans="31:31">
      <c r="AE155" s="13" t="str">
        <f t="shared" si="2"/>
        <v/>
      </c>
    </row>
    <row r="156" spans="31:31">
      <c r="AE156" s="13" t="str">
        <f t="shared" si="2"/>
        <v/>
      </c>
    </row>
    <row r="157" spans="31:31">
      <c r="AE157" s="13" t="str">
        <f t="shared" si="2"/>
        <v/>
      </c>
    </row>
    <row r="158" spans="31:31">
      <c r="AE158" s="13" t="str">
        <f t="shared" si="2"/>
        <v/>
      </c>
    </row>
    <row r="159" spans="31:31">
      <c r="AE159" s="13" t="str">
        <f t="shared" si="2"/>
        <v/>
      </c>
    </row>
    <row r="160" spans="31:31">
      <c r="AE160" s="13" t="str">
        <f t="shared" si="2"/>
        <v/>
      </c>
    </row>
    <row r="161" spans="31:31">
      <c r="AE161" s="13" t="str">
        <f t="shared" si="2"/>
        <v/>
      </c>
    </row>
    <row r="162" spans="31:31">
      <c r="AE162" s="13" t="str">
        <f t="shared" si="2"/>
        <v/>
      </c>
    </row>
    <row r="163" spans="31:31">
      <c r="AE163" s="13" t="str">
        <f t="shared" si="2"/>
        <v/>
      </c>
    </row>
    <row r="164" spans="31:31">
      <c r="AE164" s="13" t="str">
        <f t="shared" si="2"/>
        <v/>
      </c>
    </row>
    <row r="165" spans="31:31">
      <c r="AE165" s="13" t="str">
        <f t="shared" si="2"/>
        <v/>
      </c>
    </row>
    <row r="166" spans="31:31">
      <c r="AE166" s="13" t="str">
        <f t="shared" si="2"/>
        <v/>
      </c>
    </row>
    <row r="167" spans="31:31">
      <c r="AE167" s="13" t="str">
        <f t="shared" si="2"/>
        <v/>
      </c>
    </row>
    <row r="168" spans="31:31">
      <c r="AE168" s="13" t="str">
        <f t="shared" si="2"/>
        <v/>
      </c>
    </row>
    <row r="169" spans="31:31">
      <c r="AE169" s="13" t="str">
        <f t="shared" si="2"/>
        <v/>
      </c>
    </row>
    <row r="170" spans="31:31">
      <c r="AE170" s="13" t="str">
        <f t="shared" si="2"/>
        <v/>
      </c>
    </row>
    <row r="171" spans="31:31">
      <c r="AE171" s="13" t="str">
        <f t="shared" si="2"/>
        <v/>
      </c>
    </row>
    <row r="172" spans="31:31">
      <c r="AE172" s="13" t="str">
        <f t="shared" si="2"/>
        <v/>
      </c>
    </row>
    <row r="173" spans="31:31">
      <c r="AE173" s="13" t="str">
        <f t="shared" si="2"/>
        <v/>
      </c>
    </row>
    <row r="174" spans="31:31">
      <c r="AE174" s="13" t="str">
        <f t="shared" si="2"/>
        <v/>
      </c>
    </row>
    <row r="175" spans="31:31">
      <c r="AE175" s="13" t="str">
        <f t="shared" si="2"/>
        <v/>
      </c>
    </row>
    <row r="176" spans="31:31">
      <c r="AE176" s="13" t="str">
        <f t="shared" si="2"/>
        <v/>
      </c>
    </row>
    <row r="177" spans="31:31">
      <c r="AE177" s="13" t="str">
        <f t="shared" si="2"/>
        <v/>
      </c>
    </row>
    <row r="178" spans="31:31">
      <c r="AE178" s="13" t="str">
        <f t="shared" si="2"/>
        <v/>
      </c>
    </row>
    <row r="179" spans="31:31">
      <c r="AE179" s="13" t="str">
        <f t="shared" si="2"/>
        <v/>
      </c>
    </row>
    <row r="180" spans="31:31">
      <c r="AE180" s="13" t="str">
        <f t="shared" si="2"/>
        <v/>
      </c>
    </row>
    <row r="181" spans="31:31">
      <c r="AE181" s="13" t="str">
        <f t="shared" si="2"/>
        <v/>
      </c>
    </row>
    <row r="182" spans="31:31">
      <c r="AE182" s="13" t="str">
        <f t="shared" si="2"/>
        <v/>
      </c>
    </row>
    <row r="183" spans="31:31">
      <c r="AE183" s="13" t="str">
        <f t="shared" si="2"/>
        <v/>
      </c>
    </row>
    <row r="184" spans="31:31">
      <c r="AE184" s="13" t="str">
        <f t="shared" si="2"/>
        <v/>
      </c>
    </row>
    <row r="185" spans="31:31">
      <c r="AE185" s="13" t="str">
        <f t="shared" si="2"/>
        <v/>
      </c>
    </row>
    <row r="186" spans="31:31">
      <c r="AE186" s="13" t="str">
        <f t="shared" si="2"/>
        <v/>
      </c>
    </row>
    <row r="187" spans="31:31">
      <c r="AE187" s="13" t="str">
        <f t="shared" si="2"/>
        <v/>
      </c>
    </row>
    <row r="188" spans="31:31">
      <c r="AE188" s="13" t="str">
        <f t="shared" si="2"/>
        <v/>
      </c>
    </row>
    <row r="189" spans="31:31">
      <c r="AE189" s="13" t="str">
        <f t="shared" si="2"/>
        <v/>
      </c>
    </row>
    <row r="190" spans="31:31">
      <c r="AE190" s="13" t="str">
        <f t="shared" si="2"/>
        <v/>
      </c>
    </row>
    <row r="191" spans="31:31">
      <c r="AE191" s="13" t="str">
        <f t="shared" si="2"/>
        <v/>
      </c>
    </row>
    <row r="192" spans="31:31">
      <c r="AE192" s="13" t="str">
        <f t="shared" si="2"/>
        <v/>
      </c>
    </row>
    <row r="193" spans="31:31">
      <c r="AE193" s="13" t="str">
        <f t="shared" ref="AE193:AE256" si="3">IF($L193="Y","INSERT INTO `sys_table_relation` (`TABLE_NAME`, `CHILD_TABLE_NAME`, `SQL_QUERY`, `ERROR_DESC` ,`ERROR_DESC_JSON`) VALUES ('" &amp;$J193 &amp; "', '" &amp; $AB193 &amp; "', '" &amp; "select count(*) from "&amp; $AB193 &amp;" where " &amp; IF(COUNTIF(D:D,"IS_DESTROYED"),"IS_DESTROYED=0 and ","") &amp;   $D193 &amp; "={pid}" &amp; "', " &amp; "'【"&amp; $AC193 &amp;"】已使用此筆資料，故不可刪除!!'" &amp; ",'" &amp; SUBSTITUTE("{'zh_TW': '" &amp;  "【"&amp; $AC193 &amp;"】已使用此筆資料，不可刪除!!"  &amp; "' ,'en_US': '" &amp;  "Have used this information, it can not be deleted !!" &amp; "'  ,'zh_CN': '" &amp; "【"&amp; $AC193 &amp;"】已使用此筆資料，不可刪除!!" &amp; "' }", CHAR(39),CHAR(34))   &amp; "');","")</f>
        <v/>
      </c>
    </row>
    <row r="194" spans="31:31">
      <c r="AE194" s="13" t="str">
        <f t="shared" si="3"/>
        <v/>
      </c>
    </row>
    <row r="195" spans="31:31">
      <c r="AE195" s="13" t="str">
        <f t="shared" si="3"/>
        <v/>
      </c>
    </row>
    <row r="196" spans="31:31">
      <c r="AE196" s="13" t="str">
        <f t="shared" si="3"/>
        <v/>
      </c>
    </row>
    <row r="197" spans="31:31">
      <c r="AE197" s="13" t="str">
        <f t="shared" si="3"/>
        <v/>
      </c>
    </row>
    <row r="198" spans="31:31">
      <c r="AE198" s="13" t="str">
        <f t="shared" si="3"/>
        <v/>
      </c>
    </row>
    <row r="199" spans="31:31">
      <c r="AE199" s="13" t="str">
        <f t="shared" si="3"/>
        <v/>
      </c>
    </row>
    <row r="200" spans="31:31">
      <c r="AE200" s="13" t="str">
        <f t="shared" si="3"/>
        <v/>
      </c>
    </row>
    <row r="201" spans="31:31">
      <c r="AE201" s="13" t="str">
        <f t="shared" si="3"/>
        <v/>
      </c>
    </row>
    <row r="202" spans="31:31">
      <c r="AE202" s="13" t="str">
        <f t="shared" si="3"/>
        <v/>
      </c>
    </row>
    <row r="203" spans="31:31">
      <c r="AE203" s="13" t="str">
        <f t="shared" si="3"/>
        <v/>
      </c>
    </row>
    <row r="204" spans="31:31">
      <c r="AE204" s="13" t="str">
        <f t="shared" si="3"/>
        <v/>
      </c>
    </row>
    <row r="205" spans="31:31">
      <c r="AE205" s="13" t="str">
        <f t="shared" si="3"/>
        <v/>
      </c>
    </row>
    <row r="206" spans="31:31">
      <c r="AE206" s="13" t="str">
        <f t="shared" si="3"/>
        <v/>
      </c>
    </row>
    <row r="207" spans="31:31">
      <c r="AE207" s="13" t="str">
        <f t="shared" si="3"/>
        <v/>
      </c>
    </row>
    <row r="208" spans="31:31">
      <c r="AE208" s="13" t="str">
        <f t="shared" si="3"/>
        <v/>
      </c>
    </row>
    <row r="209" spans="31:31">
      <c r="AE209" s="13" t="str">
        <f t="shared" si="3"/>
        <v/>
      </c>
    </row>
    <row r="210" spans="31:31">
      <c r="AE210" s="13" t="str">
        <f t="shared" si="3"/>
        <v/>
      </c>
    </row>
    <row r="211" spans="31:31">
      <c r="AE211" s="13" t="str">
        <f t="shared" si="3"/>
        <v/>
      </c>
    </row>
    <row r="212" spans="31:31">
      <c r="AE212" s="13" t="str">
        <f t="shared" si="3"/>
        <v/>
      </c>
    </row>
    <row r="213" spans="31:31">
      <c r="AE213" s="13" t="str">
        <f t="shared" si="3"/>
        <v/>
      </c>
    </row>
    <row r="214" spans="31:31">
      <c r="AE214" s="13" t="str">
        <f t="shared" si="3"/>
        <v/>
      </c>
    </row>
    <row r="215" spans="31:31">
      <c r="AE215" s="13" t="str">
        <f t="shared" si="3"/>
        <v/>
      </c>
    </row>
    <row r="216" spans="31:31">
      <c r="AE216" s="13" t="str">
        <f t="shared" si="3"/>
        <v/>
      </c>
    </row>
    <row r="217" spans="31:31">
      <c r="AE217" s="13" t="str">
        <f t="shared" si="3"/>
        <v/>
      </c>
    </row>
    <row r="218" spans="31:31">
      <c r="AE218" s="13" t="str">
        <f t="shared" si="3"/>
        <v/>
      </c>
    </row>
    <row r="219" spans="31:31">
      <c r="AE219" s="13" t="str">
        <f t="shared" si="3"/>
        <v/>
      </c>
    </row>
    <row r="220" spans="31:31">
      <c r="AE220" s="13" t="str">
        <f t="shared" si="3"/>
        <v/>
      </c>
    </row>
    <row r="221" spans="31:31">
      <c r="AE221" s="13" t="str">
        <f t="shared" si="3"/>
        <v/>
      </c>
    </row>
    <row r="222" spans="31:31">
      <c r="AE222" s="13" t="str">
        <f t="shared" si="3"/>
        <v/>
      </c>
    </row>
    <row r="223" spans="31:31">
      <c r="AE223" s="13" t="str">
        <f t="shared" si="3"/>
        <v/>
      </c>
    </row>
    <row r="224" spans="31:31">
      <c r="AE224" s="13" t="str">
        <f t="shared" si="3"/>
        <v/>
      </c>
    </row>
    <row r="225" spans="31:31">
      <c r="AE225" s="13" t="str">
        <f t="shared" si="3"/>
        <v/>
      </c>
    </row>
    <row r="226" spans="31:31">
      <c r="AE226" s="13" t="str">
        <f t="shared" si="3"/>
        <v/>
      </c>
    </row>
    <row r="227" spans="31:31">
      <c r="AE227" s="13" t="str">
        <f t="shared" si="3"/>
        <v/>
      </c>
    </row>
    <row r="228" spans="31:31">
      <c r="AE228" s="13" t="str">
        <f t="shared" si="3"/>
        <v/>
      </c>
    </row>
    <row r="229" spans="31:31">
      <c r="AE229" s="13" t="str">
        <f t="shared" si="3"/>
        <v/>
      </c>
    </row>
    <row r="230" spans="31:31">
      <c r="AE230" s="13" t="str">
        <f t="shared" si="3"/>
        <v/>
      </c>
    </row>
    <row r="231" spans="31:31">
      <c r="AE231" s="13" t="str">
        <f t="shared" si="3"/>
        <v/>
      </c>
    </row>
    <row r="232" spans="31:31">
      <c r="AE232" s="13" t="str">
        <f t="shared" si="3"/>
        <v/>
      </c>
    </row>
    <row r="233" spans="31:31">
      <c r="AE233" s="13" t="str">
        <f t="shared" si="3"/>
        <v/>
      </c>
    </row>
    <row r="234" spans="31:31">
      <c r="AE234" s="13" t="str">
        <f t="shared" si="3"/>
        <v/>
      </c>
    </row>
    <row r="235" spans="31:31">
      <c r="AE235" s="13" t="str">
        <f t="shared" si="3"/>
        <v/>
      </c>
    </row>
    <row r="236" spans="31:31">
      <c r="AE236" s="13" t="str">
        <f t="shared" si="3"/>
        <v/>
      </c>
    </row>
    <row r="237" spans="31:31">
      <c r="AE237" s="13" t="str">
        <f t="shared" si="3"/>
        <v/>
      </c>
    </row>
    <row r="238" spans="31:31">
      <c r="AE238" s="13" t="str">
        <f t="shared" si="3"/>
        <v/>
      </c>
    </row>
    <row r="239" spans="31:31">
      <c r="AE239" s="13" t="str">
        <f t="shared" si="3"/>
        <v/>
      </c>
    </row>
    <row r="240" spans="31:31">
      <c r="AE240" s="13" t="str">
        <f t="shared" si="3"/>
        <v/>
      </c>
    </row>
    <row r="241" spans="31:31">
      <c r="AE241" s="13" t="str">
        <f t="shared" si="3"/>
        <v/>
      </c>
    </row>
    <row r="242" spans="31:31">
      <c r="AE242" s="13" t="str">
        <f t="shared" si="3"/>
        <v/>
      </c>
    </row>
    <row r="243" spans="31:31">
      <c r="AE243" s="13" t="str">
        <f t="shared" si="3"/>
        <v/>
      </c>
    </row>
    <row r="244" spans="31:31">
      <c r="AE244" s="13" t="str">
        <f t="shared" si="3"/>
        <v/>
      </c>
    </row>
    <row r="245" spans="31:31">
      <c r="AE245" s="13" t="str">
        <f t="shared" si="3"/>
        <v/>
      </c>
    </row>
    <row r="246" spans="31:31">
      <c r="AE246" s="13" t="str">
        <f t="shared" si="3"/>
        <v/>
      </c>
    </row>
    <row r="247" spans="31:31">
      <c r="AE247" s="13" t="str">
        <f t="shared" si="3"/>
        <v/>
      </c>
    </row>
    <row r="248" spans="31:31">
      <c r="AE248" s="13" t="str">
        <f t="shared" si="3"/>
        <v/>
      </c>
    </row>
    <row r="249" spans="31:31">
      <c r="AE249" s="13" t="str">
        <f t="shared" si="3"/>
        <v/>
      </c>
    </row>
    <row r="250" spans="31:31">
      <c r="AE250" s="13" t="str">
        <f t="shared" si="3"/>
        <v/>
      </c>
    </row>
    <row r="251" spans="31:31">
      <c r="AE251" s="13" t="str">
        <f t="shared" si="3"/>
        <v/>
      </c>
    </row>
    <row r="252" spans="31:31">
      <c r="AE252" s="13" t="str">
        <f t="shared" si="3"/>
        <v/>
      </c>
    </row>
    <row r="253" spans="31:31">
      <c r="AE253" s="13" t="str">
        <f t="shared" si="3"/>
        <v/>
      </c>
    </row>
    <row r="254" spans="31:31">
      <c r="AE254" s="13" t="str">
        <f t="shared" si="3"/>
        <v/>
      </c>
    </row>
    <row r="255" spans="31:31">
      <c r="AE255" s="13" t="str">
        <f t="shared" si="3"/>
        <v/>
      </c>
    </row>
    <row r="256" spans="31:31">
      <c r="AE256" s="13" t="str">
        <f t="shared" si="3"/>
        <v/>
      </c>
    </row>
    <row r="257" spans="31:31">
      <c r="AE257" s="13" t="str">
        <f t="shared" ref="AE257:AE299" si="4">IF($L257="Y","INSERT INTO `sys_table_relation` (`TABLE_NAME`, `CHILD_TABLE_NAME`, `SQL_QUERY`, `ERROR_DESC` ,`ERROR_DESC_JSON`) VALUES ('" &amp;$J257 &amp; "', '" &amp; $AB257 &amp; "', '" &amp; "select count(*) from "&amp; $AB257 &amp;" where " &amp; IF(COUNTIF(D:D,"IS_DESTROYED"),"IS_DESTROYED=0 and ","") &amp;   $D257 &amp; "={pid}" &amp; "', " &amp; "'【"&amp; $AC257 &amp;"】已使用此筆資料，故不可刪除!!'" &amp; ",'" &amp; SUBSTITUTE("{'zh_TW': '" &amp;  "【"&amp; $AC257 &amp;"】已使用此筆資料，不可刪除!!"  &amp; "' ,'en_US': '" &amp;  "Have used this information, it can not be deleted !!" &amp; "'  ,'zh_CN': '" &amp; "【"&amp; $AC257 &amp;"】已使用此筆資料，不可刪除!!" &amp; "' }", CHAR(39),CHAR(34))   &amp; "');","")</f>
        <v/>
      </c>
    </row>
    <row r="258" spans="31:31">
      <c r="AE258" s="13" t="str">
        <f t="shared" si="4"/>
        <v/>
      </c>
    </row>
    <row r="259" spans="31:31">
      <c r="AE259" s="13" t="str">
        <f t="shared" si="4"/>
        <v/>
      </c>
    </row>
    <row r="260" spans="31:31">
      <c r="AE260" s="13" t="str">
        <f t="shared" si="4"/>
        <v/>
      </c>
    </row>
    <row r="261" spans="31:31">
      <c r="AE261" s="13" t="str">
        <f t="shared" si="4"/>
        <v/>
      </c>
    </row>
    <row r="262" spans="31:31">
      <c r="AE262" s="13" t="str">
        <f t="shared" si="4"/>
        <v/>
      </c>
    </row>
    <row r="263" spans="31:31">
      <c r="AE263" s="13" t="str">
        <f t="shared" si="4"/>
        <v/>
      </c>
    </row>
    <row r="264" spans="31:31">
      <c r="AE264" s="13" t="str">
        <f t="shared" si="4"/>
        <v/>
      </c>
    </row>
    <row r="265" spans="31:31">
      <c r="AE265" s="13" t="str">
        <f t="shared" si="4"/>
        <v/>
      </c>
    </row>
    <row r="266" spans="31:31">
      <c r="AE266" s="13" t="str">
        <f t="shared" si="4"/>
        <v/>
      </c>
    </row>
    <row r="267" spans="31:31">
      <c r="AE267" s="13" t="str">
        <f t="shared" si="4"/>
        <v/>
      </c>
    </row>
    <row r="268" spans="31:31">
      <c r="AE268" s="13" t="str">
        <f t="shared" si="4"/>
        <v/>
      </c>
    </row>
    <row r="269" spans="31:31">
      <c r="AE269" s="13" t="str">
        <f t="shared" si="4"/>
        <v/>
      </c>
    </row>
    <row r="270" spans="31:31">
      <c r="AE270" s="13" t="str">
        <f t="shared" si="4"/>
        <v/>
      </c>
    </row>
    <row r="271" spans="31:31">
      <c r="AE271" s="13" t="str">
        <f t="shared" si="4"/>
        <v/>
      </c>
    </row>
    <row r="272" spans="31:31">
      <c r="AE272" s="13" t="str">
        <f t="shared" si="4"/>
        <v/>
      </c>
    </row>
    <row r="273" spans="31:31">
      <c r="AE273" s="13" t="str">
        <f t="shared" si="4"/>
        <v/>
      </c>
    </row>
    <row r="274" spans="31:31">
      <c r="AE274" s="13" t="str">
        <f t="shared" si="4"/>
        <v/>
      </c>
    </row>
    <row r="275" spans="31:31">
      <c r="AE275" s="13" t="str">
        <f t="shared" si="4"/>
        <v/>
      </c>
    </row>
    <row r="276" spans="31:31">
      <c r="AE276" s="13" t="str">
        <f t="shared" si="4"/>
        <v/>
      </c>
    </row>
    <row r="277" spans="31:31">
      <c r="AE277" s="13" t="str">
        <f t="shared" si="4"/>
        <v/>
      </c>
    </row>
    <row r="278" spans="31:31">
      <c r="AE278" s="13" t="str">
        <f t="shared" si="4"/>
        <v/>
      </c>
    </row>
    <row r="279" spans="31:31">
      <c r="AE279" s="13" t="str">
        <f t="shared" si="4"/>
        <v/>
      </c>
    </row>
    <row r="280" spans="31:31">
      <c r="AE280" s="13" t="str">
        <f t="shared" si="4"/>
        <v/>
      </c>
    </row>
    <row r="281" spans="31:31">
      <c r="AE281" s="13" t="str">
        <f t="shared" si="4"/>
        <v/>
      </c>
    </row>
    <row r="282" spans="31:31">
      <c r="AE282" s="13" t="str">
        <f t="shared" si="4"/>
        <v/>
      </c>
    </row>
    <row r="283" spans="31:31">
      <c r="AE283" s="13" t="str">
        <f t="shared" si="4"/>
        <v/>
      </c>
    </row>
    <row r="284" spans="31:31">
      <c r="AE284" s="13" t="str">
        <f t="shared" si="4"/>
        <v/>
      </c>
    </row>
    <row r="285" spans="31:31">
      <c r="AE285" s="13" t="str">
        <f t="shared" si="4"/>
        <v/>
      </c>
    </row>
    <row r="286" spans="31:31">
      <c r="AE286" s="13" t="str">
        <f t="shared" si="4"/>
        <v/>
      </c>
    </row>
    <row r="287" spans="31:31">
      <c r="AE287" s="13" t="str">
        <f t="shared" si="4"/>
        <v/>
      </c>
    </row>
    <row r="288" spans="31:31">
      <c r="AE288" s="13" t="str">
        <f t="shared" si="4"/>
        <v/>
      </c>
    </row>
    <row r="289" spans="31:31">
      <c r="AE289" s="13" t="str">
        <f t="shared" si="4"/>
        <v/>
      </c>
    </row>
    <row r="290" spans="31:31">
      <c r="AE290" s="13" t="str">
        <f t="shared" si="4"/>
        <v/>
      </c>
    </row>
    <row r="291" spans="31:31">
      <c r="AE291" s="13" t="str">
        <f t="shared" si="4"/>
        <v/>
      </c>
    </row>
    <row r="292" spans="31:31">
      <c r="AE292" s="13" t="str">
        <f t="shared" si="4"/>
        <v/>
      </c>
    </row>
    <row r="293" spans="31:31">
      <c r="AE293" s="13" t="str">
        <f t="shared" si="4"/>
        <v/>
      </c>
    </row>
    <row r="294" spans="31:31">
      <c r="AE294" s="13" t="str">
        <f t="shared" si="4"/>
        <v/>
      </c>
    </row>
    <row r="295" spans="31:31">
      <c r="AE295" s="13" t="str">
        <f t="shared" si="4"/>
        <v/>
      </c>
    </row>
    <row r="296" spans="31:31">
      <c r="AE296" s="13" t="str">
        <f t="shared" si="4"/>
        <v/>
      </c>
    </row>
    <row r="297" spans="31:31">
      <c r="AE297" s="13" t="str">
        <f t="shared" si="4"/>
        <v/>
      </c>
    </row>
    <row r="298" spans="31:31">
      <c r="AE298" s="13" t="str">
        <f t="shared" si="4"/>
        <v/>
      </c>
    </row>
    <row r="299" spans="31:31">
      <c r="AE299" s="13" t="str">
        <f t="shared" si="4"/>
        <v/>
      </c>
    </row>
  </sheetData>
  <mergeCells count="1">
    <mergeCell ref="A1:D1"/>
  </mergeCells>
  <phoneticPr fontId="5" type="noConversion"/>
  <pageMargins left="0.7" right="0.7" top="0.75" bottom="0.75" header="0.3" footer="0.3"/>
  <pageSetup paperSize="9" orientation="portrait" horizontalDpi="0" verticalDpi="0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12DBD43-FA50-4B83-A935-543686317D06}">
  <sheetPr codeName="工作表18"/>
  <dimension ref="A1:X282"/>
  <sheetViews>
    <sheetView workbookViewId="0">
      <selection activeCell="B5" sqref="B5"/>
    </sheetView>
  </sheetViews>
  <sheetFormatPr defaultColWidth="11" defaultRowHeight="13.5"/>
  <cols>
    <col min="1" max="1" width="13" style="13" bestFit="1" customWidth="1"/>
    <col min="2" max="3" width="46.375" style="13" customWidth="1"/>
    <col min="4" max="16384" width="11" style="13"/>
  </cols>
  <sheetData>
    <row r="1" spans="1:24" s="8" customFormat="1" ht="15">
      <c r="A1" s="7" t="s">
        <v>9</v>
      </c>
      <c r="B1" s="56" t="s">
        <v>10</v>
      </c>
      <c r="C1" s="56" t="s">
        <v>11</v>
      </c>
    </row>
    <row r="2" spans="1:24" s="24" customFormat="1" ht="33" customHeight="1">
      <c r="A2" s="46">
        <v>200</v>
      </c>
      <c r="B2" s="80" t="s">
        <v>12</v>
      </c>
      <c r="C2" s="80"/>
    </row>
    <row r="3" spans="1:24" s="24" customFormat="1" ht="31.5">
      <c r="A3" s="46">
        <v>401</v>
      </c>
      <c r="B3" s="80" t="s">
        <v>13</v>
      </c>
      <c r="C3" s="80" t="s">
        <v>14</v>
      </c>
    </row>
    <row r="4" spans="1:24" s="24" customFormat="1" ht="31.5">
      <c r="A4" s="46">
        <v>403</v>
      </c>
      <c r="B4" s="80" t="s">
        <v>15</v>
      </c>
      <c r="C4" s="80" t="s">
        <v>16</v>
      </c>
    </row>
    <row r="5" spans="1:24" s="24" customFormat="1" ht="31.5">
      <c r="A5" s="46">
        <v>440</v>
      </c>
      <c r="B5" s="80" t="s">
        <v>17</v>
      </c>
      <c r="C5" s="80"/>
    </row>
    <row r="6" spans="1:24" s="24" customFormat="1" ht="27.75" customHeight="1">
      <c r="A6" s="46">
        <v>490</v>
      </c>
      <c r="B6" s="80" t="s">
        <v>18</v>
      </c>
      <c r="C6" s="80" t="s">
        <v>19</v>
      </c>
    </row>
    <row r="7" spans="1:24" s="24" customFormat="1" ht="27.75" customHeight="1">
      <c r="A7" s="46">
        <v>499</v>
      </c>
      <c r="B7" s="80" t="s">
        <v>20</v>
      </c>
      <c r="C7" s="80" t="s">
        <v>21</v>
      </c>
    </row>
    <row r="8" spans="1:24" s="24" customFormat="1" ht="27.75" customHeight="1">
      <c r="A8" s="46">
        <v>500</v>
      </c>
      <c r="B8" s="80" t="s">
        <v>22</v>
      </c>
      <c r="C8" s="80" t="s">
        <v>23</v>
      </c>
    </row>
    <row r="9" spans="1:24">
      <c r="X9" s="13" t="str">
        <f>IF($E9="Y","INSERT INTO `sys_table_relation` (`TABLE_NAME`, `CHILD_TABLE_NAME`, `SQL_QUERY`, `ERROR_DESC` ,`ERROR_DESC_JSON`) VALUES ('" &amp;$C9 &amp; "', '" &amp; $U9 &amp; "', '" &amp; "select count(*) from "&amp; $U9 &amp;" where " &amp; IF(COUNTIF(#REF!,"IS_DESTROYED"),"IS_DESTROYED=0 and ","") &amp;#REF! &amp; "={pid}" &amp; "', " &amp; "'【"&amp; $V9 &amp;"】已使用此筆資料，故不可刪除!!'" &amp; ",'" &amp; SUBSTITUTE("{'zh_TW': '" &amp;  "【"&amp; $V9 &amp;"】已使用此筆資料，不可刪除!!"  &amp; "' ,'en_US': '" &amp;  "Have used this information, it can not be deleted !!" &amp; "'  ,'zh_CN': '" &amp; "【"&amp; $V9 &amp;"】已使用此筆資料，不可刪除!!" &amp; "' }", CHAR(39),CHAR(34))   &amp; "');","")</f>
        <v/>
      </c>
    </row>
    <row r="10" spans="1:24">
      <c r="X10" s="13" t="str">
        <f>IF($E10="Y","INSERT INTO `sys_table_relation` (`TABLE_NAME`, `CHILD_TABLE_NAME`, `SQL_QUERY`, `ERROR_DESC` ,`ERROR_DESC_JSON`) VALUES ('" &amp;$C10 &amp; "', '" &amp; $U10 &amp; "', '" &amp; "select count(*) from "&amp; $U10 &amp;" where " &amp; IF(COUNTIF(#REF!,"IS_DESTROYED"),"IS_DESTROYED=0 and ","") &amp;#REF! &amp; "={pid}" &amp; "', " &amp; "'【"&amp; $V10 &amp;"】已使用此筆資料，故不可刪除!!'" &amp; ",'" &amp; SUBSTITUTE("{'zh_TW': '" &amp;  "【"&amp; $V10 &amp;"】已使用此筆資料，不可刪除!!"  &amp; "' ,'en_US': '" &amp;  "Have used this information, it can not be deleted !!" &amp; "'  ,'zh_CN': '" &amp; "【"&amp; $V10 &amp;"】已使用此筆資料，不可刪除!!" &amp; "' }", CHAR(39),CHAR(34))   &amp; "');","")</f>
        <v/>
      </c>
    </row>
    <row r="11" spans="1:24">
      <c r="X11" s="13" t="str">
        <f>IF($E11="Y","INSERT INTO `sys_table_relation` (`TABLE_NAME`, `CHILD_TABLE_NAME`, `SQL_QUERY`, `ERROR_DESC` ,`ERROR_DESC_JSON`) VALUES ('" &amp;$C11 &amp; "', '" &amp; $U11 &amp; "', '" &amp; "select count(*) from "&amp; $U11 &amp;" where " &amp; IF(COUNTIF(#REF!,"IS_DESTROYED"),"IS_DESTROYED=0 and ","") &amp;#REF! &amp; "={pid}" &amp; "', " &amp; "'【"&amp; $V11 &amp;"】已使用此筆資料，故不可刪除!!'" &amp; ",'" &amp; SUBSTITUTE("{'zh_TW': '" &amp;  "【"&amp; $V11 &amp;"】已使用此筆資料，不可刪除!!"  &amp; "' ,'en_US': '" &amp;  "Have used this information, it can not be deleted !!" &amp; "'  ,'zh_CN': '" &amp; "【"&amp; $V11 &amp;"】已使用此筆資料，不可刪除!!" &amp; "' }", CHAR(39),CHAR(34))   &amp; "');","")</f>
        <v/>
      </c>
    </row>
    <row r="12" spans="1:24">
      <c r="X12" s="13" t="str">
        <f>IF($E12="Y","INSERT INTO `sys_table_relation` (`TABLE_NAME`, `CHILD_TABLE_NAME`, `SQL_QUERY`, `ERROR_DESC` ,`ERROR_DESC_JSON`) VALUES ('" &amp;$C12 &amp; "', '" &amp; $U12 &amp; "', '" &amp; "select count(*) from "&amp; $U12 &amp;" where " &amp; IF(COUNTIF(#REF!,"IS_DESTROYED"),"IS_DESTROYED=0 and ","") &amp;#REF! &amp; "={pid}" &amp; "', " &amp; "'【"&amp; $V12 &amp;"】已使用此筆資料，故不可刪除!!'" &amp; ",'" &amp; SUBSTITUTE("{'zh_TW': '" &amp;  "【"&amp; $V12 &amp;"】已使用此筆資料，不可刪除!!"  &amp; "' ,'en_US': '" &amp;  "Have used this information, it can not be deleted !!" &amp; "'  ,'zh_CN': '" &amp; "【"&amp; $V12 &amp;"】已使用此筆資料，不可刪除!!" &amp; "' }", CHAR(39),CHAR(34))   &amp; "');","")</f>
        <v/>
      </c>
    </row>
    <row r="13" spans="1:24">
      <c r="X13" s="13" t="str">
        <f>IF($E13="Y","INSERT INTO `sys_table_relation` (`TABLE_NAME`, `CHILD_TABLE_NAME`, `SQL_QUERY`, `ERROR_DESC` ,`ERROR_DESC_JSON`) VALUES ('" &amp;$C13 &amp; "', '" &amp; $U13 &amp; "', '" &amp; "select count(*) from "&amp; $U13 &amp;" where " &amp; IF(COUNTIF(#REF!,"IS_DESTROYED"),"IS_DESTROYED=0 and ","") &amp;#REF! &amp; "={pid}" &amp; "', " &amp; "'【"&amp; $V13 &amp;"】已使用此筆資料，故不可刪除!!'" &amp; ",'" &amp; SUBSTITUTE("{'zh_TW': '" &amp;  "【"&amp; $V13 &amp;"】已使用此筆資料，不可刪除!!"  &amp; "' ,'en_US': '" &amp;  "Have used this information, it can not be deleted !!" &amp; "'  ,'zh_CN': '" &amp; "【"&amp; $V13 &amp;"】已使用此筆資料，不可刪除!!" &amp; "' }", CHAR(39),CHAR(34))   &amp; "');","")</f>
        <v/>
      </c>
    </row>
    <row r="14" spans="1:24">
      <c r="X14" s="13" t="str">
        <f>IF($E14="Y","INSERT INTO `sys_table_relation` (`TABLE_NAME`, `CHILD_TABLE_NAME`, `SQL_QUERY`, `ERROR_DESC` ,`ERROR_DESC_JSON`) VALUES ('" &amp;$C14 &amp; "', '" &amp; $U14 &amp; "', '" &amp; "select count(*) from "&amp; $U14 &amp;" where " &amp; IF(COUNTIF(#REF!,"IS_DESTROYED"),"IS_DESTROYED=0 and ","") &amp;#REF! &amp; "={pid}" &amp; "', " &amp; "'【"&amp; $V14 &amp;"】已使用此筆資料，故不可刪除!!'" &amp; ",'" &amp; SUBSTITUTE("{'zh_TW': '" &amp;  "【"&amp; $V14 &amp;"】已使用此筆資料，不可刪除!!"  &amp; "' ,'en_US': '" &amp;  "Have used this information, it can not be deleted !!" &amp; "'  ,'zh_CN': '" &amp; "【"&amp; $V14 &amp;"】已使用此筆資料，不可刪除!!" &amp; "' }", CHAR(39),CHAR(34))   &amp; "');","")</f>
        <v/>
      </c>
    </row>
    <row r="15" spans="1:24">
      <c r="X15" s="13" t="str">
        <f>IF($E15="Y","INSERT INTO `sys_table_relation` (`TABLE_NAME`, `CHILD_TABLE_NAME`, `SQL_QUERY`, `ERROR_DESC` ,`ERROR_DESC_JSON`) VALUES ('" &amp;$C15 &amp; "', '" &amp; $U15 &amp; "', '" &amp; "select count(*) from "&amp; $U15 &amp;" where " &amp; IF(COUNTIF(#REF!,"IS_DESTROYED"),"IS_DESTROYED=0 and ","") &amp;#REF! &amp; "={pid}" &amp; "', " &amp; "'【"&amp; $V15 &amp;"】已使用此筆資料，故不可刪除!!'" &amp; ",'" &amp; SUBSTITUTE("{'zh_TW': '" &amp;  "【"&amp; $V15 &amp;"】已使用此筆資料，不可刪除!!"  &amp; "' ,'en_US': '" &amp;  "Have used this information, it can not be deleted !!" &amp; "'  ,'zh_CN': '" &amp; "【"&amp; $V15 &amp;"】已使用此筆資料，不可刪除!!" &amp; "' }", CHAR(39),CHAR(34))   &amp; "');","")</f>
        <v/>
      </c>
    </row>
    <row r="16" spans="1:24">
      <c r="X16" s="13" t="str">
        <f>IF($E16="Y","INSERT INTO `sys_table_relation` (`TABLE_NAME`, `CHILD_TABLE_NAME`, `SQL_QUERY`, `ERROR_DESC` ,`ERROR_DESC_JSON`) VALUES ('" &amp;$C16 &amp; "', '" &amp; $U16 &amp; "', '" &amp; "select count(*) from "&amp; $U16 &amp;" where " &amp; IF(COUNTIF(#REF!,"IS_DESTROYED"),"IS_DESTROYED=0 and ","") &amp;#REF! &amp; "={pid}" &amp; "', " &amp; "'【"&amp; $V16 &amp;"】已使用此筆資料，故不可刪除!!'" &amp; ",'" &amp; SUBSTITUTE("{'zh_TW': '" &amp;  "【"&amp; $V16 &amp;"】已使用此筆資料，不可刪除!!"  &amp; "' ,'en_US': '" &amp;  "Have used this information, it can not be deleted !!" &amp; "'  ,'zh_CN': '" &amp; "【"&amp; $V16 &amp;"】已使用此筆資料，不可刪除!!" &amp; "' }", CHAR(39),CHAR(34))   &amp; "');","")</f>
        <v/>
      </c>
    </row>
    <row r="17" spans="24:24">
      <c r="X17" s="13" t="str">
        <f>IF($E17="Y","INSERT INTO `sys_table_relation` (`TABLE_NAME`, `CHILD_TABLE_NAME`, `SQL_QUERY`, `ERROR_DESC` ,`ERROR_DESC_JSON`) VALUES ('" &amp;$C17 &amp; "', '" &amp; $U17 &amp; "', '" &amp; "select count(*) from "&amp; $U17 &amp;" where " &amp; IF(COUNTIF(#REF!,"IS_DESTROYED"),"IS_DESTROYED=0 and ","") &amp;#REF! &amp; "={pid}" &amp; "', " &amp; "'【"&amp; $V17 &amp;"】已使用此筆資料，故不可刪除!!'" &amp; ",'" &amp; SUBSTITUTE("{'zh_TW': '" &amp;  "【"&amp; $V17 &amp;"】已使用此筆資料，不可刪除!!"  &amp; "' ,'en_US': '" &amp;  "Have used this information, it can not be deleted !!" &amp; "'  ,'zh_CN': '" &amp; "【"&amp; $V17 &amp;"】已使用此筆資料，不可刪除!!" &amp; "' }", CHAR(39),CHAR(34))   &amp; "');","")</f>
        <v/>
      </c>
    </row>
    <row r="18" spans="24:24">
      <c r="X18" s="13" t="str">
        <f>IF($E18="Y","INSERT INTO `sys_table_relation` (`TABLE_NAME`, `CHILD_TABLE_NAME`, `SQL_QUERY`, `ERROR_DESC` ,`ERROR_DESC_JSON`) VALUES ('" &amp;$C18 &amp; "', '" &amp; $U18 &amp; "', '" &amp; "select count(*) from "&amp; $U18 &amp;" where " &amp; IF(COUNTIF(#REF!,"IS_DESTROYED"),"IS_DESTROYED=0 and ","") &amp;#REF! &amp; "={pid}" &amp; "', " &amp; "'【"&amp; $V18 &amp;"】已使用此筆資料，故不可刪除!!'" &amp; ",'" &amp; SUBSTITUTE("{'zh_TW': '" &amp;  "【"&amp; $V18 &amp;"】已使用此筆資料，不可刪除!!"  &amp; "' ,'en_US': '" &amp;  "Have used this information, it can not be deleted !!" &amp; "'  ,'zh_CN': '" &amp; "【"&amp; $V18 &amp;"】已使用此筆資料，不可刪除!!" &amp; "' }", CHAR(39),CHAR(34))   &amp; "');","")</f>
        <v/>
      </c>
    </row>
    <row r="19" spans="24:24">
      <c r="X19" s="13" t="str">
        <f>IF($E19="Y","INSERT INTO `sys_table_relation` (`TABLE_NAME`, `CHILD_TABLE_NAME`, `SQL_QUERY`, `ERROR_DESC` ,`ERROR_DESC_JSON`) VALUES ('" &amp;$C19 &amp; "', '" &amp; $U19 &amp; "', '" &amp; "select count(*) from "&amp; $U19 &amp;" where " &amp; IF(COUNTIF(#REF!,"IS_DESTROYED"),"IS_DESTROYED=0 and ","") &amp;#REF! &amp; "={pid}" &amp; "', " &amp; "'【"&amp; $V19 &amp;"】已使用此筆資料，故不可刪除!!'" &amp; ",'" &amp; SUBSTITUTE("{'zh_TW': '" &amp;  "【"&amp; $V19 &amp;"】已使用此筆資料，不可刪除!!"  &amp; "' ,'en_US': '" &amp;  "Have used this information, it can not be deleted !!" &amp; "'  ,'zh_CN': '" &amp; "【"&amp; $V19 &amp;"】已使用此筆資料，不可刪除!!" &amp; "' }", CHAR(39),CHAR(34))   &amp; "');","")</f>
        <v/>
      </c>
    </row>
    <row r="20" spans="24:24">
      <c r="X20" s="13" t="str">
        <f>IF($E20="Y","INSERT INTO `sys_table_relation` (`TABLE_NAME`, `CHILD_TABLE_NAME`, `SQL_QUERY`, `ERROR_DESC` ,`ERROR_DESC_JSON`) VALUES ('" &amp;$C20 &amp; "', '" &amp; $U20 &amp; "', '" &amp; "select count(*) from "&amp; $U20 &amp;" where " &amp; IF(COUNTIF(#REF!,"IS_DESTROYED"),"IS_DESTROYED=0 and ","") &amp;#REF! &amp; "={pid}" &amp; "', " &amp; "'【"&amp; $V20 &amp;"】已使用此筆資料，故不可刪除!!'" &amp; ",'" &amp; SUBSTITUTE("{'zh_TW': '" &amp;  "【"&amp; $V20 &amp;"】已使用此筆資料，不可刪除!!"  &amp; "' ,'en_US': '" &amp;  "Have used this information, it can not be deleted !!" &amp; "'  ,'zh_CN': '" &amp; "【"&amp; $V20 &amp;"】已使用此筆資料，不可刪除!!" &amp; "' }", CHAR(39),CHAR(34))   &amp; "');","")</f>
        <v/>
      </c>
    </row>
    <row r="21" spans="24:24">
      <c r="X21" s="13" t="str">
        <f>IF($E21="Y","INSERT INTO `sys_table_relation` (`TABLE_NAME`, `CHILD_TABLE_NAME`, `SQL_QUERY`, `ERROR_DESC` ,`ERROR_DESC_JSON`) VALUES ('" &amp;$C21 &amp; "', '" &amp; $U21 &amp; "', '" &amp; "select count(*) from "&amp; $U21 &amp;" where " &amp; IF(COUNTIF(#REF!,"IS_DESTROYED"),"IS_DESTROYED=0 and ","") &amp;#REF! &amp; "={pid}" &amp; "', " &amp; "'【"&amp; $V21 &amp;"】已使用此筆資料，故不可刪除!!'" &amp; ",'" &amp; SUBSTITUTE("{'zh_TW': '" &amp;  "【"&amp; $V21 &amp;"】已使用此筆資料，不可刪除!!"  &amp; "' ,'en_US': '" &amp;  "Have used this information, it can not be deleted !!" &amp; "'  ,'zh_CN': '" &amp; "【"&amp; $V21 &amp;"】已使用此筆資料，不可刪除!!" &amp; "' }", CHAR(39),CHAR(34))   &amp; "');","")</f>
        <v/>
      </c>
    </row>
    <row r="22" spans="24:24">
      <c r="X22" s="13" t="str">
        <f>IF($E22="Y","INSERT INTO `sys_table_relation` (`TABLE_NAME`, `CHILD_TABLE_NAME`, `SQL_QUERY`, `ERROR_DESC` ,`ERROR_DESC_JSON`) VALUES ('" &amp;$C22 &amp; "', '" &amp; $U22 &amp; "', '" &amp; "select count(*) from "&amp; $U22 &amp;" where " &amp; IF(COUNTIF(#REF!,"IS_DESTROYED"),"IS_DESTROYED=0 and ","") &amp;#REF! &amp; "={pid}" &amp; "', " &amp; "'【"&amp; $V22 &amp;"】已使用此筆資料，故不可刪除!!'" &amp; ",'" &amp; SUBSTITUTE("{'zh_TW': '" &amp;  "【"&amp; $V22 &amp;"】已使用此筆資料，不可刪除!!"  &amp; "' ,'en_US': '" &amp;  "Have used this information, it can not be deleted !!" &amp; "'  ,'zh_CN': '" &amp; "【"&amp; $V22 &amp;"】已使用此筆資料，不可刪除!!" &amp; "' }", CHAR(39),CHAR(34))   &amp; "');","")</f>
        <v/>
      </c>
    </row>
    <row r="23" spans="24:24">
      <c r="X23" s="13" t="str">
        <f>IF($E23="Y","INSERT INTO `sys_table_relation` (`TABLE_NAME`, `CHILD_TABLE_NAME`, `SQL_QUERY`, `ERROR_DESC` ,`ERROR_DESC_JSON`) VALUES ('" &amp;$C23 &amp; "', '" &amp; $U23 &amp; "', '" &amp; "select count(*) from "&amp; $U23 &amp;" where " &amp; IF(COUNTIF(#REF!,"IS_DESTROYED"),"IS_DESTROYED=0 and ","") &amp;#REF! &amp; "={pid}" &amp; "', " &amp; "'【"&amp; $V23 &amp;"】已使用此筆資料，故不可刪除!!'" &amp; ",'" &amp; SUBSTITUTE("{'zh_TW': '" &amp;  "【"&amp; $V23 &amp;"】已使用此筆資料，不可刪除!!"  &amp; "' ,'en_US': '" &amp;  "Have used this information, it can not be deleted !!" &amp; "'  ,'zh_CN': '" &amp; "【"&amp; $V23 &amp;"】已使用此筆資料，不可刪除!!" &amp; "' }", CHAR(39),CHAR(34))   &amp; "');","")</f>
        <v/>
      </c>
    </row>
    <row r="24" spans="24:24">
      <c r="X24" s="13" t="str">
        <f>IF($E24="Y","INSERT INTO `sys_table_relation` (`TABLE_NAME`, `CHILD_TABLE_NAME`, `SQL_QUERY`, `ERROR_DESC` ,`ERROR_DESC_JSON`) VALUES ('" &amp;$C24 &amp; "', '" &amp; $U24 &amp; "', '" &amp; "select count(*) from "&amp; $U24 &amp;" where " &amp; IF(COUNTIF(#REF!,"IS_DESTROYED"),"IS_DESTROYED=0 and ","") &amp;#REF! &amp; "={pid}" &amp; "', " &amp; "'【"&amp; $V24 &amp;"】已使用此筆資料，故不可刪除!!'" &amp; ",'" &amp; SUBSTITUTE("{'zh_TW': '" &amp;  "【"&amp; $V24 &amp;"】已使用此筆資料，不可刪除!!"  &amp; "' ,'en_US': '" &amp;  "Have used this information, it can not be deleted !!" &amp; "'  ,'zh_CN': '" &amp; "【"&amp; $V24 &amp;"】已使用此筆資料，不可刪除!!" &amp; "' }", CHAR(39),CHAR(34))   &amp; "');","")</f>
        <v/>
      </c>
    </row>
    <row r="25" spans="24:24">
      <c r="X25" s="13" t="str">
        <f>IF($E25="Y","INSERT INTO `sys_table_relation` (`TABLE_NAME`, `CHILD_TABLE_NAME`, `SQL_QUERY`, `ERROR_DESC` ,`ERROR_DESC_JSON`) VALUES ('" &amp;$C25 &amp; "', '" &amp; $U25 &amp; "', '" &amp; "select count(*) from "&amp; $U25 &amp;" where " &amp; IF(COUNTIF(#REF!,"IS_DESTROYED"),"IS_DESTROYED=0 and ","") &amp;#REF! &amp; "={pid}" &amp; "', " &amp; "'【"&amp; $V25 &amp;"】已使用此筆資料，故不可刪除!!'" &amp; ",'" &amp; SUBSTITUTE("{'zh_TW': '" &amp;  "【"&amp; $V25 &amp;"】已使用此筆資料，不可刪除!!"  &amp; "' ,'en_US': '" &amp;  "Have used this information, it can not be deleted !!" &amp; "'  ,'zh_CN': '" &amp; "【"&amp; $V25 &amp;"】已使用此筆資料，不可刪除!!" &amp; "' }", CHAR(39),CHAR(34))   &amp; "');","")</f>
        <v/>
      </c>
    </row>
    <row r="26" spans="24:24">
      <c r="X26" s="13" t="str">
        <f>IF($E26="Y","INSERT INTO `sys_table_relation` (`TABLE_NAME`, `CHILD_TABLE_NAME`, `SQL_QUERY`, `ERROR_DESC` ,`ERROR_DESC_JSON`) VALUES ('" &amp;$C26 &amp; "', '" &amp; $U26 &amp; "', '" &amp; "select count(*) from "&amp; $U26 &amp;" where " &amp; IF(COUNTIF(#REF!,"IS_DESTROYED"),"IS_DESTROYED=0 and ","") &amp;#REF! &amp; "={pid}" &amp; "', " &amp; "'【"&amp; $V26 &amp;"】已使用此筆資料，故不可刪除!!'" &amp; ",'" &amp; SUBSTITUTE("{'zh_TW': '" &amp;  "【"&amp; $V26 &amp;"】已使用此筆資料，不可刪除!!"  &amp; "' ,'en_US': '" &amp;  "Have used this information, it can not be deleted !!" &amp; "'  ,'zh_CN': '" &amp; "【"&amp; $V26 &amp;"】已使用此筆資料，不可刪除!!" &amp; "' }", CHAR(39),CHAR(34))   &amp; "');","")</f>
        <v/>
      </c>
    </row>
    <row r="27" spans="24:24">
      <c r="X27" s="13" t="str">
        <f>IF($E27="Y","INSERT INTO `sys_table_relation` (`TABLE_NAME`, `CHILD_TABLE_NAME`, `SQL_QUERY`, `ERROR_DESC` ,`ERROR_DESC_JSON`) VALUES ('" &amp;$C27 &amp; "', '" &amp; $U27 &amp; "', '" &amp; "select count(*) from "&amp; $U27 &amp;" where " &amp; IF(COUNTIF(#REF!,"IS_DESTROYED"),"IS_DESTROYED=0 and ","") &amp;#REF! &amp; "={pid}" &amp; "', " &amp; "'【"&amp; $V27 &amp;"】已使用此筆資料，故不可刪除!!'" &amp; ",'" &amp; SUBSTITUTE("{'zh_TW': '" &amp;  "【"&amp; $V27 &amp;"】已使用此筆資料，不可刪除!!"  &amp; "' ,'en_US': '" &amp;  "Have used this information, it can not be deleted !!" &amp; "'  ,'zh_CN': '" &amp; "【"&amp; $V27 &amp;"】已使用此筆資料，不可刪除!!" &amp; "' }", CHAR(39),CHAR(34))   &amp; "');","")</f>
        <v/>
      </c>
    </row>
    <row r="28" spans="24:24">
      <c r="X28" s="13" t="str">
        <f>IF($E28="Y","INSERT INTO `sys_table_relation` (`TABLE_NAME`, `CHILD_TABLE_NAME`, `SQL_QUERY`, `ERROR_DESC` ,`ERROR_DESC_JSON`) VALUES ('" &amp;$C28 &amp; "', '" &amp; $U28 &amp; "', '" &amp; "select count(*) from "&amp; $U28 &amp;" where " &amp; IF(COUNTIF(#REF!,"IS_DESTROYED"),"IS_DESTROYED=0 and ","") &amp;#REF! &amp; "={pid}" &amp; "', " &amp; "'【"&amp; $V28 &amp;"】已使用此筆資料，故不可刪除!!'" &amp; ",'" &amp; SUBSTITUTE("{'zh_TW': '" &amp;  "【"&amp; $V28 &amp;"】已使用此筆資料，不可刪除!!"  &amp; "' ,'en_US': '" &amp;  "Have used this information, it can not be deleted !!" &amp; "'  ,'zh_CN': '" &amp; "【"&amp; $V28 &amp;"】已使用此筆資料，不可刪除!!" &amp; "' }", CHAR(39),CHAR(34))   &amp; "');","")</f>
        <v/>
      </c>
    </row>
    <row r="29" spans="24:24">
      <c r="X29" s="13" t="str">
        <f>IF($E29="Y","INSERT INTO `sys_table_relation` (`TABLE_NAME`, `CHILD_TABLE_NAME`, `SQL_QUERY`, `ERROR_DESC` ,`ERROR_DESC_JSON`) VALUES ('" &amp;$C29 &amp; "', '" &amp; $U29 &amp; "', '" &amp; "select count(*) from "&amp; $U29 &amp;" where " &amp; IF(COUNTIF(#REF!,"IS_DESTROYED"),"IS_DESTROYED=0 and ","") &amp;#REF! &amp; "={pid}" &amp; "', " &amp; "'【"&amp; $V29 &amp;"】已使用此筆資料，故不可刪除!!'" &amp; ",'" &amp; SUBSTITUTE("{'zh_TW': '" &amp;  "【"&amp; $V29 &amp;"】已使用此筆資料，不可刪除!!"  &amp; "' ,'en_US': '" &amp;  "Have used this information, it can not be deleted !!" &amp; "'  ,'zh_CN': '" &amp; "【"&amp; $V29 &amp;"】已使用此筆資料，不可刪除!!" &amp; "' }", CHAR(39),CHAR(34))   &amp; "');","")</f>
        <v/>
      </c>
    </row>
    <row r="30" spans="24:24">
      <c r="X30" s="13" t="str">
        <f>IF($E30="Y","INSERT INTO `sys_table_relation` (`TABLE_NAME`, `CHILD_TABLE_NAME`, `SQL_QUERY`, `ERROR_DESC` ,`ERROR_DESC_JSON`) VALUES ('" &amp;$C30 &amp; "', '" &amp; $U30 &amp; "', '" &amp; "select count(*) from "&amp; $U30 &amp;" where " &amp; IF(COUNTIF(#REF!,"IS_DESTROYED"),"IS_DESTROYED=0 and ","") &amp;#REF! &amp; "={pid}" &amp; "', " &amp; "'【"&amp; $V30 &amp;"】已使用此筆資料，故不可刪除!!'" &amp; ",'" &amp; SUBSTITUTE("{'zh_TW': '" &amp;  "【"&amp; $V30 &amp;"】已使用此筆資料，不可刪除!!"  &amp; "' ,'en_US': '" &amp;  "Have used this information, it can not be deleted !!" &amp; "'  ,'zh_CN': '" &amp; "【"&amp; $V30 &amp;"】已使用此筆資料，不可刪除!!" &amp; "' }", CHAR(39),CHAR(34))   &amp; "');","")</f>
        <v/>
      </c>
    </row>
    <row r="31" spans="24:24">
      <c r="X31" s="13" t="str">
        <f>IF($E31="Y","INSERT INTO `sys_table_relation` (`TABLE_NAME`, `CHILD_TABLE_NAME`, `SQL_QUERY`, `ERROR_DESC` ,`ERROR_DESC_JSON`) VALUES ('" &amp;$C31 &amp; "', '" &amp; $U31 &amp; "', '" &amp; "select count(*) from "&amp; $U31 &amp;" where " &amp; IF(COUNTIF(#REF!,"IS_DESTROYED"),"IS_DESTROYED=0 and ","") &amp;#REF! &amp; "={pid}" &amp; "', " &amp; "'【"&amp; $V31 &amp;"】已使用此筆資料，故不可刪除!!'" &amp; ",'" &amp; SUBSTITUTE("{'zh_TW': '" &amp;  "【"&amp; $V31 &amp;"】已使用此筆資料，不可刪除!!"  &amp; "' ,'en_US': '" &amp;  "Have used this information, it can not be deleted !!" &amp; "'  ,'zh_CN': '" &amp; "【"&amp; $V31 &amp;"】已使用此筆資料，不可刪除!!" &amp; "' }", CHAR(39),CHAR(34))   &amp; "');","")</f>
        <v/>
      </c>
    </row>
    <row r="32" spans="24:24">
      <c r="X32" s="13" t="str">
        <f>IF($E32="Y","INSERT INTO `sys_table_relation` (`TABLE_NAME`, `CHILD_TABLE_NAME`, `SQL_QUERY`, `ERROR_DESC` ,`ERROR_DESC_JSON`) VALUES ('" &amp;$C32 &amp; "', '" &amp; $U32 &amp; "', '" &amp; "select count(*) from "&amp; $U32 &amp;" where " &amp; IF(COUNTIF(#REF!,"IS_DESTROYED"),"IS_DESTROYED=0 and ","") &amp;#REF! &amp; "={pid}" &amp; "', " &amp; "'【"&amp; $V32 &amp;"】已使用此筆資料，故不可刪除!!'" &amp; ",'" &amp; SUBSTITUTE("{'zh_TW': '" &amp;  "【"&amp; $V32 &amp;"】已使用此筆資料，不可刪除!!"  &amp; "' ,'en_US': '" &amp;  "Have used this information, it can not be deleted !!" &amp; "'  ,'zh_CN': '" &amp; "【"&amp; $V32 &amp;"】已使用此筆資料，不可刪除!!" &amp; "' }", CHAR(39),CHAR(34))   &amp; "');","")</f>
        <v/>
      </c>
    </row>
    <row r="33" spans="24:24">
      <c r="X33" s="13" t="str">
        <f>IF($E33="Y","INSERT INTO `sys_table_relation` (`TABLE_NAME`, `CHILD_TABLE_NAME`, `SQL_QUERY`, `ERROR_DESC` ,`ERROR_DESC_JSON`) VALUES ('" &amp;$C33 &amp; "', '" &amp; $U33 &amp; "', '" &amp; "select count(*) from "&amp; $U33 &amp;" where " &amp; IF(COUNTIF(#REF!,"IS_DESTROYED"),"IS_DESTROYED=0 and ","") &amp;#REF! &amp; "={pid}" &amp; "', " &amp; "'【"&amp; $V33 &amp;"】已使用此筆資料，故不可刪除!!'" &amp; ",'" &amp; SUBSTITUTE("{'zh_TW': '" &amp;  "【"&amp; $V33 &amp;"】已使用此筆資料，不可刪除!!"  &amp; "' ,'en_US': '" &amp;  "Have used this information, it can not be deleted !!" &amp; "'  ,'zh_CN': '" &amp; "【"&amp; $V33 &amp;"】已使用此筆資料，不可刪除!!" &amp; "' }", CHAR(39),CHAR(34))   &amp; "');","")</f>
        <v/>
      </c>
    </row>
    <row r="34" spans="24:24">
      <c r="X34" s="13" t="str">
        <f>IF($E34="Y","INSERT INTO `sys_table_relation` (`TABLE_NAME`, `CHILD_TABLE_NAME`, `SQL_QUERY`, `ERROR_DESC` ,`ERROR_DESC_JSON`) VALUES ('" &amp;$C34 &amp; "', '" &amp; $U34 &amp; "', '" &amp; "select count(*) from "&amp; $U34 &amp;" where " &amp; IF(COUNTIF(#REF!,"IS_DESTROYED"),"IS_DESTROYED=0 and ","") &amp;#REF! &amp; "={pid}" &amp; "', " &amp; "'【"&amp; $V34 &amp;"】已使用此筆資料，故不可刪除!!'" &amp; ",'" &amp; SUBSTITUTE("{'zh_TW': '" &amp;  "【"&amp; $V34 &amp;"】已使用此筆資料，不可刪除!!"  &amp; "' ,'en_US': '" &amp;  "Have used this information, it can not be deleted !!" &amp; "'  ,'zh_CN': '" &amp; "【"&amp; $V34 &amp;"】已使用此筆資料，不可刪除!!" &amp; "' }", CHAR(39),CHAR(34))   &amp; "');","")</f>
        <v/>
      </c>
    </row>
    <row r="35" spans="24:24">
      <c r="X35" s="13" t="str">
        <f>IF($E35="Y","INSERT INTO `sys_table_relation` (`TABLE_NAME`, `CHILD_TABLE_NAME`, `SQL_QUERY`, `ERROR_DESC` ,`ERROR_DESC_JSON`) VALUES ('" &amp;$C35 &amp; "', '" &amp; $U35 &amp; "', '" &amp; "select count(*) from "&amp; $U35 &amp;" where " &amp; IF(COUNTIF(#REF!,"IS_DESTROYED"),"IS_DESTROYED=0 and ","") &amp;#REF! &amp; "={pid}" &amp; "', " &amp; "'【"&amp; $V35 &amp;"】已使用此筆資料，故不可刪除!!'" &amp; ",'" &amp; SUBSTITUTE("{'zh_TW': '" &amp;  "【"&amp; $V35 &amp;"】已使用此筆資料，不可刪除!!"  &amp; "' ,'en_US': '" &amp;  "Have used this information, it can not be deleted !!" &amp; "'  ,'zh_CN': '" &amp; "【"&amp; $V35 &amp;"】已使用此筆資料，不可刪除!!" &amp; "' }", CHAR(39),CHAR(34))   &amp; "');","")</f>
        <v/>
      </c>
    </row>
    <row r="36" spans="24:24">
      <c r="X36" s="13" t="str">
        <f>IF($E36="Y","INSERT INTO `sys_table_relation` (`TABLE_NAME`, `CHILD_TABLE_NAME`, `SQL_QUERY`, `ERROR_DESC` ,`ERROR_DESC_JSON`) VALUES ('" &amp;$C36 &amp; "', '" &amp; $U36 &amp; "', '" &amp; "select count(*) from "&amp; $U36 &amp;" where " &amp; IF(COUNTIF(#REF!,"IS_DESTROYED"),"IS_DESTROYED=0 and ","") &amp;#REF! &amp; "={pid}" &amp; "', " &amp; "'【"&amp; $V36 &amp;"】已使用此筆資料，故不可刪除!!'" &amp; ",'" &amp; SUBSTITUTE("{'zh_TW': '" &amp;  "【"&amp; $V36 &amp;"】已使用此筆資料，不可刪除!!"  &amp; "' ,'en_US': '" &amp;  "Have used this information, it can not be deleted !!" &amp; "'  ,'zh_CN': '" &amp; "【"&amp; $V36 &amp;"】已使用此筆資料，不可刪除!!" &amp; "' }", CHAR(39),CHAR(34))   &amp; "');","")</f>
        <v/>
      </c>
    </row>
    <row r="37" spans="24:24">
      <c r="X37" s="13" t="str">
        <f>IF($E37="Y","INSERT INTO `sys_table_relation` (`TABLE_NAME`, `CHILD_TABLE_NAME`, `SQL_QUERY`, `ERROR_DESC` ,`ERROR_DESC_JSON`) VALUES ('" &amp;$C37 &amp; "', '" &amp; $U37 &amp; "', '" &amp; "select count(*) from "&amp; $U37 &amp;" where " &amp; IF(COUNTIF(#REF!,"IS_DESTROYED"),"IS_DESTROYED=0 and ","") &amp;#REF! &amp; "={pid}" &amp; "', " &amp; "'【"&amp; $V37 &amp;"】已使用此筆資料，故不可刪除!!'" &amp; ",'" &amp; SUBSTITUTE("{'zh_TW': '" &amp;  "【"&amp; $V37 &amp;"】已使用此筆資料，不可刪除!!"  &amp; "' ,'en_US': '" &amp;  "Have used this information, it can not be deleted !!" &amp; "'  ,'zh_CN': '" &amp; "【"&amp; $V37 &amp;"】已使用此筆資料，不可刪除!!" &amp; "' }", CHAR(39),CHAR(34))   &amp; "');","")</f>
        <v/>
      </c>
    </row>
    <row r="38" spans="24:24">
      <c r="X38" s="13" t="str">
        <f>IF($E38="Y","INSERT INTO `sys_table_relation` (`TABLE_NAME`, `CHILD_TABLE_NAME`, `SQL_QUERY`, `ERROR_DESC` ,`ERROR_DESC_JSON`) VALUES ('" &amp;$C38 &amp; "', '" &amp; $U38 &amp; "', '" &amp; "select count(*) from "&amp; $U38 &amp;" where " &amp; IF(COUNTIF(#REF!,"IS_DESTROYED"),"IS_DESTROYED=0 and ","") &amp;#REF! &amp; "={pid}" &amp; "', " &amp; "'【"&amp; $V38 &amp;"】已使用此筆資料，故不可刪除!!'" &amp; ",'" &amp; SUBSTITUTE("{'zh_TW': '" &amp;  "【"&amp; $V38 &amp;"】已使用此筆資料，不可刪除!!"  &amp; "' ,'en_US': '" &amp;  "Have used this information, it can not be deleted !!" &amp; "'  ,'zh_CN': '" &amp; "【"&amp; $V38 &amp;"】已使用此筆資料，不可刪除!!" &amp; "' }", CHAR(39),CHAR(34))   &amp; "');","")</f>
        <v/>
      </c>
    </row>
    <row r="39" spans="24:24">
      <c r="X39" s="13" t="str">
        <f>IF($E39="Y","INSERT INTO `sys_table_relation` (`TABLE_NAME`, `CHILD_TABLE_NAME`, `SQL_QUERY`, `ERROR_DESC` ,`ERROR_DESC_JSON`) VALUES ('" &amp;$C39 &amp; "', '" &amp; $U39 &amp; "', '" &amp; "select count(*) from "&amp; $U39 &amp;" where " &amp; IF(COUNTIF(#REF!,"IS_DESTROYED"),"IS_DESTROYED=0 and ","") &amp;#REF! &amp; "={pid}" &amp; "', " &amp; "'【"&amp; $V39 &amp;"】已使用此筆資料，故不可刪除!!'" &amp; ",'" &amp; SUBSTITUTE("{'zh_TW': '" &amp;  "【"&amp; $V39 &amp;"】已使用此筆資料，不可刪除!!"  &amp; "' ,'en_US': '" &amp;  "Have used this information, it can not be deleted !!" &amp; "'  ,'zh_CN': '" &amp; "【"&amp; $V39 &amp;"】已使用此筆資料，不可刪除!!" &amp; "' }", CHAR(39),CHAR(34))   &amp; "');","")</f>
        <v/>
      </c>
    </row>
    <row r="40" spans="24:24">
      <c r="X40" s="13" t="str">
        <f>IF($E40="Y","INSERT INTO `sys_table_relation` (`TABLE_NAME`, `CHILD_TABLE_NAME`, `SQL_QUERY`, `ERROR_DESC` ,`ERROR_DESC_JSON`) VALUES ('" &amp;$C40 &amp; "', '" &amp; $U40 &amp; "', '" &amp; "select count(*) from "&amp; $U40 &amp;" where " &amp; IF(COUNTIF(#REF!,"IS_DESTROYED"),"IS_DESTROYED=0 and ","") &amp;#REF! &amp; "={pid}" &amp; "', " &amp; "'【"&amp; $V40 &amp;"】已使用此筆資料，故不可刪除!!'" &amp; ",'" &amp; SUBSTITUTE("{'zh_TW': '" &amp;  "【"&amp; $V40 &amp;"】已使用此筆資料，不可刪除!!"  &amp; "' ,'en_US': '" &amp;  "Have used this information, it can not be deleted !!" &amp; "'  ,'zh_CN': '" &amp; "【"&amp; $V40 &amp;"】已使用此筆資料，不可刪除!!" &amp; "' }", CHAR(39),CHAR(34))   &amp; "');","")</f>
        <v/>
      </c>
    </row>
    <row r="41" spans="24:24">
      <c r="X41" s="13" t="str">
        <f>IF($E41="Y","INSERT INTO `sys_table_relation` (`TABLE_NAME`, `CHILD_TABLE_NAME`, `SQL_QUERY`, `ERROR_DESC` ,`ERROR_DESC_JSON`) VALUES ('" &amp;$C41 &amp; "', '" &amp; $U41 &amp; "', '" &amp; "select count(*) from "&amp; $U41 &amp;" where " &amp; IF(COUNTIF(#REF!,"IS_DESTROYED"),"IS_DESTROYED=0 and ","") &amp;#REF! &amp; "={pid}" &amp; "', " &amp; "'【"&amp; $V41 &amp;"】已使用此筆資料，故不可刪除!!'" &amp; ",'" &amp; SUBSTITUTE("{'zh_TW': '" &amp;  "【"&amp; $V41 &amp;"】已使用此筆資料，不可刪除!!"  &amp; "' ,'en_US': '" &amp;  "Have used this information, it can not be deleted !!" &amp; "'  ,'zh_CN': '" &amp; "【"&amp; $V41 &amp;"】已使用此筆資料，不可刪除!!" &amp; "' }", CHAR(39),CHAR(34))   &amp; "');","")</f>
        <v/>
      </c>
    </row>
    <row r="42" spans="24:24">
      <c r="X42" s="13" t="str">
        <f>IF($E42="Y","INSERT INTO `sys_table_relation` (`TABLE_NAME`, `CHILD_TABLE_NAME`, `SQL_QUERY`, `ERROR_DESC` ,`ERROR_DESC_JSON`) VALUES ('" &amp;$C42 &amp; "', '" &amp; $U42 &amp; "', '" &amp; "select count(*) from "&amp; $U42 &amp;" where " &amp; IF(COUNTIF(#REF!,"IS_DESTROYED"),"IS_DESTROYED=0 and ","") &amp;#REF! &amp; "={pid}" &amp; "', " &amp; "'【"&amp; $V42 &amp;"】已使用此筆資料，故不可刪除!!'" &amp; ",'" &amp; SUBSTITUTE("{'zh_TW': '" &amp;  "【"&amp; $V42 &amp;"】已使用此筆資料，不可刪除!!"  &amp; "' ,'en_US': '" &amp;  "Have used this information, it can not be deleted !!" &amp; "'  ,'zh_CN': '" &amp; "【"&amp; $V42 &amp;"】已使用此筆資料，不可刪除!!" &amp; "' }", CHAR(39),CHAR(34))   &amp; "');","")</f>
        <v/>
      </c>
    </row>
    <row r="43" spans="24:24">
      <c r="X43" s="13" t="str">
        <f>IF($E43="Y","INSERT INTO `sys_table_relation` (`TABLE_NAME`, `CHILD_TABLE_NAME`, `SQL_QUERY`, `ERROR_DESC` ,`ERROR_DESC_JSON`) VALUES ('" &amp;$C43 &amp; "', '" &amp; $U43 &amp; "', '" &amp; "select count(*) from "&amp; $U43 &amp;" where " &amp; IF(COUNTIF(#REF!,"IS_DESTROYED"),"IS_DESTROYED=0 and ","") &amp;#REF! &amp; "={pid}" &amp; "', " &amp; "'【"&amp; $V43 &amp;"】已使用此筆資料，故不可刪除!!'" &amp; ",'" &amp; SUBSTITUTE("{'zh_TW': '" &amp;  "【"&amp; $V43 &amp;"】已使用此筆資料，不可刪除!!"  &amp; "' ,'en_US': '" &amp;  "Have used this information, it can not be deleted !!" &amp; "'  ,'zh_CN': '" &amp; "【"&amp; $V43 &amp;"】已使用此筆資料，不可刪除!!" &amp; "' }", CHAR(39),CHAR(34))   &amp; "');","")</f>
        <v/>
      </c>
    </row>
    <row r="44" spans="24:24">
      <c r="X44" s="13" t="str">
        <f>IF($E44="Y","INSERT INTO `sys_table_relation` (`TABLE_NAME`, `CHILD_TABLE_NAME`, `SQL_QUERY`, `ERROR_DESC` ,`ERROR_DESC_JSON`) VALUES ('" &amp;$C44 &amp; "', '" &amp; $U44 &amp; "', '" &amp; "select count(*) from "&amp; $U44 &amp;" where " &amp; IF(COUNTIF(#REF!,"IS_DESTROYED"),"IS_DESTROYED=0 and ","") &amp;#REF! &amp; "={pid}" &amp; "', " &amp; "'【"&amp; $V44 &amp;"】已使用此筆資料，故不可刪除!!'" &amp; ",'" &amp; SUBSTITUTE("{'zh_TW': '" &amp;  "【"&amp; $V44 &amp;"】已使用此筆資料，不可刪除!!"  &amp; "' ,'en_US': '" &amp;  "Have used this information, it can not be deleted !!" &amp; "'  ,'zh_CN': '" &amp; "【"&amp; $V44 &amp;"】已使用此筆資料，不可刪除!!" &amp; "' }", CHAR(39),CHAR(34))   &amp; "');","")</f>
        <v/>
      </c>
    </row>
    <row r="45" spans="24:24">
      <c r="X45" s="13" t="str">
        <f>IF($E45="Y","INSERT INTO `sys_table_relation` (`TABLE_NAME`, `CHILD_TABLE_NAME`, `SQL_QUERY`, `ERROR_DESC` ,`ERROR_DESC_JSON`) VALUES ('" &amp;$C45 &amp; "', '" &amp; $U45 &amp; "', '" &amp; "select count(*) from "&amp; $U45 &amp;" where " &amp; IF(COUNTIF(#REF!,"IS_DESTROYED"),"IS_DESTROYED=0 and ","") &amp;#REF! &amp; "={pid}" &amp; "', " &amp; "'【"&amp; $V45 &amp;"】已使用此筆資料，故不可刪除!!'" &amp; ",'" &amp; SUBSTITUTE("{'zh_TW': '" &amp;  "【"&amp; $V45 &amp;"】已使用此筆資料，不可刪除!!"  &amp; "' ,'en_US': '" &amp;  "Have used this information, it can not be deleted !!" &amp; "'  ,'zh_CN': '" &amp; "【"&amp; $V45 &amp;"】已使用此筆資料，不可刪除!!" &amp; "' }", CHAR(39),CHAR(34))   &amp; "');","")</f>
        <v/>
      </c>
    </row>
    <row r="46" spans="24:24">
      <c r="X46" s="13" t="str">
        <f>IF($E46="Y","INSERT INTO `sys_table_relation` (`TABLE_NAME`, `CHILD_TABLE_NAME`, `SQL_QUERY`, `ERROR_DESC` ,`ERROR_DESC_JSON`) VALUES ('" &amp;$C46 &amp; "', '" &amp; $U46 &amp; "', '" &amp; "select count(*) from "&amp; $U46 &amp;" where " &amp; IF(COUNTIF(#REF!,"IS_DESTROYED"),"IS_DESTROYED=0 and ","") &amp;#REF! &amp; "={pid}" &amp; "', " &amp; "'【"&amp; $V46 &amp;"】已使用此筆資料，故不可刪除!!'" &amp; ",'" &amp; SUBSTITUTE("{'zh_TW': '" &amp;  "【"&amp; $V46 &amp;"】已使用此筆資料，不可刪除!!"  &amp; "' ,'en_US': '" &amp;  "Have used this information, it can not be deleted !!" &amp; "'  ,'zh_CN': '" &amp; "【"&amp; $V46 &amp;"】已使用此筆資料，不可刪除!!" &amp; "' }", CHAR(39),CHAR(34))   &amp; "');","")</f>
        <v/>
      </c>
    </row>
    <row r="47" spans="24:24">
      <c r="X47" s="13" t="str">
        <f>IF($E47="Y","INSERT INTO `sys_table_relation` (`TABLE_NAME`, `CHILD_TABLE_NAME`, `SQL_QUERY`, `ERROR_DESC` ,`ERROR_DESC_JSON`) VALUES ('" &amp;$C47 &amp; "', '" &amp; $U47 &amp; "', '" &amp; "select count(*) from "&amp; $U47 &amp;" where " &amp; IF(COUNTIF(#REF!,"IS_DESTROYED"),"IS_DESTROYED=0 and ","") &amp;#REF! &amp; "={pid}" &amp; "', " &amp; "'【"&amp; $V47 &amp;"】已使用此筆資料，故不可刪除!!'" &amp; ",'" &amp; SUBSTITUTE("{'zh_TW': '" &amp;  "【"&amp; $V47 &amp;"】已使用此筆資料，不可刪除!!"  &amp; "' ,'en_US': '" &amp;  "Have used this information, it can not be deleted !!" &amp; "'  ,'zh_CN': '" &amp; "【"&amp; $V47 &amp;"】已使用此筆資料，不可刪除!!" &amp; "' }", CHAR(39),CHAR(34))   &amp; "');","")</f>
        <v/>
      </c>
    </row>
    <row r="48" spans="24:24">
      <c r="X48" s="13" t="str">
        <f>IF($E48="Y","INSERT INTO `sys_table_relation` (`TABLE_NAME`, `CHILD_TABLE_NAME`, `SQL_QUERY`, `ERROR_DESC` ,`ERROR_DESC_JSON`) VALUES ('" &amp;$C48 &amp; "', '" &amp; $U48 &amp; "', '" &amp; "select count(*) from "&amp; $U48 &amp;" where " &amp; IF(COUNTIF(#REF!,"IS_DESTROYED"),"IS_DESTROYED=0 and ","") &amp;#REF! &amp; "={pid}" &amp; "', " &amp; "'【"&amp; $V48 &amp;"】已使用此筆資料，故不可刪除!!'" &amp; ",'" &amp; SUBSTITUTE("{'zh_TW': '" &amp;  "【"&amp; $V48 &amp;"】已使用此筆資料，不可刪除!!"  &amp; "' ,'en_US': '" &amp;  "Have used this information, it can not be deleted !!" &amp; "'  ,'zh_CN': '" &amp; "【"&amp; $V48 &amp;"】已使用此筆資料，不可刪除!!" &amp; "' }", CHAR(39),CHAR(34))   &amp; "');","")</f>
        <v/>
      </c>
    </row>
    <row r="49" spans="24:24">
      <c r="X49" s="13" t="str">
        <f>IF($E49="Y","INSERT INTO `sys_table_relation` (`TABLE_NAME`, `CHILD_TABLE_NAME`, `SQL_QUERY`, `ERROR_DESC` ,`ERROR_DESC_JSON`) VALUES ('" &amp;$C49 &amp; "', '" &amp; $U49 &amp; "', '" &amp; "select count(*) from "&amp; $U49 &amp;" where " &amp; IF(COUNTIF(#REF!,"IS_DESTROYED"),"IS_DESTROYED=0 and ","") &amp;#REF! &amp; "={pid}" &amp; "', " &amp; "'【"&amp; $V49 &amp;"】已使用此筆資料，故不可刪除!!'" &amp; ",'" &amp; SUBSTITUTE("{'zh_TW': '" &amp;  "【"&amp; $V49 &amp;"】已使用此筆資料，不可刪除!!"  &amp; "' ,'en_US': '" &amp;  "Have used this information, it can not be deleted !!" &amp; "'  ,'zh_CN': '" &amp; "【"&amp; $V49 &amp;"】已使用此筆資料，不可刪除!!" &amp; "' }", CHAR(39),CHAR(34))   &amp; "');","")</f>
        <v/>
      </c>
    </row>
    <row r="50" spans="24:24">
      <c r="X50" s="13" t="str">
        <f>IF($E50="Y","INSERT INTO `sys_table_relation` (`TABLE_NAME`, `CHILD_TABLE_NAME`, `SQL_QUERY`, `ERROR_DESC` ,`ERROR_DESC_JSON`) VALUES ('" &amp;$C50 &amp; "', '" &amp; $U50 &amp; "', '" &amp; "select count(*) from "&amp; $U50 &amp;" where " &amp; IF(COUNTIF(#REF!,"IS_DESTROYED"),"IS_DESTROYED=0 and ","") &amp;#REF! &amp; "={pid}" &amp; "', " &amp; "'【"&amp; $V50 &amp;"】已使用此筆資料，故不可刪除!!'" &amp; ",'" &amp; SUBSTITUTE("{'zh_TW': '" &amp;  "【"&amp; $V50 &amp;"】已使用此筆資料，不可刪除!!"  &amp; "' ,'en_US': '" &amp;  "Have used this information, it can not be deleted !!" &amp; "'  ,'zh_CN': '" &amp; "【"&amp; $V50 &amp;"】已使用此筆資料，不可刪除!!" &amp; "' }", CHAR(39),CHAR(34))   &amp; "');","")</f>
        <v/>
      </c>
    </row>
    <row r="51" spans="24:24">
      <c r="X51" s="13" t="str">
        <f>IF($E51="Y","INSERT INTO `sys_table_relation` (`TABLE_NAME`, `CHILD_TABLE_NAME`, `SQL_QUERY`, `ERROR_DESC` ,`ERROR_DESC_JSON`) VALUES ('" &amp;$C51 &amp; "', '" &amp; $U51 &amp; "', '" &amp; "select count(*) from "&amp; $U51 &amp;" where " &amp; IF(COUNTIF(#REF!,"IS_DESTROYED"),"IS_DESTROYED=0 and ","") &amp;#REF! &amp; "={pid}" &amp; "', " &amp; "'【"&amp; $V51 &amp;"】已使用此筆資料，故不可刪除!!'" &amp; ",'" &amp; SUBSTITUTE("{'zh_TW': '" &amp;  "【"&amp; $V51 &amp;"】已使用此筆資料，不可刪除!!"  &amp; "' ,'en_US': '" &amp;  "Have used this information, it can not be deleted !!" &amp; "'  ,'zh_CN': '" &amp; "【"&amp; $V51 &amp;"】已使用此筆資料，不可刪除!!" &amp; "' }", CHAR(39),CHAR(34))   &amp; "');","")</f>
        <v/>
      </c>
    </row>
    <row r="52" spans="24:24">
      <c r="X52" s="13" t="str">
        <f>IF($E52="Y","INSERT INTO `sys_table_relation` (`TABLE_NAME`, `CHILD_TABLE_NAME`, `SQL_QUERY`, `ERROR_DESC` ,`ERROR_DESC_JSON`) VALUES ('" &amp;$C52 &amp; "', '" &amp; $U52 &amp; "', '" &amp; "select count(*) from "&amp; $U52 &amp;" where " &amp; IF(COUNTIF(#REF!,"IS_DESTROYED"),"IS_DESTROYED=0 and ","") &amp;#REF! &amp; "={pid}" &amp; "', " &amp; "'【"&amp; $V52 &amp;"】已使用此筆資料，故不可刪除!!'" &amp; ",'" &amp; SUBSTITUTE("{'zh_TW': '" &amp;  "【"&amp; $V52 &amp;"】已使用此筆資料，不可刪除!!"  &amp; "' ,'en_US': '" &amp;  "Have used this information, it can not be deleted !!" &amp; "'  ,'zh_CN': '" &amp; "【"&amp; $V52 &amp;"】已使用此筆資料，不可刪除!!" &amp; "' }", CHAR(39),CHAR(34))   &amp; "');","")</f>
        <v/>
      </c>
    </row>
    <row r="53" spans="24:24">
      <c r="X53" s="13" t="str">
        <f>IF($E53="Y","INSERT INTO `sys_table_relation` (`TABLE_NAME`, `CHILD_TABLE_NAME`, `SQL_QUERY`, `ERROR_DESC` ,`ERROR_DESC_JSON`) VALUES ('" &amp;$C53 &amp; "', '" &amp; $U53 &amp; "', '" &amp; "select count(*) from "&amp; $U53 &amp;" where " &amp; IF(COUNTIF(#REF!,"IS_DESTROYED"),"IS_DESTROYED=0 and ","") &amp;#REF! &amp; "={pid}" &amp; "', " &amp; "'【"&amp; $V53 &amp;"】已使用此筆資料，故不可刪除!!'" &amp; ",'" &amp; SUBSTITUTE("{'zh_TW': '" &amp;  "【"&amp; $V53 &amp;"】已使用此筆資料，不可刪除!!"  &amp; "' ,'en_US': '" &amp;  "Have used this information, it can not be deleted !!" &amp; "'  ,'zh_CN': '" &amp; "【"&amp; $V53 &amp;"】已使用此筆資料，不可刪除!!" &amp; "' }", CHAR(39),CHAR(34))   &amp; "');","")</f>
        <v/>
      </c>
    </row>
    <row r="54" spans="24:24">
      <c r="X54" s="13" t="str">
        <f>IF($E54="Y","INSERT INTO `sys_table_relation` (`TABLE_NAME`, `CHILD_TABLE_NAME`, `SQL_QUERY`, `ERROR_DESC` ,`ERROR_DESC_JSON`) VALUES ('" &amp;$C54 &amp; "', '" &amp; $U54 &amp; "', '" &amp; "select count(*) from "&amp; $U54 &amp;" where " &amp; IF(COUNTIF(#REF!,"IS_DESTROYED"),"IS_DESTROYED=0 and ","") &amp;#REF! &amp; "={pid}" &amp; "', " &amp; "'【"&amp; $V54 &amp;"】已使用此筆資料，故不可刪除!!'" &amp; ",'" &amp; SUBSTITUTE("{'zh_TW': '" &amp;  "【"&amp; $V54 &amp;"】已使用此筆資料，不可刪除!!"  &amp; "' ,'en_US': '" &amp;  "Have used this information, it can not be deleted !!" &amp; "'  ,'zh_CN': '" &amp; "【"&amp; $V54 &amp;"】已使用此筆資料，不可刪除!!" &amp; "' }", CHAR(39),CHAR(34))   &amp; "');","")</f>
        <v/>
      </c>
    </row>
    <row r="55" spans="24:24">
      <c r="X55" s="13" t="str">
        <f>IF($E55="Y","INSERT INTO `sys_table_relation` (`TABLE_NAME`, `CHILD_TABLE_NAME`, `SQL_QUERY`, `ERROR_DESC` ,`ERROR_DESC_JSON`) VALUES ('" &amp;$C55 &amp; "', '" &amp; $U55 &amp; "', '" &amp; "select count(*) from "&amp; $U55 &amp;" where " &amp; IF(COUNTIF(#REF!,"IS_DESTROYED"),"IS_DESTROYED=0 and ","") &amp;#REF! &amp; "={pid}" &amp; "', " &amp; "'【"&amp; $V55 &amp;"】已使用此筆資料，故不可刪除!!'" &amp; ",'" &amp; SUBSTITUTE("{'zh_TW': '" &amp;  "【"&amp; $V55 &amp;"】已使用此筆資料，不可刪除!!"  &amp; "' ,'en_US': '" &amp;  "Have used this information, it can not be deleted !!" &amp; "'  ,'zh_CN': '" &amp; "【"&amp; $V55 &amp;"】已使用此筆資料，不可刪除!!" &amp; "' }", CHAR(39),CHAR(34))   &amp; "');","")</f>
        <v/>
      </c>
    </row>
    <row r="56" spans="24:24">
      <c r="X56" s="13" t="str">
        <f>IF($E56="Y","INSERT INTO `sys_table_relation` (`TABLE_NAME`, `CHILD_TABLE_NAME`, `SQL_QUERY`, `ERROR_DESC` ,`ERROR_DESC_JSON`) VALUES ('" &amp;$C56 &amp; "', '" &amp; $U56 &amp; "', '" &amp; "select count(*) from "&amp; $U56 &amp;" where " &amp; IF(COUNTIF(#REF!,"IS_DESTROYED"),"IS_DESTROYED=0 and ","") &amp;#REF! &amp; "={pid}" &amp; "', " &amp; "'【"&amp; $V56 &amp;"】已使用此筆資料，故不可刪除!!'" &amp; ",'" &amp; SUBSTITUTE("{'zh_TW': '" &amp;  "【"&amp; $V56 &amp;"】已使用此筆資料，不可刪除!!"  &amp; "' ,'en_US': '" &amp;  "Have used this information, it can not be deleted !!" &amp; "'  ,'zh_CN': '" &amp; "【"&amp; $V56 &amp;"】已使用此筆資料，不可刪除!!" &amp; "' }", CHAR(39),CHAR(34))   &amp; "');","")</f>
        <v/>
      </c>
    </row>
    <row r="57" spans="24:24">
      <c r="X57" s="13" t="str">
        <f>IF($E57="Y","INSERT INTO `sys_table_relation` (`TABLE_NAME`, `CHILD_TABLE_NAME`, `SQL_QUERY`, `ERROR_DESC` ,`ERROR_DESC_JSON`) VALUES ('" &amp;$C57 &amp; "', '" &amp; $U57 &amp; "', '" &amp; "select count(*) from "&amp; $U57 &amp;" where " &amp; IF(COUNTIF(#REF!,"IS_DESTROYED"),"IS_DESTROYED=0 and ","") &amp;#REF! &amp; "={pid}" &amp; "', " &amp; "'【"&amp; $V57 &amp;"】已使用此筆資料，故不可刪除!!'" &amp; ",'" &amp; SUBSTITUTE("{'zh_TW': '" &amp;  "【"&amp; $V57 &amp;"】已使用此筆資料，不可刪除!!"  &amp; "' ,'en_US': '" &amp;  "Have used this information, it can not be deleted !!" &amp; "'  ,'zh_CN': '" &amp; "【"&amp; $V57 &amp;"】已使用此筆資料，不可刪除!!" &amp; "' }", CHAR(39),CHAR(34))   &amp; "');","")</f>
        <v/>
      </c>
    </row>
    <row r="58" spans="24:24">
      <c r="X58" s="13" t="str">
        <f>IF($E58="Y","INSERT INTO `sys_table_relation` (`TABLE_NAME`, `CHILD_TABLE_NAME`, `SQL_QUERY`, `ERROR_DESC` ,`ERROR_DESC_JSON`) VALUES ('" &amp;$C58 &amp; "', '" &amp; $U58 &amp; "', '" &amp; "select count(*) from "&amp; $U58 &amp;" where " &amp; IF(COUNTIF(#REF!,"IS_DESTROYED"),"IS_DESTROYED=0 and ","") &amp;#REF! &amp; "={pid}" &amp; "', " &amp; "'【"&amp; $V58 &amp;"】已使用此筆資料，故不可刪除!!'" &amp; ",'" &amp; SUBSTITUTE("{'zh_TW': '" &amp;  "【"&amp; $V58 &amp;"】已使用此筆資料，不可刪除!!"  &amp; "' ,'en_US': '" &amp;  "Have used this information, it can not be deleted !!" &amp; "'  ,'zh_CN': '" &amp; "【"&amp; $V58 &amp;"】已使用此筆資料，不可刪除!!" &amp; "' }", CHAR(39),CHAR(34))   &amp; "');","")</f>
        <v/>
      </c>
    </row>
    <row r="59" spans="24:24">
      <c r="X59" s="13" t="str">
        <f>IF($E59="Y","INSERT INTO `sys_table_relation` (`TABLE_NAME`, `CHILD_TABLE_NAME`, `SQL_QUERY`, `ERROR_DESC` ,`ERROR_DESC_JSON`) VALUES ('" &amp;$C59 &amp; "', '" &amp; $U59 &amp; "', '" &amp; "select count(*) from "&amp; $U59 &amp;" where " &amp; IF(COUNTIF(#REF!,"IS_DESTROYED"),"IS_DESTROYED=0 and ","") &amp;#REF! &amp; "={pid}" &amp; "', " &amp; "'【"&amp; $V59 &amp;"】已使用此筆資料，故不可刪除!!'" &amp; ",'" &amp; SUBSTITUTE("{'zh_TW': '" &amp;  "【"&amp; $V59 &amp;"】已使用此筆資料，不可刪除!!"  &amp; "' ,'en_US': '" &amp;  "Have used this information, it can not be deleted !!" &amp; "'  ,'zh_CN': '" &amp; "【"&amp; $V59 &amp;"】已使用此筆資料，不可刪除!!" &amp; "' }", CHAR(39),CHAR(34))   &amp; "');","")</f>
        <v/>
      </c>
    </row>
    <row r="60" spans="24:24">
      <c r="X60" s="13" t="str">
        <f>IF($E60="Y","INSERT INTO `sys_table_relation` (`TABLE_NAME`, `CHILD_TABLE_NAME`, `SQL_QUERY`, `ERROR_DESC` ,`ERROR_DESC_JSON`) VALUES ('" &amp;$C60 &amp; "', '" &amp; $U60 &amp; "', '" &amp; "select count(*) from "&amp; $U60 &amp;" where " &amp; IF(COUNTIF(#REF!,"IS_DESTROYED"),"IS_DESTROYED=0 and ","") &amp;#REF! &amp; "={pid}" &amp; "', " &amp; "'【"&amp; $V60 &amp;"】已使用此筆資料，故不可刪除!!'" &amp; ",'" &amp; SUBSTITUTE("{'zh_TW': '" &amp;  "【"&amp; $V60 &amp;"】已使用此筆資料，不可刪除!!"  &amp; "' ,'en_US': '" &amp;  "Have used this information, it can not be deleted !!" &amp; "'  ,'zh_CN': '" &amp; "【"&amp; $V60 &amp;"】已使用此筆資料，不可刪除!!" &amp; "' }", CHAR(39),CHAR(34))   &amp; "');","")</f>
        <v/>
      </c>
    </row>
    <row r="61" spans="24:24">
      <c r="X61" s="13" t="str">
        <f>IF($E61="Y","INSERT INTO `sys_table_relation` (`TABLE_NAME`, `CHILD_TABLE_NAME`, `SQL_QUERY`, `ERROR_DESC` ,`ERROR_DESC_JSON`) VALUES ('" &amp;$C61 &amp; "', '" &amp; $U61 &amp; "', '" &amp; "select count(*) from "&amp; $U61 &amp;" where " &amp; IF(COUNTIF(#REF!,"IS_DESTROYED"),"IS_DESTROYED=0 and ","") &amp;#REF! &amp; "={pid}" &amp; "', " &amp; "'【"&amp; $V61 &amp;"】已使用此筆資料，故不可刪除!!'" &amp; ",'" &amp; SUBSTITUTE("{'zh_TW': '" &amp;  "【"&amp; $V61 &amp;"】已使用此筆資料，不可刪除!!"  &amp; "' ,'en_US': '" &amp;  "Have used this information, it can not be deleted !!" &amp; "'  ,'zh_CN': '" &amp; "【"&amp; $V61 &amp;"】已使用此筆資料，不可刪除!!" &amp; "' }", CHAR(39),CHAR(34))   &amp; "');","")</f>
        <v/>
      </c>
    </row>
    <row r="62" spans="24:24">
      <c r="X62" s="13" t="str">
        <f>IF($E62="Y","INSERT INTO `sys_table_relation` (`TABLE_NAME`, `CHILD_TABLE_NAME`, `SQL_QUERY`, `ERROR_DESC` ,`ERROR_DESC_JSON`) VALUES ('" &amp;$C62 &amp; "', '" &amp; $U62 &amp; "', '" &amp; "select count(*) from "&amp; $U62 &amp;" where " &amp; IF(COUNTIF(#REF!,"IS_DESTROYED"),"IS_DESTROYED=0 and ","") &amp;#REF! &amp; "={pid}" &amp; "', " &amp; "'【"&amp; $V62 &amp;"】已使用此筆資料，故不可刪除!!'" &amp; ",'" &amp; SUBSTITUTE("{'zh_TW': '" &amp;  "【"&amp; $V62 &amp;"】已使用此筆資料，不可刪除!!"  &amp; "' ,'en_US': '" &amp;  "Have used this information, it can not be deleted !!" &amp; "'  ,'zh_CN': '" &amp; "【"&amp; $V62 &amp;"】已使用此筆資料，不可刪除!!" &amp; "' }", CHAR(39),CHAR(34))   &amp; "');","")</f>
        <v/>
      </c>
    </row>
    <row r="63" spans="24:24">
      <c r="X63" s="13" t="str">
        <f>IF($E63="Y","INSERT INTO `sys_table_relation` (`TABLE_NAME`, `CHILD_TABLE_NAME`, `SQL_QUERY`, `ERROR_DESC` ,`ERROR_DESC_JSON`) VALUES ('" &amp;$C63 &amp; "', '" &amp; $U63 &amp; "', '" &amp; "select count(*) from "&amp; $U63 &amp;" where " &amp; IF(COUNTIF(#REF!,"IS_DESTROYED"),"IS_DESTROYED=0 and ","") &amp;#REF! &amp; "={pid}" &amp; "', " &amp; "'【"&amp; $V63 &amp;"】已使用此筆資料，故不可刪除!!'" &amp; ",'" &amp; SUBSTITUTE("{'zh_TW': '" &amp;  "【"&amp; $V63 &amp;"】已使用此筆資料，不可刪除!!"  &amp; "' ,'en_US': '" &amp;  "Have used this information, it can not be deleted !!" &amp; "'  ,'zh_CN': '" &amp; "【"&amp; $V63 &amp;"】已使用此筆資料，不可刪除!!" &amp; "' }", CHAR(39),CHAR(34))   &amp; "');","")</f>
        <v/>
      </c>
    </row>
    <row r="64" spans="24:24">
      <c r="X64" s="13" t="str">
        <f>IF($E64="Y","INSERT INTO `sys_table_relation` (`TABLE_NAME`, `CHILD_TABLE_NAME`, `SQL_QUERY`, `ERROR_DESC` ,`ERROR_DESC_JSON`) VALUES ('" &amp;$C64 &amp; "', '" &amp; $U64 &amp; "', '" &amp; "select count(*) from "&amp; $U64 &amp;" where " &amp; IF(COUNTIF(#REF!,"IS_DESTROYED"),"IS_DESTROYED=0 and ","") &amp;#REF! &amp; "={pid}" &amp; "', " &amp; "'【"&amp; $V64 &amp;"】已使用此筆資料，故不可刪除!!'" &amp; ",'" &amp; SUBSTITUTE("{'zh_TW': '" &amp;  "【"&amp; $V64 &amp;"】已使用此筆資料，不可刪除!!"  &amp; "' ,'en_US': '" &amp;  "Have used this information, it can not be deleted !!" &amp; "'  ,'zh_CN': '" &amp; "【"&amp; $V64 &amp;"】已使用此筆資料，不可刪除!!" &amp; "' }", CHAR(39),CHAR(34))   &amp; "');","")</f>
        <v/>
      </c>
    </row>
    <row r="65" spans="24:24">
      <c r="X65" s="13" t="str">
        <f>IF($E65="Y","INSERT INTO `sys_table_relation` (`TABLE_NAME`, `CHILD_TABLE_NAME`, `SQL_QUERY`, `ERROR_DESC` ,`ERROR_DESC_JSON`) VALUES ('" &amp;$C65 &amp; "', '" &amp; $U65 &amp; "', '" &amp; "select count(*) from "&amp; $U65 &amp;" where " &amp; IF(COUNTIF(#REF!,"IS_DESTROYED"),"IS_DESTROYED=0 and ","") &amp;#REF! &amp; "={pid}" &amp; "', " &amp; "'【"&amp; $V65 &amp;"】已使用此筆資料，故不可刪除!!'" &amp; ",'" &amp; SUBSTITUTE("{'zh_TW': '" &amp;  "【"&amp; $V65 &amp;"】已使用此筆資料，不可刪除!!"  &amp; "' ,'en_US': '" &amp;  "Have used this information, it can not be deleted !!" &amp; "'  ,'zh_CN': '" &amp; "【"&amp; $V65 &amp;"】已使用此筆資料，不可刪除!!" &amp; "' }", CHAR(39),CHAR(34))   &amp; "');","")</f>
        <v/>
      </c>
    </row>
    <row r="66" spans="24:24">
      <c r="X66" s="13" t="str">
        <f>IF($E66="Y","INSERT INTO `sys_table_relation` (`TABLE_NAME`, `CHILD_TABLE_NAME`, `SQL_QUERY`, `ERROR_DESC` ,`ERROR_DESC_JSON`) VALUES ('" &amp;$C66 &amp; "', '" &amp; $U66 &amp; "', '" &amp; "select count(*) from "&amp; $U66 &amp;" where " &amp; IF(COUNTIF(#REF!,"IS_DESTROYED"),"IS_DESTROYED=0 and ","") &amp;#REF! &amp; "={pid}" &amp; "', " &amp; "'【"&amp; $V66 &amp;"】已使用此筆資料，故不可刪除!!'" &amp; ",'" &amp; SUBSTITUTE("{'zh_TW': '" &amp;  "【"&amp; $V66 &amp;"】已使用此筆資料，不可刪除!!"  &amp; "' ,'en_US': '" &amp;  "Have used this information, it can not be deleted !!" &amp; "'  ,'zh_CN': '" &amp; "【"&amp; $V66 &amp;"】已使用此筆資料，不可刪除!!" &amp; "' }", CHAR(39),CHAR(34))   &amp; "');","")</f>
        <v/>
      </c>
    </row>
    <row r="67" spans="24:24">
      <c r="X67" s="13" t="str">
        <f>IF($E67="Y","INSERT INTO `sys_table_relation` (`TABLE_NAME`, `CHILD_TABLE_NAME`, `SQL_QUERY`, `ERROR_DESC` ,`ERROR_DESC_JSON`) VALUES ('" &amp;$C67 &amp; "', '" &amp; $U67 &amp; "', '" &amp; "select count(*) from "&amp; $U67 &amp;" where " &amp; IF(COUNTIF(#REF!,"IS_DESTROYED"),"IS_DESTROYED=0 and ","") &amp;#REF! &amp; "={pid}" &amp; "', " &amp; "'【"&amp; $V67 &amp;"】已使用此筆資料，故不可刪除!!'" &amp; ",'" &amp; SUBSTITUTE("{'zh_TW': '" &amp;  "【"&amp; $V67 &amp;"】已使用此筆資料，不可刪除!!"  &amp; "' ,'en_US': '" &amp;  "Have used this information, it can not be deleted !!" &amp; "'  ,'zh_CN': '" &amp; "【"&amp; $V67 &amp;"】已使用此筆資料，不可刪除!!" &amp; "' }", CHAR(39),CHAR(34))   &amp; "');","")</f>
        <v/>
      </c>
    </row>
    <row r="68" spans="24:24">
      <c r="X68" s="13" t="str">
        <f>IF($E68="Y","INSERT INTO `sys_table_relation` (`TABLE_NAME`, `CHILD_TABLE_NAME`, `SQL_QUERY`, `ERROR_DESC` ,`ERROR_DESC_JSON`) VALUES ('" &amp;$C68 &amp; "', '" &amp; $U68 &amp; "', '" &amp; "select count(*) from "&amp; $U68 &amp;" where " &amp; IF(COUNTIF(#REF!,"IS_DESTROYED"),"IS_DESTROYED=0 and ","") &amp;#REF! &amp; "={pid}" &amp; "', " &amp; "'【"&amp; $V68 &amp;"】已使用此筆資料，故不可刪除!!'" &amp; ",'" &amp; SUBSTITUTE("{'zh_TW': '" &amp;  "【"&amp; $V68 &amp;"】已使用此筆資料，不可刪除!!"  &amp; "' ,'en_US': '" &amp;  "Have used this information, it can not be deleted !!" &amp; "'  ,'zh_CN': '" &amp; "【"&amp; $V68 &amp;"】已使用此筆資料，不可刪除!!" &amp; "' }", CHAR(39),CHAR(34))   &amp; "');","")</f>
        <v/>
      </c>
    </row>
    <row r="69" spans="24:24">
      <c r="X69" s="13" t="str">
        <f>IF($E69="Y","INSERT INTO `sys_table_relation` (`TABLE_NAME`, `CHILD_TABLE_NAME`, `SQL_QUERY`, `ERROR_DESC` ,`ERROR_DESC_JSON`) VALUES ('" &amp;$C69 &amp; "', '" &amp; $U69 &amp; "', '" &amp; "select count(*) from "&amp; $U69 &amp;" where " &amp; IF(COUNTIF(#REF!,"IS_DESTROYED"),"IS_DESTROYED=0 and ","") &amp;#REF! &amp; "={pid}" &amp; "', " &amp; "'【"&amp; $V69 &amp;"】已使用此筆資料，故不可刪除!!'" &amp; ",'" &amp; SUBSTITUTE("{'zh_TW': '" &amp;  "【"&amp; $V69 &amp;"】已使用此筆資料，不可刪除!!"  &amp; "' ,'en_US': '" &amp;  "Have used this information, it can not be deleted !!" &amp; "'  ,'zh_CN': '" &amp; "【"&amp; $V69 &amp;"】已使用此筆資料，不可刪除!!" &amp; "' }", CHAR(39),CHAR(34))   &amp; "');","")</f>
        <v/>
      </c>
    </row>
    <row r="70" spans="24:24">
      <c r="X70" s="13" t="str">
        <f>IF($E70="Y","INSERT INTO `sys_table_relation` (`TABLE_NAME`, `CHILD_TABLE_NAME`, `SQL_QUERY`, `ERROR_DESC` ,`ERROR_DESC_JSON`) VALUES ('" &amp;$C70 &amp; "', '" &amp; $U70 &amp; "', '" &amp; "select count(*) from "&amp; $U70 &amp;" where " &amp; IF(COUNTIF(#REF!,"IS_DESTROYED"),"IS_DESTROYED=0 and ","") &amp;#REF! &amp; "={pid}" &amp; "', " &amp; "'【"&amp; $V70 &amp;"】已使用此筆資料，故不可刪除!!'" &amp; ",'" &amp; SUBSTITUTE("{'zh_TW': '" &amp;  "【"&amp; $V70 &amp;"】已使用此筆資料，不可刪除!!"  &amp; "' ,'en_US': '" &amp;  "Have used this information, it can not be deleted !!" &amp; "'  ,'zh_CN': '" &amp; "【"&amp; $V70 &amp;"】已使用此筆資料，不可刪除!!" &amp; "' }", CHAR(39),CHAR(34))   &amp; "');","")</f>
        <v/>
      </c>
    </row>
    <row r="71" spans="24:24">
      <c r="X71" s="13" t="str">
        <f>IF($E71="Y","INSERT INTO `sys_table_relation` (`TABLE_NAME`, `CHILD_TABLE_NAME`, `SQL_QUERY`, `ERROR_DESC` ,`ERROR_DESC_JSON`) VALUES ('" &amp;$C71 &amp; "', '" &amp; $U71 &amp; "', '" &amp; "select count(*) from "&amp; $U71 &amp;" where " &amp; IF(COUNTIF(#REF!,"IS_DESTROYED"),"IS_DESTROYED=0 and ","") &amp;#REF! &amp; "={pid}" &amp; "', " &amp; "'【"&amp; $V71 &amp;"】已使用此筆資料，故不可刪除!!'" &amp; ",'" &amp; SUBSTITUTE("{'zh_TW': '" &amp;  "【"&amp; $V71 &amp;"】已使用此筆資料，不可刪除!!"  &amp; "' ,'en_US': '" &amp;  "Have used this information, it can not be deleted !!" &amp; "'  ,'zh_CN': '" &amp; "【"&amp; $V71 &amp;"】已使用此筆資料，不可刪除!!" &amp; "' }", CHAR(39),CHAR(34))   &amp; "');","")</f>
        <v/>
      </c>
    </row>
    <row r="72" spans="24:24">
      <c r="X72" s="13" t="str">
        <f>IF($E72="Y","INSERT INTO `sys_table_relation` (`TABLE_NAME`, `CHILD_TABLE_NAME`, `SQL_QUERY`, `ERROR_DESC` ,`ERROR_DESC_JSON`) VALUES ('" &amp;$C72 &amp; "', '" &amp; $U72 &amp; "', '" &amp; "select count(*) from "&amp; $U72 &amp;" where " &amp; IF(COUNTIF(#REF!,"IS_DESTROYED"),"IS_DESTROYED=0 and ","") &amp;#REF! &amp; "={pid}" &amp; "', " &amp; "'【"&amp; $V72 &amp;"】已使用此筆資料，故不可刪除!!'" &amp; ",'" &amp; SUBSTITUTE("{'zh_TW': '" &amp;  "【"&amp; $V72 &amp;"】已使用此筆資料，不可刪除!!"  &amp; "' ,'en_US': '" &amp;  "Have used this information, it can not be deleted !!" &amp; "'  ,'zh_CN': '" &amp; "【"&amp; $V72 &amp;"】已使用此筆資料，不可刪除!!" &amp; "' }", CHAR(39),CHAR(34))   &amp; "');","")</f>
        <v/>
      </c>
    </row>
    <row r="73" spans="24:24">
      <c r="X73" s="13" t="str">
        <f>IF($E73="Y","INSERT INTO `sys_table_relation` (`TABLE_NAME`, `CHILD_TABLE_NAME`, `SQL_QUERY`, `ERROR_DESC` ,`ERROR_DESC_JSON`) VALUES ('" &amp;$C73 &amp; "', '" &amp; $U73 &amp; "', '" &amp; "select count(*) from "&amp; $U73 &amp;" where " &amp; IF(COUNTIF(#REF!,"IS_DESTROYED"),"IS_DESTROYED=0 and ","") &amp;#REF! &amp; "={pid}" &amp; "', " &amp; "'【"&amp; $V73 &amp;"】已使用此筆資料，故不可刪除!!'" &amp; ",'" &amp; SUBSTITUTE("{'zh_TW': '" &amp;  "【"&amp; $V73 &amp;"】已使用此筆資料，不可刪除!!"  &amp; "' ,'en_US': '" &amp;  "Have used this information, it can not be deleted !!" &amp; "'  ,'zh_CN': '" &amp; "【"&amp; $V73 &amp;"】已使用此筆資料，不可刪除!!" &amp; "' }", CHAR(39),CHAR(34))   &amp; "');","")</f>
        <v/>
      </c>
    </row>
    <row r="74" spans="24:24">
      <c r="X74" s="13" t="str">
        <f>IF($E74="Y","INSERT INTO `sys_table_relation` (`TABLE_NAME`, `CHILD_TABLE_NAME`, `SQL_QUERY`, `ERROR_DESC` ,`ERROR_DESC_JSON`) VALUES ('" &amp;$C74 &amp; "', '" &amp; $U74 &amp; "', '" &amp; "select count(*) from "&amp; $U74 &amp;" where " &amp; IF(COUNTIF(#REF!,"IS_DESTROYED"),"IS_DESTROYED=0 and ","") &amp;#REF! &amp; "={pid}" &amp; "', " &amp; "'【"&amp; $V74 &amp;"】已使用此筆資料，故不可刪除!!'" &amp; ",'" &amp; SUBSTITUTE("{'zh_TW': '" &amp;  "【"&amp; $V74 &amp;"】已使用此筆資料，不可刪除!!"  &amp; "' ,'en_US': '" &amp;  "Have used this information, it can not be deleted !!" &amp; "'  ,'zh_CN': '" &amp; "【"&amp; $V74 &amp;"】已使用此筆資料，不可刪除!!" &amp; "' }", CHAR(39),CHAR(34))   &amp; "');","")</f>
        <v/>
      </c>
    </row>
    <row r="75" spans="24:24">
      <c r="X75" s="13" t="str">
        <f>IF($E75="Y","INSERT INTO `sys_table_relation` (`TABLE_NAME`, `CHILD_TABLE_NAME`, `SQL_QUERY`, `ERROR_DESC` ,`ERROR_DESC_JSON`) VALUES ('" &amp;$C75 &amp; "', '" &amp; $U75 &amp; "', '" &amp; "select count(*) from "&amp; $U75 &amp;" where " &amp; IF(COUNTIF(#REF!,"IS_DESTROYED"),"IS_DESTROYED=0 and ","") &amp;#REF! &amp; "={pid}" &amp; "', " &amp; "'【"&amp; $V75 &amp;"】已使用此筆資料，故不可刪除!!'" &amp; ",'" &amp; SUBSTITUTE("{'zh_TW': '" &amp;  "【"&amp; $V75 &amp;"】已使用此筆資料，不可刪除!!"  &amp; "' ,'en_US': '" &amp;  "Have used this information, it can not be deleted !!" &amp; "'  ,'zh_CN': '" &amp; "【"&amp; $V75 &amp;"】已使用此筆資料，不可刪除!!" &amp; "' }", CHAR(39),CHAR(34))   &amp; "');","")</f>
        <v/>
      </c>
    </row>
    <row r="76" spans="24:24">
      <c r="X76" s="13" t="str">
        <f>IF($E76="Y","INSERT INTO `sys_table_relation` (`TABLE_NAME`, `CHILD_TABLE_NAME`, `SQL_QUERY`, `ERROR_DESC` ,`ERROR_DESC_JSON`) VALUES ('" &amp;$C76 &amp; "', '" &amp; $U76 &amp; "', '" &amp; "select count(*) from "&amp; $U76 &amp;" where " &amp; IF(COUNTIF(#REF!,"IS_DESTROYED"),"IS_DESTROYED=0 and ","") &amp;#REF! &amp; "={pid}" &amp; "', " &amp; "'【"&amp; $V76 &amp;"】已使用此筆資料，故不可刪除!!'" &amp; ",'" &amp; SUBSTITUTE("{'zh_TW': '" &amp;  "【"&amp; $V76 &amp;"】已使用此筆資料，不可刪除!!"  &amp; "' ,'en_US': '" &amp;  "Have used this information, it can not be deleted !!" &amp; "'  ,'zh_CN': '" &amp; "【"&amp; $V76 &amp;"】已使用此筆資料，不可刪除!!" &amp; "' }", CHAR(39),CHAR(34))   &amp; "');","")</f>
        <v/>
      </c>
    </row>
    <row r="77" spans="24:24">
      <c r="X77" s="13" t="str">
        <f>IF($E77="Y","INSERT INTO `sys_table_relation` (`TABLE_NAME`, `CHILD_TABLE_NAME`, `SQL_QUERY`, `ERROR_DESC` ,`ERROR_DESC_JSON`) VALUES ('" &amp;$C77 &amp; "', '" &amp; $U77 &amp; "', '" &amp; "select count(*) from "&amp; $U77 &amp;" where " &amp; IF(COUNTIF(#REF!,"IS_DESTROYED"),"IS_DESTROYED=0 and ","") &amp;#REF! &amp; "={pid}" &amp; "', " &amp; "'【"&amp; $V77 &amp;"】已使用此筆資料，故不可刪除!!'" &amp; ",'" &amp; SUBSTITUTE("{'zh_TW': '" &amp;  "【"&amp; $V77 &amp;"】已使用此筆資料，不可刪除!!"  &amp; "' ,'en_US': '" &amp;  "Have used this information, it can not be deleted !!" &amp; "'  ,'zh_CN': '" &amp; "【"&amp; $V77 &amp;"】已使用此筆資料，不可刪除!!" &amp; "' }", CHAR(39),CHAR(34))   &amp; "');","")</f>
        <v/>
      </c>
    </row>
    <row r="78" spans="24:24">
      <c r="X78" s="13" t="str">
        <f>IF($E78="Y","INSERT INTO `sys_table_relation` (`TABLE_NAME`, `CHILD_TABLE_NAME`, `SQL_QUERY`, `ERROR_DESC` ,`ERROR_DESC_JSON`) VALUES ('" &amp;$C78 &amp; "', '" &amp; $U78 &amp; "', '" &amp; "select count(*) from "&amp; $U78 &amp;" where " &amp; IF(COUNTIF(#REF!,"IS_DESTROYED"),"IS_DESTROYED=0 and ","") &amp;#REF! &amp; "={pid}" &amp; "', " &amp; "'【"&amp; $V78 &amp;"】已使用此筆資料，故不可刪除!!'" &amp; ",'" &amp; SUBSTITUTE("{'zh_TW': '" &amp;  "【"&amp; $V78 &amp;"】已使用此筆資料，不可刪除!!"  &amp; "' ,'en_US': '" &amp;  "Have used this information, it can not be deleted !!" &amp; "'  ,'zh_CN': '" &amp; "【"&amp; $V78 &amp;"】已使用此筆資料，不可刪除!!" &amp; "' }", CHAR(39),CHAR(34))   &amp; "');","")</f>
        <v/>
      </c>
    </row>
    <row r="79" spans="24:24">
      <c r="X79" s="13" t="str">
        <f>IF($E79="Y","INSERT INTO `sys_table_relation` (`TABLE_NAME`, `CHILD_TABLE_NAME`, `SQL_QUERY`, `ERROR_DESC` ,`ERROR_DESC_JSON`) VALUES ('" &amp;$C79 &amp; "', '" &amp; $U79 &amp; "', '" &amp; "select count(*) from "&amp; $U79 &amp;" where " &amp; IF(COUNTIF(#REF!,"IS_DESTROYED"),"IS_DESTROYED=0 and ","") &amp;#REF! &amp; "={pid}" &amp; "', " &amp; "'【"&amp; $V79 &amp;"】已使用此筆資料，故不可刪除!!'" &amp; ",'" &amp; SUBSTITUTE("{'zh_TW': '" &amp;  "【"&amp; $V79 &amp;"】已使用此筆資料，不可刪除!!"  &amp; "' ,'en_US': '" &amp;  "Have used this information, it can not be deleted !!" &amp; "'  ,'zh_CN': '" &amp; "【"&amp; $V79 &amp;"】已使用此筆資料，不可刪除!!" &amp; "' }", CHAR(39),CHAR(34))   &amp; "');","")</f>
        <v/>
      </c>
    </row>
    <row r="80" spans="24:24">
      <c r="X80" s="13" t="str">
        <f>IF($E80="Y","INSERT INTO `sys_table_relation` (`TABLE_NAME`, `CHILD_TABLE_NAME`, `SQL_QUERY`, `ERROR_DESC` ,`ERROR_DESC_JSON`) VALUES ('" &amp;$C80 &amp; "', '" &amp; $U80 &amp; "', '" &amp; "select count(*) from "&amp; $U80 &amp;" where " &amp; IF(COUNTIF(#REF!,"IS_DESTROYED"),"IS_DESTROYED=0 and ","") &amp;#REF! &amp; "={pid}" &amp; "', " &amp; "'【"&amp; $V80 &amp;"】已使用此筆資料，故不可刪除!!'" &amp; ",'" &amp; SUBSTITUTE("{'zh_TW': '" &amp;  "【"&amp; $V80 &amp;"】已使用此筆資料，不可刪除!!"  &amp; "' ,'en_US': '" &amp;  "Have used this information, it can not be deleted !!" &amp; "'  ,'zh_CN': '" &amp; "【"&amp; $V80 &amp;"】已使用此筆資料，不可刪除!!" &amp; "' }", CHAR(39),CHAR(34))   &amp; "');","")</f>
        <v/>
      </c>
    </row>
    <row r="81" spans="24:24">
      <c r="X81" s="13" t="str">
        <f>IF($E81="Y","INSERT INTO `sys_table_relation` (`TABLE_NAME`, `CHILD_TABLE_NAME`, `SQL_QUERY`, `ERROR_DESC` ,`ERROR_DESC_JSON`) VALUES ('" &amp;$C81 &amp; "', '" &amp; $U81 &amp; "', '" &amp; "select count(*) from "&amp; $U81 &amp;" where " &amp; IF(COUNTIF(#REF!,"IS_DESTROYED"),"IS_DESTROYED=0 and ","") &amp;#REF! &amp; "={pid}" &amp; "', " &amp; "'【"&amp; $V81 &amp;"】已使用此筆資料，故不可刪除!!'" &amp; ",'" &amp; SUBSTITUTE("{'zh_TW': '" &amp;  "【"&amp; $V81 &amp;"】已使用此筆資料，不可刪除!!"  &amp; "' ,'en_US': '" &amp;  "Have used this information, it can not be deleted !!" &amp; "'  ,'zh_CN': '" &amp; "【"&amp; $V81 &amp;"】已使用此筆資料，不可刪除!!" &amp; "' }", CHAR(39),CHAR(34))   &amp; "');","")</f>
        <v/>
      </c>
    </row>
    <row r="82" spans="24:24">
      <c r="X82" s="13" t="str">
        <f>IF($E82="Y","INSERT INTO `sys_table_relation` (`TABLE_NAME`, `CHILD_TABLE_NAME`, `SQL_QUERY`, `ERROR_DESC` ,`ERROR_DESC_JSON`) VALUES ('" &amp;$C82 &amp; "', '" &amp; $U82 &amp; "', '" &amp; "select count(*) from "&amp; $U82 &amp;" where " &amp; IF(COUNTIF(#REF!,"IS_DESTROYED"),"IS_DESTROYED=0 and ","") &amp;#REF! &amp; "={pid}" &amp; "', " &amp; "'【"&amp; $V82 &amp;"】已使用此筆資料，故不可刪除!!'" &amp; ",'" &amp; SUBSTITUTE("{'zh_TW': '" &amp;  "【"&amp; $V82 &amp;"】已使用此筆資料，不可刪除!!"  &amp; "' ,'en_US': '" &amp;  "Have used this information, it can not be deleted !!" &amp; "'  ,'zh_CN': '" &amp; "【"&amp; $V82 &amp;"】已使用此筆資料，不可刪除!!" &amp; "' }", CHAR(39),CHAR(34))   &amp; "');","")</f>
        <v/>
      </c>
    </row>
    <row r="83" spans="24:24">
      <c r="X83" s="13" t="str">
        <f>IF($E83="Y","INSERT INTO `sys_table_relation` (`TABLE_NAME`, `CHILD_TABLE_NAME`, `SQL_QUERY`, `ERROR_DESC` ,`ERROR_DESC_JSON`) VALUES ('" &amp;$C83 &amp; "', '" &amp; $U83 &amp; "', '" &amp; "select count(*) from "&amp; $U83 &amp;" where " &amp; IF(COUNTIF(#REF!,"IS_DESTROYED"),"IS_DESTROYED=0 and ","") &amp;#REF! &amp; "={pid}" &amp; "', " &amp; "'【"&amp; $V83 &amp;"】已使用此筆資料，故不可刪除!!'" &amp; ",'" &amp; SUBSTITUTE("{'zh_TW': '" &amp;  "【"&amp; $V83 &amp;"】已使用此筆資料，不可刪除!!"  &amp; "' ,'en_US': '" &amp;  "Have used this information, it can not be deleted !!" &amp; "'  ,'zh_CN': '" &amp; "【"&amp; $V83 &amp;"】已使用此筆資料，不可刪除!!" &amp; "' }", CHAR(39),CHAR(34))   &amp; "');","")</f>
        <v/>
      </c>
    </row>
    <row r="84" spans="24:24">
      <c r="X84" s="13" t="str">
        <f>IF($E84="Y","INSERT INTO `sys_table_relation` (`TABLE_NAME`, `CHILD_TABLE_NAME`, `SQL_QUERY`, `ERROR_DESC` ,`ERROR_DESC_JSON`) VALUES ('" &amp;$C84 &amp; "', '" &amp; $U84 &amp; "', '" &amp; "select count(*) from "&amp; $U84 &amp;" where " &amp; IF(COUNTIF(#REF!,"IS_DESTROYED"),"IS_DESTROYED=0 and ","") &amp;#REF! &amp; "={pid}" &amp; "', " &amp; "'【"&amp; $V84 &amp;"】已使用此筆資料，故不可刪除!!'" &amp; ",'" &amp; SUBSTITUTE("{'zh_TW': '" &amp;  "【"&amp; $V84 &amp;"】已使用此筆資料，不可刪除!!"  &amp; "' ,'en_US': '" &amp;  "Have used this information, it can not be deleted !!" &amp; "'  ,'zh_CN': '" &amp; "【"&amp; $V84 &amp;"】已使用此筆資料，不可刪除!!" &amp; "' }", CHAR(39),CHAR(34))   &amp; "');","")</f>
        <v/>
      </c>
    </row>
    <row r="85" spans="24:24">
      <c r="X85" s="13" t="str">
        <f>IF($E85="Y","INSERT INTO `sys_table_relation` (`TABLE_NAME`, `CHILD_TABLE_NAME`, `SQL_QUERY`, `ERROR_DESC` ,`ERROR_DESC_JSON`) VALUES ('" &amp;$C85 &amp; "', '" &amp; $U85 &amp; "', '" &amp; "select count(*) from "&amp; $U85 &amp;" where " &amp; IF(COUNTIF(#REF!,"IS_DESTROYED"),"IS_DESTROYED=0 and ","") &amp;#REF! &amp; "={pid}" &amp; "', " &amp; "'【"&amp; $V85 &amp;"】已使用此筆資料，故不可刪除!!'" &amp; ",'" &amp; SUBSTITUTE("{'zh_TW': '" &amp;  "【"&amp; $V85 &amp;"】已使用此筆資料，不可刪除!!"  &amp; "' ,'en_US': '" &amp;  "Have used this information, it can not be deleted !!" &amp; "'  ,'zh_CN': '" &amp; "【"&amp; $V85 &amp;"】已使用此筆資料，不可刪除!!" &amp; "' }", CHAR(39),CHAR(34))   &amp; "');","")</f>
        <v/>
      </c>
    </row>
    <row r="86" spans="24:24">
      <c r="X86" s="13" t="str">
        <f>IF($E86="Y","INSERT INTO `sys_table_relation` (`TABLE_NAME`, `CHILD_TABLE_NAME`, `SQL_QUERY`, `ERROR_DESC` ,`ERROR_DESC_JSON`) VALUES ('" &amp;$C86 &amp; "', '" &amp; $U86 &amp; "', '" &amp; "select count(*) from "&amp; $U86 &amp;" where " &amp; IF(COUNTIF(#REF!,"IS_DESTROYED"),"IS_DESTROYED=0 and ","") &amp;#REF! &amp; "={pid}" &amp; "', " &amp; "'【"&amp; $V86 &amp;"】已使用此筆資料，故不可刪除!!'" &amp; ",'" &amp; SUBSTITUTE("{'zh_TW': '" &amp;  "【"&amp; $V86 &amp;"】已使用此筆資料，不可刪除!!"  &amp; "' ,'en_US': '" &amp;  "Have used this information, it can not be deleted !!" &amp; "'  ,'zh_CN': '" &amp; "【"&amp; $V86 &amp;"】已使用此筆資料，不可刪除!!" &amp; "' }", CHAR(39),CHAR(34))   &amp; "');","")</f>
        <v/>
      </c>
    </row>
    <row r="87" spans="24:24">
      <c r="X87" s="13" t="str">
        <f>IF($E87="Y","INSERT INTO `sys_table_relation` (`TABLE_NAME`, `CHILD_TABLE_NAME`, `SQL_QUERY`, `ERROR_DESC` ,`ERROR_DESC_JSON`) VALUES ('" &amp;$C87 &amp; "', '" &amp; $U87 &amp; "', '" &amp; "select count(*) from "&amp; $U87 &amp;" where " &amp; IF(COUNTIF(#REF!,"IS_DESTROYED"),"IS_DESTROYED=0 and ","") &amp;#REF! &amp; "={pid}" &amp; "', " &amp; "'【"&amp; $V87 &amp;"】已使用此筆資料，故不可刪除!!'" &amp; ",'" &amp; SUBSTITUTE("{'zh_TW': '" &amp;  "【"&amp; $V87 &amp;"】已使用此筆資料，不可刪除!!"  &amp; "' ,'en_US': '" &amp;  "Have used this information, it can not be deleted !!" &amp; "'  ,'zh_CN': '" &amp; "【"&amp; $V87 &amp;"】已使用此筆資料，不可刪除!!" &amp; "' }", CHAR(39),CHAR(34))   &amp; "');","")</f>
        <v/>
      </c>
    </row>
    <row r="88" spans="24:24">
      <c r="X88" s="13" t="str">
        <f>IF($E88="Y","INSERT INTO `sys_table_relation` (`TABLE_NAME`, `CHILD_TABLE_NAME`, `SQL_QUERY`, `ERROR_DESC` ,`ERROR_DESC_JSON`) VALUES ('" &amp;$C88 &amp; "', '" &amp; $U88 &amp; "', '" &amp; "select count(*) from "&amp; $U88 &amp;" where " &amp; IF(COUNTIF(#REF!,"IS_DESTROYED"),"IS_DESTROYED=0 and ","") &amp;#REF! &amp; "={pid}" &amp; "', " &amp; "'【"&amp; $V88 &amp;"】已使用此筆資料，故不可刪除!!'" &amp; ",'" &amp; SUBSTITUTE("{'zh_TW': '" &amp;  "【"&amp; $V88 &amp;"】已使用此筆資料，不可刪除!!"  &amp; "' ,'en_US': '" &amp;  "Have used this information, it can not be deleted !!" &amp; "'  ,'zh_CN': '" &amp; "【"&amp; $V88 &amp;"】已使用此筆資料，不可刪除!!" &amp; "' }", CHAR(39),CHAR(34))   &amp; "');","")</f>
        <v/>
      </c>
    </row>
    <row r="89" spans="24:24">
      <c r="X89" s="13" t="str">
        <f>IF($E89="Y","INSERT INTO `sys_table_relation` (`TABLE_NAME`, `CHILD_TABLE_NAME`, `SQL_QUERY`, `ERROR_DESC` ,`ERROR_DESC_JSON`) VALUES ('" &amp;$C89 &amp; "', '" &amp; $U89 &amp; "', '" &amp; "select count(*) from "&amp; $U89 &amp;" where " &amp; IF(COUNTIF(#REF!,"IS_DESTROYED"),"IS_DESTROYED=0 and ","") &amp;#REF! &amp; "={pid}" &amp; "', " &amp; "'【"&amp; $V89 &amp;"】已使用此筆資料，故不可刪除!!'" &amp; ",'" &amp; SUBSTITUTE("{'zh_TW': '" &amp;  "【"&amp; $V89 &amp;"】已使用此筆資料，不可刪除!!"  &amp; "' ,'en_US': '" &amp;  "Have used this information, it can not be deleted !!" &amp; "'  ,'zh_CN': '" &amp; "【"&amp; $V89 &amp;"】已使用此筆資料，不可刪除!!" &amp; "' }", CHAR(39),CHAR(34))   &amp; "');","")</f>
        <v/>
      </c>
    </row>
    <row r="90" spans="24:24">
      <c r="X90" s="13" t="str">
        <f>IF($E90="Y","INSERT INTO `sys_table_relation` (`TABLE_NAME`, `CHILD_TABLE_NAME`, `SQL_QUERY`, `ERROR_DESC` ,`ERROR_DESC_JSON`) VALUES ('" &amp;$C90 &amp; "', '" &amp; $U90 &amp; "', '" &amp; "select count(*) from "&amp; $U90 &amp;" where " &amp; IF(COUNTIF(#REF!,"IS_DESTROYED"),"IS_DESTROYED=0 and ","") &amp;#REF! &amp; "={pid}" &amp; "', " &amp; "'【"&amp; $V90 &amp;"】已使用此筆資料，故不可刪除!!'" &amp; ",'" &amp; SUBSTITUTE("{'zh_TW': '" &amp;  "【"&amp; $V90 &amp;"】已使用此筆資料，不可刪除!!"  &amp; "' ,'en_US': '" &amp;  "Have used this information, it can not be deleted !!" &amp; "'  ,'zh_CN': '" &amp; "【"&amp; $V90 &amp;"】已使用此筆資料，不可刪除!!" &amp; "' }", CHAR(39),CHAR(34))   &amp; "');","")</f>
        <v/>
      </c>
    </row>
    <row r="91" spans="24:24">
      <c r="X91" s="13" t="str">
        <f>IF($E91="Y","INSERT INTO `sys_table_relation` (`TABLE_NAME`, `CHILD_TABLE_NAME`, `SQL_QUERY`, `ERROR_DESC` ,`ERROR_DESC_JSON`) VALUES ('" &amp;$C91 &amp; "', '" &amp; $U91 &amp; "', '" &amp; "select count(*) from "&amp; $U91 &amp;" where " &amp; IF(COUNTIF(#REF!,"IS_DESTROYED"),"IS_DESTROYED=0 and ","") &amp;#REF! &amp; "={pid}" &amp; "', " &amp; "'【"&amp; $V91 &amp;"】已使用此筆資料，故不可刪除!!'" &amp; ",'" &amp; SUBSTITUTE("{'zh_TW': '" &amp;  "【"&amp; $V91 &amp;"】已使用此筆資料，不可刪除!!"  &amp; "' ,'en_US': '" &amp;  "Have used this information, it can not be deleted !!" &amp; "'  ,'zh_CN': '" &amp; "【"&amp; $V91 &amp;"】已使用此筆資料，不可刪除!!" &amp; "' }", CHAR(39),CHAR(34))   &amp; "');","")</f>
        <v/>
      </c>
    </row>
    <row r="92" spans="24:24">
      <c r="X92" s="13" t="str">
        <f>IF($E92="Y","INSERT INTO `sys_table_relation` (`TABLE_NAME`, `CHILD_TABLE_NAME`, `SQL_QUERY`, `ERROR_DESC` ,`ERROR_DESC_JSON`) VALUES ('" &amp;$C92 &amp; "', '" &amp; $U92 &amp; "', '" &amp; "select count(*) from "&amp; $U92 &amp;" where " &amp; IF(COUNTIF(#REF!,"IS_DESTROYED"),"IS_DESTROYED=0 and ","") &amp;#REF! &amp; "={pid}" &amp; "', " &amp; "'【"&amp; $V92 &amp;"】已使用此筆資料，故不可刪除!!'" &amp; ",'" &amp; SUBSTITUTE("{'zh_TW': '" &amp;  "【"&amp; $V92 &amp;"】已使用此筆資料，不可刪除!!"  &amp; "' ,'en_US': '" &amp;  "Have used this information, it can not be deleted !!" &amp; "'  ,'zh_CN': '" &amp; "【"&amp; $V92 &amp;"】已使用此筆資料，不可刪除!!" &amp; "' }", CHAR(39),CHAR(34))   &amp; "');","")</f>
        <v/>
      </c>
    </row>
    <row r="93" spans="24:24">
      <c r="X93" s="13" t="str">
        <f>IF($E93="Y","INSERT INTO `sys_table_relation` (`TABLE_NAME`, `CHILD_TABLE_NAME`, `SQL_QUERY`, `ERROR_DESC` ,`ERROR_DESC_JSON`) VALUES ('" &amp;$C93 &amp; "', '" &amp; $U93 &amp; "', '" &amp; "select count(*) from "&amp; $U93 &amp;" where " &amp; IF(COUNTIF(#REF!,"IS_DESTROYED"),"IS_DESTROYED=0 and ","") &amp;#REF! &amp; "={pid}" &amp; "', " &amp; "'【"&amp; $V93 &amp;"】已使用此筆資料，故不可刪除!!'" &amp; ",'" &amp; SUBSTITUTE("{'zh_TW': '" &amp;  "【"&amp; $V93 &amp;"】已使用此筆資料，不可刪除!!"  &amp; "' ,'en_US': '" &amp;  "Have used this information, it can not be deleted !!" &amp; "'  ,'zh_CN': '" &amp; "【"&amp; $V93 &amp;"】已使用此筆資料，不可刪除!!" &amp; "' }", CHAR(39),CHAR(34))   &amp; "');","")</f>
        <v/>
      </c>
    </row>
    <row r="94" spans="24:24">
      <c r="X94" s="13" t="str">
        <f>IF($E94="Y","INSERT INTO `sys_table_relation` (`TABLE_NAME`, `CHILD_TABLE_NAME`, `SQL_QUERY`, `ERROR_DESC` ,`ERROR_DESC_JSON`) VALUES ('" &amp;$C94 &amp; "', '" &amp; $U94 &amp; "', '" &amp; "select count(*) from "&amp; $U94 &amp;" where " &amp; IF(COUNTIF(#REF!,"IS_DESTROYED"),"IS_DESTROYED=0 and ","") &amp;#REF! &amp; "={pid}" &amp; "', " &amp; "'【"&amp; $V94 &amp;"】已使用此筆資料，故不可刪除!!'" &amp; ",'" &amp; SUBSTITUTE("{'zh_TW': '" &amp;  "【"&amp; $V94 &amp;"】已使用此筆資料，不可刪除!!"  &amp; "' ,'en_US': '" &amp;  "Have used this information, it can not be deleted !!" &amp; "'  ,'zh_CN': '" &amp; "【"&amp; $V94 &amp;"】已使用此筆資料，不可刪除!!" &amp; "' }", CHAR(39),CHAR(34))   &amp; "');","")</f>
        <v/>
      </c>
    </row>
    <row r="95" spans="24:24">
      <c r="X95" s="13" t="str">
        <f>IF($E95="Y","INSERT INTO `sys_table_relation` (`TABLE_NAME`, `CHILD_TABLE_NAME`, `SQL_QUERY`, `ERROR_DESC` ,`ERROR_DESC_JSON`) VALUES ('" &amp;$C95 &amp; "', '" &amp; $U95 &amp; "', '" &amp; "select count(*) from "&amp; $U95 &amp;" where " &amp; IF(COUNTIF(#REF!,"IS_DESTROYED"),"IS_DESTROYED=0 and ","") &amp;#REF! &amp; "={pid}" &amp; "', " &amp; "'【"&amp; $V95 &amp;"】已使用此筆資料，故不可刪除!!'" &amp; ",'" &amp; SUBSTITUTE("{'zh_TW': '" &amp;  "【"&amp; $V95 &amp;"】已使用此筆資料，不可刪除!!"  &amp; "' ,'en_US': '" &amp;  "Have used this information, it can not be deleted !!" &amp; "'  ,'zh_CN': '" &amp; "【"&amp; $V95 &amp;"】已使用此筆資料，不可刪除!!" &amp; "' }", CHAR(39),CHAR(34))   &amp; "');","")</f>
        <v/>
      </c>
    </row>
    <row r="96" spans="24:24">
      <c r="X96" s="13" t="str">
        <f>IF($E96="Y","INSERT INTO `sys_table_relation` (`TABLE_NAME`, `CHILD_TABLE_NAME`, `SQL_QUERY`, `ERROR_DESC` ,`ERROR_DESC_JSON`) VALUES ('" &amp;$C96 &amp; "', '" &amp; $U96 &amp; "', '" &amp; "select count(*) from "&amp; $U96 &amp;" where " &amp; IF(COUNTIF(#REF!,"IS_DESTROYED"),"IS_DESTROYED=0 and ","") &amp;#REF! &amp; "={pid}" &amp; "', " &amp; "'【"&amp; $V96 &amp;"】已使用此筆資料，故不可刪除!!'" &amp; ",'" &amp; SUBSTITUTE("{'zh_TW': '" &amp;  "【"&amp; $V96 &amp;"】已使用此筆資料，不可刪除!!"  &amp; "' ,'en_US': '" &amp;  "Have used this information, it can not be deleted !!" &amp; "'  ,'zh_CN': '" &amp; "【"&amp; $V96 &amp;"】已使用此筆資料，不可刪除!!" &amp; "' }", CHAR(39),CHAR(34))   &amp; "');","")</f>
        <v/>
      </c>
    </row>
    <row r="97" spans="24:24">
      <c r="X97" s="13" t="str">
        <f>IF($E97="Y","INSERT INTO `sys_table_relation` (`TABLE_NAME`, `CHILD_TABLE_NAME`, `SQL_QUERY`, `ERROR_DESC` ,`ERROR_DESC_JSON`) VALUES ('" &amp;$C97 &amp; "', '" &amp; $U97 &amp; "', '" &amp; "select count(*) from "&amp; $U97 &amp;" where " &amp; IF(COUNTIF(#REF!,"IS_DESTROYED"),"IS_DESTROYED=0 and ","") &amp;#REF! &amp; "={pid}" &amp; "', " &amp; "'【"&amp; $V97 &amp;"】已使用此筆資料，故不可刪除!!'" &amp; ",'" &amp; SUBSTITUTE("{'zh_TW': '" &amp;  "【"&amp; $V97 &amp;"】已使用此筆資料，不可刪除!!"  &amp; "' ,'en_US': '" &amp;  "Have used this information, it can not be deleted !!" &amp; "'  ,'zh_CN': '" &amp; "【"&amp; $V97 &amp;"】已使用此筆資料，不可刪除!!" &amp; "' }", CHAR(39),CHAR(34))   &amp; "');","")</f>
        <v/>
      </c>
    </row>
    <row r="98" spans="24:24">
      <c r="X98" s="13" t="str">
        <f>IF($E98="Y","INSERT INTO `sys_table_relation` (`TABLE_NAME`, `CHILD_TABLE_NAME`, `SQL_QUERY`, `ERROR_DESC` ,`ERROR_DESC_JSON`) VALUES ('" &amp;$C98 &amp; "', '" &amp; $U98 &amp; "', '" &amp; "select count(*) from "&amp; $U98 &amp;" where " &amp; IF(COUNTIF(#REF!,"IS_DESTROYED"),"IS_DESTROYED=0 and ","") &amp;#REF! &amp; "={pid}" &amp; "', " &amp; "'【"&amp; $V98 &amp;"】已使用此筆資料，故不可刪除!!'" &amp; ",'" &amp; SUBSTITUTE("{'zh_TW': '" &amp;  "【"&amp; $V98 &amp;"】已使用此筆資料，不可刪除!!"  &amp; "' ,'en_US': '" &amp;  "Have used this information, it can not be deleted !!" &amp; "'  ,'zh_CN': '" &amp; "【"&amp; $V98 &amp;"】已使用此筆資料，不可刪除!!" &amp; "' }", CHAR(39),CHAR(34))   &amp; "');","")</f>
        <v/>
      </c>
    </row>
    <row r="99" spans="24:24">
      <c r="X99" s="13" t="str">
        <f>IF($E99="Y","INSERT INTO `sys_table_relation` (`TABLE_NAME`, `CHILD_TABLE_NAME`, `SQL_QUERY`, `ERROR_DESC` ,`ERROR_DESC_JSON`) VALUES ('" &amp;$C99 &amp; "', '" &amp; $U99 &amp; "', '" &amp; "select count(*) from "&amp; $U99 &amp;" where " &amp; IF(COUNTIF(#REF!,"IS_DESTROYED"),"IS_DESTROYED=0 and ","") &amp;#REF! &amp; "={pid}" &amp; "', " &amp; "'【"&amp; $V99 &amp;"】已使用此筆資料，故不可刪除!!'" &amp; ",'" &amp; SUBSTITUTE("{'zh_TW': '" &amp;  "【"&amp; $V99 &amp;"】已使用此筆資料，不可刪除!!"  &amp; "' ,'en_US': '" &amp;  "Have used this information, it can not be deleted !!" &amp; "'  ,'zh_CN': '" &amp; "【"&amp; $V99 &amp;"】已使用此筆資料，不可刪除!!" &amp; "' }", CHAR(39),CHAR(34))   &amp; "');","")</f>
        <v/>
      </c>
    </row>
    <row r="100" spans="24:24">
      <c r="X100" s="13" t="str">
        <f>IF($E100="Y","INSERT INTO `sys_table_relation` (`TABLE_NAME`, `CHILD_TABLE_NAME`, `SQL_QUERY`, `ERROR_DESC` ,`ERROR_DESC_JSON`) VALUES ('" &amp;$C100 &amp; "', '" &amp; $U100 &amp; "', '" &amp; "select count(*) from "&amp; $U100 &amp;" where " &amp; IF(COUNTIF(#REF!,"IS_DESTROYED"),"IS_DESTROYED=0 and ","") &amp;#REF! &amp; "={pid}" &amp; "', " &amp; "'【"&amp; $V100 &amp;"】已使用此筆資料，故不可刪除!!'" &amp; ",'" &amp; SUBSTITUTE("{'zh_TW': '" &amp;  "【"&amp; $V100 &amp;"】已使用此筆資料，不可刪除!!"  &amp; "' ,'en_US': '" &amp;  "Have used this information, it can not be deleted !!" &amp; "'  ,'zh_CN': '" &amp; "【"&amp; $V100 &amp;"】已使用此筆資料，不可刪除!!" &amp; "' }", CHAR(39),CHAR(34))   &amp; "');","")</f>
        <v/>
      </c>
    </row>
    <row r="101" spans="24:24">
      <c r="X101" s="13" t="str">
        <f>IF($E101="Y","INSERT INTO `sys_table_relation` (`TABLE_NAME`, `CHILD_TABLE_NAME`, `SQL_QUERY`, `ERROR_DESC` ,`ERROR_DESC_JSON`) VALUES ('" &amp;$C101 &amp; "', '" &amp; $U101 &amp; "', '" &amp; "select count(*) from "&amp; $U101 &amp;" where " &amp; IF(COUNTIF(#REF!,"IS_DESTROYED"),"IS_DESTROYED=0 and ","") &amp;#REF! &amp; "={pid}" &amp; "', " &amp; "'【"&amp; $V101 &amp;"】已使用此筆資料，故不可刪除!!'" &amp; ",'" &amp; SUBSTITUTE("{'zh_TW': '" &amp;  "【"&amp; $V101 &amp;"】已使用此筆資料，不可刪除!!"  &amp; "' ,'en_US': '" &amp;  "Have used this information, it can not be deleted !!" &amp; "'  ,'zh_CN': '" &amp; "【"&amp; $V101 &amp;"】已使用此筆資料，不可刪除!!" &amp; "' }", CHAR(39),CHAR(34))   &amp; "');","")</f>
        <v/>
      </c>
    </row>
    <row r="102" spans="24:24">
      <c r="X102" s="13" t="str">
        <f>IF($E102="Y","INSERT INTO `sys_table_relation` (`TABLE_NAME`, `CHILD_TABLE_NAME`, `SQL_QUERY`, `ERROR_DESC` ,`ERROR_DESC_JSON`) VALUES ('" &amp;$C102 &amp; "', '" &amp; $U102 &amp; "', '" &amp; "select count(*) from "&amp; $U102 &amp;" where " &amp; IF(COUNTIF(#REF!,"IS_DESTROYED"),"IS_DESTROYED=0 and ","") &amp;#REF! &amp; "={pid}" &amp; "', " &amp; "'【"&amp; $V102 &amp;"】已使用此筆資料，故不可刪除!!'" &amp; ",'" &amp; SUBSTITUTE("{'zh_TW': '" &amp;  "【"&amp; $V102 &amp;"】已使用此筆資料，不可刪除!!"  &amp; "' ,'en_US': '" &amp;  "Have used this information, it can not be deleted !!" &amp; "'  ,'zh_CN': '" &amp; "【"&amp; $V102 &amp;"】已使用此筆資料，不可刪除!!" &amp; "' }", CHAR(39),CHAR(34))   &amp; "');","")</f>
        <v/>
      </c>
    </row>
    <row r="103" spans="24:24">
      <c r="X103" s="13" t="str">
        <f>IF($E103="Y","INSERT INTO `sys_table_relation` (`TABLE_NAME`, `CHILD_TABLE_NAME`, `SQL_QUERY`, `ERROR_DESC` ,`ERROR_DESC_JSON`) VALUES ('" &amp;$C103 &amp; "', '" &amp; $U103 &amp; "', '" &amp; "select count(*) from "&amp; $U103 &amp;" where " &amp; IF(COUNTIF(#REF!,"IS_DESTROYED"),"IS_DESTROYED=0 and ","") &amp;#REF! &amp; "={pid}" &amp; "', " &amp; "'【"&amp; $V103 &amp;"】已使用此筆資料，故不可刪除!!'" &amp; ",'" &amp; SUBSTITUTE("{'zh_TW': '" &amp;  "【"&amp; $V103 &amp;"】已使用此筆資料，不可刪除!!"  &amp; "' ,'en_US': '" &amp;  "Have used this information, it can not be deleted !!" &amp; "'  ,'zh_CN': '" &amp; "【"&amp; $V103 &amp;"】已使用此筆資料，不可刪除!!" &amp; "' }", CHAR(39),CHAR(34))   &amp; "');","")</f>
        <v/>
      </c>
    </row>
    <row r="104" spans="24:24">
      <c r="X104" s="13" t="str">
        <f>IF($E104="Y","INSERT INTO `sys_table_relation` (`TABLE_NAME`, `CHILD_TABLE_NAME`, `SQL_QUERY`, `ERROR_DESC` ,`ERROR_DESC_JSON`) VALUES ('" &amp;$C104 &amp; "', '" &amp; $U104 &amp; "', '" &amp; "select count(*) from "&amp; $U104 &amp;" where " &amp; IF(COUNTIF(#REF!,"IS_DESTROYED"),"IS_DESTROYED=0 and ","") &amp;#REF! &amp; "={pid}" &amp; "', " &amp; "'【"&amp; $V104 &amp;"】已使用此筆資料，故不可刪除!!'" &amp; ",'" &amp; SUBSTITUTE("{'zh_TW': '" &amp;  "【"&amp; $V104 &amp;"】已使用此筆資料，不可刪除!!"  &amp; "' ,'en_US': '" &amp;  "Have used this information, it can not be deleted !!" &amp; "'  ,'zh_CN': '" &amp; "【"&amp; $V104 &amp;"】已使用此筆資料，不可刪除!!" &amp; "' }", CHAR(39),CHAR(34))   &amp; "');","")</f>
        <v/>
      </c>
    </row>
    <row r="105" spans="24:24">
      <c r="X105" s="13" t="str">
        <f>IF($E105="Y","INSERT INTO `sys_table_relation` (`TABLE_NAME`, `CHILD_TABLE_NAME`, `SQL_QUERY`, `ERROR_DESC` ,`ERROR_DESC_JSON`) VALUES ('" &amp;$C105 &amp; "', '" &amp; $U105 &amp; "', '" &amp; "select count(*) from "&amp; $U105 &amp;" where " &amp; IF(COUNTIF(#REF!,"IS_DESTROYED"),"IS_DESTROYED=0 and ","") &amp;#REF! &amp; "={pid}" &amp; "', " &amp; "'【"&amp; $V105 &amp;"】已使用此筆資料，故不可刪除!!'" &amp; ",'" &amp; SUBSTITUTE("{'zh_TW': '" &amp;  "【"&amp; $V105 &amp;"】已使用此筆資料，不可刪除!!"  &amp; "' ,'en_US': '" &amp;  "Have used this information, it can not be deleted !!" &amp; "'  ,'zh_CN': '" &amp; "【"&amp; $V105 &amp;"】已使用此筆資料，不可刪除!!" &amp; "' }", CHAR(39),CHAR(34))   &amp; "');","")</f>
        <v/>
      </c>
    </row>
    <row r="106" spans="24:24">
      <c r="X106" s="13" t="str">
        <f>IF($E106="Y","INSERT INTO `sys_table_relation` (`TABLE_NAME`, `CHILD_TABLE_NAME`, `SQL_QUERY`, `ERROR_DESC` ,`ERROR_DESC_JSON`) VALUES ('" &amp;$C106 &amp; "', '" &amp; $U106 &amp; "', '" &amp; "select count(*) from "&amp; $U106 &amp;" where " &amp; IF(COUNTIF(#REF!,"IS_DESTROYED"),"IS_DESTROYED=0 and ","") &amp;#REF! &amp; "={pid}" &amp; "', " &amp; "'【"&amp; $V106 &amp;"】已使用此筆資料，故不可刪除!!'" &amp; ",'" &amp; SUBSTITUTE("{'zh_TW': '" &amp;  "【"&amp; $V106 &amp;"】已使用此筆資料，不可刪除!!"  &amp; "' ,'en_US': '" &amp;  "Have used this information, it can not be deleted !!" &amp; "'  ,'zh_CN': '" &amp; "【"&amp; $V106 &amp;"】已使用此筆資料，不可刪除!!" &amp; "' }", CHAR(39),CHAR(34))   &amp; "');","")</f>
        <v/>
      </c>
    </row>
    <row r="107" spans="24:24">
      <c r="X107" s="13" t="str">
        <f>IF($E107="Y","INSERT INTO `sys_table_relation` (`TABLE_NAME`, `CHILD_TABLE_NAME`, `SQL_QUERY`, `ERROR_DESC` ,`ERROR_DESC_JSON`) VALUES ('" &amp;$C107 &amp; "', '" &amp; $U107 &amp; "', '" &amp; "select count(*) from "&amp; $U107 &amp;" where " &amp; IF(COUNTIF(#REF!,"IS_DESTROYED"),"IS_DESTROYED=0 and ","") &amp;#REF! &amp; "={pid}" &amp; "', " &amp; "'【"&amp; $V107 &amp;"】已使用此筆資料，故不可刪除!!'" &amp; ",'" &amp; SUBSTITUTE("{'zh_TW': '" &amp;  "【"&amp; $V107 &amp;"】已使用此筆資料，不可刪除!!"  &amp; "' ,'en_US': '" &amp;  "Have used this information, it can not be deleted !!" &amp; "'  ,'zh_CN': '" &amp; "【"&amp; $V107 &amp;"】已使用此筆資料，不可刪除!!" &amp; "' }", CHAR(39),CHAR(34))   &amp; "');","")</f>
        <v/>
      </c>
    </row>
    <row r="108" spans="24:24">
      <c r="X108" s="13" t="str">
        <f>IF($E108="Y","INSERT INTO `sys_table_relation` (`TABLE_NAME`, `CHILD_TABLE_NAME`, `SQL_QUERY`, `ERROR_DESC` ,`ERROR_DESC_JSON`) VALUES ('" &amp;$C108 &amp; "', '" &amp; $U108 &amp; "', '" &amp; "select count(*) from "&amp; $U108 &amp;" where " &amp; IF(COUNTIF(#REF!,"IS_DESTROYED"),"IS_DESTROYED=0 and ","") &amp;#REF! &amp; "={pid}" &amp; "', " &amp; "'【"&amp; $V108 &amp;"】已使用此筆資料，故不可刪除!!'" &amp; ",'" &amp; SUBSTITUTE("{'zh_TW': '" &amp;  "【"&amp; $V108 &amp;"】已使用此筆資料，不可刪除!!"  &amp; "' ,'en_US': '" &amp;  "Have used this information, it can not be deleted !!" &amp; "'  ,'zh_CN': '" &amp; "【"&amp; $V108 &amp;"】已使用此筆資料，不可刪除!!" &amp; "' }", CHAR(39),CHAR(34))   &amp; "');","")</f>
        <v/>
      </c>
    </row>
    <row r="109" spans="24:24">
      <c r="X109" s="13" t="str">
        <f>IF($E109="Y","INSERT INTO `sys_table_relation` (`TABLE_NAME`, `CHILD_TABLE_NAME`, `SQL_QUERY`, `ERROR_DESC` ,`ERROR_DESC_JSON`) VALUES ('" &amp;$C109 &amp; "', '" &amp; $U109 &amp; "', '" &amp; "select count(*) from "&amp; $U109 &amp;" where " &amp; IF(COUNTIF(#REF!,"IS_DESTROYED"),"IS_DESTROYED=0 and ","") &amp;#REF! &amp; "={pid}" &amp; "', " &amp; "'【"&amp; $V109 &amp;"】已使用此筆資料，故不可刪除!!'" &amp; ",'" &amp; SUBSTITUTE("{'zh_TW': '" &amp;  "【"&amp; $V109 &amp;"】已使用此筆資料，不可刪除!!"  &amp; "' ,'en_US': '" &amp;  "Have used this information, it can not be deleted !!" &amp; "'  ,'zh_CN': '" &amp; "【"&amp; $V109 &amp;"】已使用此筆資料，不可刪除!!" &amp; "' }", CHAR(39),CHAR(34))   &amp; "');","")</f>
        <v/>
      </c>
    </row>
    <row r="110" spans="24:24">
      <c r="X110" s="13" t="str">
        <f>IF($E110="Y","INSERT INTO `sys_table_relation` (`TABLE_NAME`, `CHILD_TABLE_NAME`, `SQL_QUERY`, `ERROR_DESC` ,`ERROR_DESC_JSON`) VALUES ('" &amp;$C110 &amp; "', '" &amp; $U110 &amp; "', '" &amp; "select count(*) from "&amp; $U110 &amp;" where " &amp; IF(COUNTIF(#REF!,"IS_DESTROYED"),"IS_DESTROYED=0 and ","") &amp;#REF! &amp; "={pid}" &amp; "', " &amp; "'【"&amp; $V110 &amp;"】已使用此筆資料，故不可刪除!!'" &amp; ",'" &amp; SUBSTITUTE("{'zh_TW': '" &amp;  "【"&amp; $V110 &amp;"】已使用此筆資料，不可刪除!!"  &amp; "' ,'en_US': '" &amp;  "Have used this information, it can not be deleted !!" &amp; "'  ,'zh_CN': '" &amp; "【"&amp; $V110 &amp;"】已使用此筆資料，不可刪除!!" &amp; "' }", CHAR(39),CHAR(34))   &amp; "');","")</f>
        <v/>
      </c>
    </row>
    <row r="111" spans="24:24">
      <c r="X111" s="13" t="str">
        <f>IF($E111="Y","INSERT INTO `sys_table_relation` (`TABLE_NAME`, `CHILD_TABLE_NAME`, `SQL_QUERY`, `ERROR_DESC` ,`ERROR_DESC_JSON`) VALUES ('" &amp;$C111 &amp; "', '" &amp; $U111 &amp; "', '" &amp; "select count(*) from "&amp; $U111 &amp;" where " &amp; IF(COUNTIF(#REF!,"IS_DESTROYED"),"IS_DESTROYED=0 and ","") &amp;#REF! &amp; "={pid}" &amp; "', " &amp; "'【"&amp; $V111 &amp;"】已使用此筆資料，故不可刪除!!'" &amp; ",'" &amp; SUBSTITUTE("{'zh_TW': '" &amp;  "【"&amp; $V111 &amp;"】已使用此筆資料，不可刪除!!"  &amp; "' ,'en_US': '" &amp;  "Have used this information, it can not be deleted !!" &amp; "'  ,'zh_CN': '" &amp; "【"&amp; $V111 &amp;"】已使用此筆資料，不可刪除!!" &amp; "' }", CHAR(39),CHAR(34))   &amp; "');","")</f>
        <v/>
      </c>
    </row>
    <row r="112" spans="24:24">
      <c r="X112" s="13" t="str">
        <f>IF($E112="Y","INSERT INTO `sys_table_relation` (`TABLE_NAME`, `CHILD_TABLE_NAME`, `SQL_QUERY`, `ERROR_DESC` ,`ERROR_DESC_JSON`) VALUES ('" &amp;$C112 &amp; "', '" &amp; $U112 &amp; "', '" &amp; "select count(*) from "&amp; $U112 &amp;" where " &amp; IF(COUNTIF(#REF!,"IS_DESTROYED"),"IS_DESTROYED=0 and ","") &amp;#REF! &amp; "={pid}" &amp; "', " &amp; "'【"&amp; $V112 &amp;"】已使用此筆資料，故不可刪除!!'" &amp; ",'" &amp; SUBSTITUTE("{'zh_TW': '" &amp;  "【"&amp; $V112 &amp;"】已使用此筆資料，不可刪除!!"  &amp; "' ,'en_US': '" &amp;  "Have used this information, it can not be deleted !!" &amp; "'  ,'zh_CN': '" &amp; "【"&amp; $V112 &amp;"】已使用此筆資料，不可刪除!!" &amp; "' }", CHAR(39),CHAR(34))   &amp; "');","")</f>
        <v/>
      </c>
    </row>
    <row r="113" spans="24:24">
      <c r="X113" s="13" t="str">
        <f>IF($E113="Y","INSERT INTO `sys_table_relation` (`TABLE_NAME`, `CHILD_TABLE_NAME`, `SQL_QUERY`, `ERROR_DESC` ,`ERROR_DESC_JSON`) VALUES ('" &amp;$C113 &amp; "', '" &amp; $U113 &amp; "', '" &amp; "select count(*) from "&amp; $U113 &amp;" where " &amp; IF(COUNTIF(#REF!,"IS_DESTROYED"),"IS_DESTROYED=0 and ","") &amp;#REF! &amp; "={pid}" &amp; "', " &amp; "'【"&amp; $V113 &amp;"】已使用此筆資料，故不可刪除!!'" &amp; ",'" &amp; SUBSTITUTE("{'zh_TW': '" &amp;  "【"&amp; $V113 &amp;"】已使用此筆資料，不可刪除!!"  &amp; "' ,'en_US': '" &amp;  "Have used this information, it can not be deleted !!" &amp; "'  ,'zh_CN': '" &amp; "【"&amp; $V113 &amp;"】已使用此筆資料，不可刪除!!" &amp; "' }", CHAR(39),CHAR(34))   &amp; "');","")</f>
        <v/>
      </c>
    </row>
    <row r="114" spans="24:24">
      <c r="X114" s="13" t="str">
        <f>IF($E114="Y","INSERT INTO `sys_table_relation` (`TABLE_NAME`, `CHILD_TABLE_NAME`, `SQL_QUERY`, `ERROR_DESC` ,`ERROR_DESC_JSON`) VALUES ('" &amp;$C114 &amp; "', '" &amp; $U114 &amp; "', '" &amp; "select count(*) from "&amp; $U114 &amp;" where " &amp; IF(COUNTIF(#REF!,"IS_DESTROYED"),"IS_DESTROYED=0 and ","") &amp;#REF! &amp; "={pid}" &amp; "', " &amp; "'【"&amp; $V114 &amp;"】已使用此筆資料，故不可刪除!!'" &amp; ",'" &amp; SUBSTITUTE("{'zh_TW': '" &amp;  "【"&amp; $V114 &amp;"】已使用此筆資料，不可刪除!!"  &amp; "' ,'en_US': '" &amp;  "Have used this information, it can not be deleted !!" &amp; "'  ,'zh_CN': '" &amp; "【"&amp; $V114 &amp;"】已使用此筆資料，不可刪除!!" &amp; "' }", CHAR(39),CHAR(34))   &amp; "');","")</f>
        <v/>
      </c>
    </row>
    <row r="115" spans="24:24">
      <c r="X115" s="13" t="str">
        <f>IF($E115="Y","INSERT INTO `sys_table_relation` (`TABLE_NAME`, `CHILD_TABLE_NAME`, `SQL_QUERY`, `ERROR_DESC` ,`ERROR_DESC_JSON`) VALUES ('" &amp;$C115 &amp; "', '" &amp; $U115 &amp; "', '" &amp; "select count(*) from "&amp; $U115 &amp;" where " &amp; IF(COUNTIF(#REF!,"IS_DESTROYED"),"IS_DESTROYED=0 and ","") &amp;#REF! &amp; "={pid}" &amp; "', " &amp; "'【"&amp; $V115 &amp;"】已使用此筆資料，故不可刪除!!'" &amp; ",'" &amp; SUBSTITUTE("{'zh_TW': '" &amp;  "【"&amp; $V115 &amp;"】已使用此筆資料，不可刪除!!"  &amp; "' ,'en_US': '" &amp;  "Have used this information, it can not be deleted !!" &amp; "'  ,'zh_CN': '" &amp; "【"&amp; $V115 &amp;"】已使用此筆資料，不可刪除!!" &amp; "' }", CHAR(39),CHAR(34))   &amp; "');","")</f>
        <v/>
      </c>
    </row>
    <row r="116" spans="24:24">
      <c r="X116" s="13" t="str">
        <f>IF($E116="Y","INSERT INTO `sys_table_relation` (`TABLE_NAME`, `CHILD_TABLE_NAME`, `SQL_QUERY`, `ERROR_DESC` ,`ERROR_DESC_JSON`) VALUES ('" &amp;$C116 &amp; "', '" &amp; $U116 &amp; "', '" &amp; "select count(*) from "&amp; $U116 &amp;" where " &amp; IF(COUNTIF(#REF!,"IS_DESTROYED"),"IS_DESTROYED=0 and ","") &amp;#REF! &amp; "={pid}" &amp; "', " &amp; "'【"&amp; $V116 &amp;"】已使用此筆資料，故不可刪除!!'" &amp; ",'" &amp; SUBSTITUTE("{'zh_TW': '" &amp;  "【"&amp; $V116 &amp;"】已使用此筆資料，不可刪除!!"  &amp; "' ,'en_US': '" &amp;  "Have used this information, it can not be deleted !!" &amp; "'  ,'zh_CN': '" &amp; "【"&amp; $V116 &amp;"】已使用此筆資料，不可刪除!!" &amp; "' }", CHAR(39),CHAR(34))   &amp; "');","")</f>
        <v/>
      </c>
    </row>
    <row r="117" spans="24:24">
      <c r="X117" s="13" t="str">
        <f>IF($E117="Y","INSERT INTO `sys_table_relation` (`TABLE_NAME`, `CHILD_TABLE_NAME`, `SQL_QUERY`, `ERROR_DESC` ,`ERROR_DESC_JSON`) VALUES ('" &amp;$C117 &amp; "', '" &amp; $U117 &amp; "', '" &amp; "select count(*) from "&amp; $U117 &amp;" where " &amp; IF(COUNTIF(#REF!,"IS_DESTROYED"),"IS_DESTROYED=0 and ","") &amp;#REF! &amp; "={pid}" &amp; "', " &amp; "'【"&amp; $V117 &amp;"】已使用此筆資料，故不可刪除!!'" &amp; ",'" &amp; SUBSTITUTE("{'zh_TW': '" &amp;  "【"&amp; $V117 &amp;"】已使用此筆資料，不可刪除!!"  &amp; "' ,'en_US': '" &amp;  "Have used this information, it can not be deleted !!" &amp; "'  ,'zh_CN': '" &amp; "【"&amp; $V117 &amp;"】已使用此筆資料，不可刪除!!" &amp; "' }", CHAR(39),CHAR(34))   &amp; "');","")</f>
        <v/>
      </c>
    </row>
    <row r="118" spans="24:24">
      <c r="X118" s="13" t="str">
        <f>IF($E118="Y","INSERT INTO `sys_table_relation` (`TABLE_NAME`, `CHILD_TABLE_NAME`, `SQL_QUERY`, `ERROR_DESC` ,`ERROR_DESC_JSON`) VALUES ('" &amp;$C118 &amp; "', '" &amp; $U118 &amp; "', '" &amp; "select count(*) from "&amp; $U118 &amp;" where " &amp; IF(COUNTIF(#REF!,"IS_DESTROYED"),"IS_DESTROYED=0 and ","") &amp;#REF! &amp; "={pid}" &amp; "', " &amp; "'【"&amp; $V118 &amp;"】已使用此筆資料，故不可刪除!!'" &amp; ",'" &amp; SUBSTITUTE("{'zh_TW': '" &amp;  "【"&amp; $V118 &amp;"】已使用此筆資料，不可刪除!!"  &amp; "' ,'en_US': '" &amp;  "Have used this information, it can not be deleted !!" &amp; "'  ,'zh_CN': '" &amp; "【"&amp; $V118 &amp;"】已使用此筆資料，不可刪除!!" &amp; "' }", CHAR(39),CHAR(34))   &amp; "');","")</f>
        <v/>
      </c>
    </row>
    <row r="119" spans="24:24">
      <c r="X119" s="13" t="str">
        <f>IF($E119="Y","INSERT INTO `sys_table_relation` (`TABLE_NAME`, `CHILD_TABLE_NAME`, `SQL_QUERY`, `ERROR_DESC` ,`ERROR_DESC_JSON`) VALUES ('" &amp;$C119 &amp; "', '" &amp; $U119 &amp; "', '" &amp; "select count(*) from "&amp; $U119 &amp;" where " &amp; IF(COUNTIF(#REF!,"IS_DESTROYED"),"IS_DESTROYED=0 and ","") &amp;#REF! &amp; "={pid}" &amp; "', " &amp; "'【"&amp; $V119 &amp;"】已使用此筆資料，故不可刪除!!'" &amp; ",'" &amp; SUBSTITUTE("{'zh_TW': '" &amp;  "【"&amp; $V119 &amp;"】已使用此筆資料，不可刪除!!"  &amp; "' ,'en_US': '" &amp;  "Have used this information, it can not be deleted !!" &amp; "'  ,'zh_CN': '" &amp; "【"&amp; $V119 &amp;"】已使用此筆資料，不可刪除!!" &amp; "' }", CHAR(39),CHAR(34))   &amp; "');","")</f>
        <v/>
      </c>
    </row>
    <row r="120" spans="24:24">
      <c r="X120" s="13" t="str">
        <f>IF($E120="Y","INSERT INTO `sys_table_relation` (`TABLE_NAME`, `CHILD_TABLE_NAME`, `SQL_QUERY`, `ERROR_DESC` ,`ERROR_DESC_JSON`) VALUES ('" &amp;$C120 &amp; "', '" &amp; $U120 &amp; "', '" &amp; "select count(*) from "&amp; $U120 &amp;" where " &amp; IF(COUNTIF(#REF!,"IS_DESTROYED"),"IS_DESTROYED=0 and ","") &amp;#REF! &amp; "={pid}" &amp; "', " &amp; "'【"&amp; $V120 &amp;"】已使用此筆資料，故不可刪除!!'" &amp; ",'" &amp; SUBSTITUTE("{'zh_TW': '" &amp;  "【"&amp; $V120 &amp;"】已使用此筆資料，不可刪除!!"  &amp; "' ,'en_US': '" &amp;  "Have used this information, it can not be deleted !!" &amp; "'  ,'zh_CN': '" &amp; "【"&amp; $V120 &amp;"】已使用此筆資料，不可刪除!!" &amp; "' }", CHAR(39),CHAR(34))   &amp; "');","")</f>
        <v/>
      </c>
    </row>
    <row r="121" spans="24:24">
      <c r="X121" s="13" t="str">
        <f>IF($E121="Y","INSERT INTO `sys_table_relation` (`TABLE_NAME`, `CHILD_TABLE_NAME`, `SQL_QUERY`, `ERROR_DESC` ,`ERROR_DESC_JSON`) VALUES ('" &amp;$C121 &amp; "', '" &amp; $U121 &amp; "', '" &amp; "select count(*) from "&amp; $U121 &amp;" where " &amp; IF(COUNTIF(#REF!,"IS_DESTROYED"),"IS_DESTROYED=0 and ","") &amp;#REF! &amp; "={pid}" &amp; "', " &amp; "'【"&amp; $V121 &amp;"】已使用此筆資料，故不可刪除!!'" &amp; ",'" &amp; SUBSTITUTE("{'zh_TW': '" &amp;  "【"&amp; $V121 &amp;"】已使用此筆資料，不可刪除!!"  &amp; "' ,'en_US': '" &amp;  "Have used this information, it can not be deleted !!" &amp; "'  ,'zh_CN': '" &amp; "【"&amp; $V121 &amp;"】已使用此筆資料，不可刪除!!" &amp; "' }", CHAR(39),CHAR(34))   &amp; "');","")</f>
        <v/>
      </c>
    </row>
    <row r="122" spans="24:24">
      <c r="X122" s="13" t="str">
        <f>IF($E122="Y","INSERT INTO `sys_table_relation` (`TABLE_NAME`, `CHILD_TABLE_NAME`, `SQL_QUERY`, `ERROR_DESC` ,`ERROR_DESC_JSON`) VALUES ('" &amp;$C122 &amp; "', '" &amp; $U122 &amp; "', '" &amp; "select count(*) from "&amp; $U122 &amp;" where " &amp; IF(COUNTIF(#REF!,"IS_DESTROYED"),"IS_DESTROYED=0 and ","") &amp;#REF! &amp; "={pid}" &amp; "', " &amp; "'【"&amp; $V122 &amp;"】已使用此筆資料，故不可刪除!!'" &amp; ",'" &amp; SUBSTITUTE("{'zh_TW': '" &amp;  "【"&amp; $V122 &amp;"】已使用此筆資料，不可刪除!!"  &amp; "' ,'en_US': '" &amp;  "Have used this information, it can not be deleted !!" &amp; "'  ,'zh_CN': '" &amp; "【"&amp; $V122 &amp;"】已使用此筆資料，不可刪除!!" &amp; "' }", CHAR(39),CHAR(34))   &amp; "');","")</f>
        <v/>
      </c>
    </row>
    <row r="123" spans="24:24">
      <c r="X123" s="13" t="str">
        <f>IF($E123="Y","INSERT INTO `sys_table_relation` (`TABLE_NAME`, `CHILD_TABLE_NAME`, `SQL_QUERY`, `ERROR_DESC` ,`ERROR_DESC_JSON`) VALUES ('" &amp;$C123 &amp; "', '" &amp; $U123 &amp; "', '" &amp; "select count(*) from "&amp; $U123 &amp;" where " &amp; IF(COUNTIF(#REF!,"IS_DESTROYED"),"IS_DESTROYED=0 and ","") &amp;#REF! &amp; "={pid}" &amp; "', " &amp; "'【"&amp; $V123 &amp;"】已使用此筆資料，故不可刪除!!'" &amp; ",'" &amp; SUBSTITUTE("{'zh_TW': '" &amp;  "【"&amp; $V123 &amp;"】已使用此筆資料，不可刪除!!"  &amp; "' ,'en_US': '" &amp;  "Have used this information, it can not be deleted !!" &amp; "'  ,'zh_CN': '" &amp; "【"&amp; $V123 &amp;"】已使用此筆資料，不可刪除!!" &amp; "' }", CHAR(39),CHAR(34))   &amp; "');","")</f>
        <v/>
      </c>
    </row>
    <row r="124" spans="24:24">
      <c r="X124" s="13" t="str">
        <f>IF($E124="Y","INSERT INTO `sys_table_relation` (`TABLE_NAME`, `CHILD_TABLE_NAME`, `SQL_QUERY`, `ERROR_DESC` ,`ERROR_DESC_JSON`) VALUES ('" &amp;$C124 &amp; "', '" &amp; $U124 &amp; "', '" &amp; "select count(*) from "&amp; $U124 &amp;" where " &amp; IF(COUNTIF(#REF!,"IS_DESTROYED"),"IS_DESTROYED=0 and ","") &amp;#REF! &amp; "={pid}" &amp; "', " &amp; "'【"&amp; $V124 &amp;"】已使用此筆資料，故不可刪除!!'" &amp; ",'" &amp; SUBSTITUTE("{'zh_TW': '" &amp;  "【"&amp; $V124 &amp;"】已使用此筆資料，不可刪除!!"  &amp; "' ,'en_US': '" &amp;  "Have used this information, it can not be deleted !!" &amp; "'  ,'zh_CN': '" &amp; "【"&amp; $V124 &amp;"】已使用此筆資料，不可刪除!!" &amp; "' }", CHAR(39),CHAR(34))   &amp; "');","")</f>
        <v/>
      </c>
    </row>
    <row r="125" spans="24:24">
      <c r="X125" s="13" t="str">
        <f>IF($E125="Y","INSERT INTO `sys_table_relation` (`TABLE_NAME`, `CHILD_TABLE_NAME`, `SQL_QUERY`, `ERROR_DESC` ,`ERROR_DESC_JSON`) VALUES ('" &amp;$C125 &amp; "', '" &amp; $U125 &amp; "', '" &amp; "select count(*) from "&amp; $U125 &amp;" where " &amp; IF(COUNTIF(#REF!,"IS_DESTROYED"),"IS_DESTROYED=0 and ","") &amp;#REF! &amp; "={pid}" &amp; "', " &amp; "'【"&amp; $V125 &amp;"】已使用此筆資料，故不可刪除!!'" &amp; ",'" &amp; SUBSTITUTE("{'zh_TW': '" &amp;  "【"&amp; $V125 &amp;"】已使用此筆資料，不可刪除!!"  &amp; "' ,'en_US': '" &amp;  "Have used this information, it can not be deleted !!" &amp; "'  ,'zh_CN': '" &amp; "【"&amp; $V125 &amp;"】已使用此筆資料，不可刪除!!" &amp; "' }", CHAR(39),CHAR(34))   &amp; "');","")</f>
        <v/>
      </c>
    </row>
    <row r="126" spans="24:24">
      <c r="X126" s="13" t="str">
        <f>IF($E126="Y","INSERT INTO `sys_table_relation` (`TABLE_NAME`, `CHILD_TABLE_NAME`, `SQL_QUERY`, `ERROR_DESC` ,`ERROR_DESC_JSON`) VALUES ('" &amp;$C126 &amp; "', '" &amp; $U126 &amp; "', '" &amp; "select count(*) from "&amp; $U126 &amp;" where " &amp; IF(COUNTIF(#REF!,"IS_DESTROYED"),"IS_DESTROYED=0 and ","") &amp;#REF! &amp; "={pid}" &amp; "', " &amp; "'【"&amp; $V126 &amp;"】已使用此筆資料，故不可刪除!!'" &amp; ",'" &amp; SUBSTITUTE("{'zh_TW': '" &amp;  "【"&amp; $V126 &amp;"】已使用此筆資料，不可刪除!!"  &amp; "' ,'en_US': '" &amp;  "Have used this information, it can not be deleted !!" &amp; "'  ,'zh_CN': '" &amp; "【"&amp; $V126 &amp;"】已使用此筆資料，不可刪除!!" &amp; "' }", CHAR(39),CHAR(34))   &amp; "');","")</f>
        <v/>
      </c>
    </row>
    <row r="127" spans="24:24">
      <c r="X127" s="13" t="str">
        <f>IF($E127="Y","INSERT INTO `sys_table_relation` (`TABLE_NAME`, `CHILD_TABLE_NAME`, `SQL_QUERY`, `ERROR_DESC` ,`ERROR_DESC_JSON`) VALUES ('" &amp;$C127 &amp; "', '" &amp; $U127 &amp; "', '" &amp; "select count(*) from "&amp; $U127 &amp;" where " &amp; IF(COUNTIF(#REF!,"IS_DESTROYED"),"IS_DESTROYED=0 and ","") &amp;#REF! &amp; "={pid}" &amp; "', " &amp; "'【"&amp; $V127 &amp;"】已使用此筆資料，故不可刪除!!'" &amp; ",'" &amp; SUBSTITUTE("{'zh_TW': '" &amp;  "【"&amp; $V127 &amp;"】已使用此筆資料，不可刪除!!"  &amp; "' ,'en_US': '" &amp;  "Have used this information, it can not be deleted !!" &amp; "'  ,'zh_CN': '" &amp; "【"&amp; $V127 &amp;"】已使用此筆資料，不可刪除!!" &amp; "' }", CHAR(39),CHAR(34))   &amp; "');","")</f>
        <v/>
      </c>
    </row>
    <row r="128" spans="24:24">
      <c r="X128" s="13" t="str">
        <f>IF($E128="Y","INSERT INTO `sys_table_relation` (`TABLE_NAME`, `CHILD_TABLE_NAME`, `SQL_QUERY`, `ERROR_DESC` ,`ERROR_DESC_JSON`) VALUES ('" &amp;$C128 &amp; "', '" &amp; $U128 &amp; "', '" &amp; "select count(*) from "&amp; $U128 &amp;" where " &amp; IF(COUNTIF(#REF!,"IS_DESTROYED"),"IS_DESTROYED=0 and ","") &amp;#REF! &amp; "={pid}" &amp; "', " &amp; "'【"&amp; $V128 &amp;"】已使用此筆資料，故不可刪除!!'" &amp; ",'" &amp; SUBSTITUTE("{'zh_TW': '" &amp;  "【"&amp; $V128 &amp;"】已使用此筆資料，不可刪除!!"  &amp; "' ,'en_US': '" &amp;  "Have used this information, it can not be deleted !!" &amp; "'  ,'zh_CN': '" &amp; "【"&amp; $V128 &amp;"】已使用此筆資料，不可刪除!!" &amp; "' }", CHAR(39),CHAR(34))   &amp; "');","")</f>
        <v/>
      </c>
    </row>
    <row r="129" spans="24:24">
      <c r="X129" s="13" t="str">
        <f>IF($E129="Y","INSERT INTO `sys_table_relation` (`TABLE_NAME`, `CHILD_TABLE_NAME`, `SQL_QUERY`, `ERROR_DESC` ,`ERROR_DESC_JSON`) VALUES ('" &amp;$C129 &amp; "', '" &amp; $U129 &amp; "', '" &amp; "select count(*) from "&amp; $U129 &amp;" where " &amp; IF(COUNTIF(#REF!,"IS_DESTROYED"),"IS_DESTROYED=0 and ","") &amp;#REF! &amp; "={pid}" &amp; "', " &amp; "'【"&amp; $V129 &amp;"】已使用此筆資料，故不可刪除!!'" &amp; ",'" &amp; SUBSTITUTE("{'zh_TW': '" &amp;  "【"&amp; $V129 &amp;"】已使用此筆資料，不可刪除!!"  &amp; "' ,'en_US': '" &amp;  "Have used this information, it can not be deleted !!" &amp; "'  ,'zh_CN': '" &amp; "【"&amp; $V129 &amp;"】已使用此筆資料，不可刪除!!" &amp; "' }", CHAR(39),CHAR(34))   &amp; "');","")</f>
        <v/>
      </c>
    </row>
    <row r="130" spans="24:24">
      <c r="X130" s="13" t="str">
        <f>IF($E130="Y","INSERT INTO `sys_table_relation` (`TABLE_NAME`, `CHILD_TABLE_NAME`, `SQL_QUERY`, `ERROR_DESC` ,`ERROR_DESC_JSON`) VALUES ('" &amp;$C130 &amp; "', '" &amp; $U130 &amp; "', '" &amp; "select count(*) from "&amp; $U130 &amp;" where " &amp; IF(COUNTIF(#REF!,"IS_DESTROYED"),"IS_DESTROYED=0 and ","") &amp;#REF! &amp; "={pid}" &amp; "', " &amp; "'【"&amp; $V130 &amp;"】已使用此筆資料，故不可刪除!!'" &amp; ",'" &amp; SUBSTITUTE("{'zh_TW': '" &amp;  "【"&amp; $V130 &amp;"】已使用此筆資料，不可刪除!!"  &amp; "' ,'en_US': '" &amp;  "Have used this information, it can not be deleted !!" &amp; "'  ,'zh_CN': '" &amp; "【"&amp; $V130 &amp;"】已使用此筆資料，不可刪除!!" &amp; "' }", CHAR(39),CHAR(34))   &amp; "');","")</f>
        <v/>
      </c>
    </row>
    <row r="131" spans="24:24">
      <c r="X131" s="13" t="str">
        <f>IF($E131="Y","INSERT INTO `sys_table_relation` (`TABLE_NAME`, `CHILD_TABLE_NAME`, `SQL_QUERY`, `ERROR_DESC` ,`ERROR_DESC_JSON`) VALUES ('" &amp;$C131 &amp; "', '" &amp; $U131 &amp; "', '" &amp; "select count(*) from "&amp; $U131 &amp;" where " &amp; IF(COUNTIF(#REF!,"IS_DESTROYED"),"IS_DESTROYED=0 and ","") &amp;#REF! &amp; "={pid}" &amp; "', " &amp; "'【"&amp; $V131 &amp;"】已使用此筆資料，故不可刪除!!'" &amp; ",'" &amp; SUBSTITUTE("{'zh_TW': '" &amp;  "【"&amp; $V131 &amp;"】已使用此筆資料，不可刪除!!"  &amp; "' ,'en_US': '" &amp;  "Have used this information, it can not be deleted !!" &amp; "'  ,'zh_CN': '" &amp; "【"&amp; $V131 &amp;"】已使用此筆資料，不可刪除!!" &amp; "' }", CHAR(39),CHAR(34))   &amp; "');","")</f>
        <v/>
      </c>
    </row>
    <row r="132" spans="24:24">
      <c r="X132" s="13" t="str">
        <f>IF($E132="Y","INSERT INTO `sys_table_relation` (`TABLE_NAME`, `CHILD_TABLE_NAME`, `SQL_QUERY`, `ERROR_DESC` ,`ERROR_DESC_JSON`) VALUES ('" &amp;$C132 &amp; "', '" &amp; $U132 &amp; "', '" &amp; "select count(*) from "&amp; $U132 &amp;" where " &amp; IF(COUNTIF(#REF!,"IS_DESTROYED"),"IS_DESTROYED=0 and ","") &amp;#REF! &amp; "={pid}" &amp; "', " &amp; "'【"&amp; $V132 &amp;"】已使用此筆資料，故不可刪除!!'" &amp; ",'" &amp; SUBSTITUTE("{'zh_TW': '" &amp;  "【"&amp; $V132 &amp;"】已使用此筆資料，不可刪除!!"  &amp; "' ,'en_US': '" &amp;  "Have used this information, it can not be deleted !!" &amp; "'  ,'zh_CN': '" &amp; "【"&amp; $V132 &amp;"】已使用此筆資料，不可刪除!!" &amp; "' }", CHAR(39),CHAR(34))   &amp; "');","")</f>
        <v/>
      </c>
    </row>
    <row r="133" spans="24:24">
      <c r="X133" s="13" t="str">
        <f>IF($E133="Y","INSERT INTO `sys_table_relation` (`TABLE_NAME`, `CHILD_TABLE_NAME`, `SQL_QUERY`, `ERROR_DESC` ,`ERROR_DESC_JSON`) VALUES ('" &amp;$C133 &amp; "', '" &amp; $U133 &amp; "', '" &amp; "select count(*) from "&amp; $U133 &amp;" where " &amp; IF(COUNTIF(#REF!,"IS_DESTROYED"),"IS_DESTROYED=0 and ","") &amp;#REF! &amp; "={pid}" &amp; "', " &amp; "'【"&amp; $V133 &amp;"】已使用此筆資料，故不可刪除!!'" &amp; ",'" &amp; SUBSTITUTE("{'zh_TW': '" &amp;  "【"&amp; $V133 &amp;"】已使用此筆資料，不可刪除!!"  &amp; "' ,'en_US': '" &amp;  "Have used this information, it can not be deleted !!" &amp; "'  ,'zh_CN': '" &amp; "【"&amp; $V133 &amp;"】已使用此筆資料，不可刪除!!" &amp; "' }", CHAR(39),CHAR(34))   &amp; "');","")</f>
        <v/>
      </c>
    </row>
    <row r="134" spans="24:24">
      <c r="X134" s="13" t="str">
        <f>IF($E134="Y","INSERT INTO `sys_table_relation` (`TABLE_NAME`, `CHILD_TABLE_NAME`, `SQL_QUERY`, `ERROR_DESC` ,`ERROR_DESC_JSON`) VALUES ('" &amp;$C134 &amp; "', '" &amp; $U134 &amp; "', '" &amp; "select count(*) from "&amp; $U134 &amp;" where " &amp; IF(COUNTIF(#REF!,"IS_DESTROYED"),"IS_DESTROYED=0 and ","") &amp;#REF! &amp; "={pid}" &amp; "', " &amp; "'【"&amp; $V134 &amp;"】已使用此筆資料，故不可刪除!!'" &amp; ",'" &amp; SUBSTITUTE("{'zh_TW': '" &amp;  "【"&amp; $V134 &amp;"】已使用此筆資料，不可刪除!!"  &amp; "' ,'en_US': '" &amp;  "Have used this information, it can not be deleted !!" &amp; "'  ,'zh_CN': '" &amp; "【"&amp; $V134 &amp;"】已使用此筆資料，不可刪除!!" &amp; "' }", CHAR(39),CHAR(34))   &amp; "');","")</f>
        <v/>
      </c>
    </row>
    <row r="135" spans="24:24">
      <c r="X135" s="13" t="str">
        <f>IF($E135="Y","INSERT INTO `sys_table_relation` (`TABLE_NAME`, `CHILD_TABLE_NAME`, `SQL_QUERY`, `ERROR_DESC` ,`ERROR_DESC_JSON`) VALUES ('" &amp;$C135 &amp; "', '" &amp; $U135 &amp; "', '" &amp; "select count(*) from "&amp; $U135 &amp;" where " &amp; IF(COUNTIF(#REF!,"IS_DESTROYED"),"IS_DESTROYED=0 and ","") &amp;#REF! &amp; "={pid}" &amp; "', " &amp; "'【"&amp; $V135 &amp;"】已使用此筆資料，故不可刪除!!'" &amp; ",'" &amp; SUBSTITUTE("{'zh_TW': '" &amp;  "【"&amp; $V135 &amp;"】已使用此筆資料，不可刪除!!"  &amp; "' ,'en_US': '" &amp;  "Have used this information, it can not be deleted !!" &amp; "'  ,'zh_CN': '" &amp; "【"&amp; $V135 &amp;"】已使用此筆資料，不可刪除!!" &amp; "' }", CHAR(39),CHAR(34))   &amp; "');","")</f>
        <v/>
      </c>
    </row>
    <row r="136" spans="24:24">
      <c r="X136" s="13" t="str">
        <f>IF($E136="Y","INSERT INTO `sys_table_relation` (`TABLE_NAME`, `CHILD_TABLE_NAME`, `SQL_QUERY`, `ERROR_DESC` ,`ERROR_DESC_JSON`) VALUES ('" &amp;$C136 &amp; "', '" &amp; $U136 &amp; "', '" &amp; "select count(*) from "&amp; $U136 &amp;" where " &amp; IF(COUNTIF(#REF!,"IS_DESTROYED"),"IS_DESTROYED=0 and ","") &amp;#REF! &amp; "={pid}" &amp; "', " &amp; "'【"&amp; $V136 &amp;"】已使用此筆資料，故不可刪除!!'" &amp; ",'" &amp; SUBSTITUTE("{'zh_TW': '" &amp;  "【"&amp; $V136 &amp;"】已使用此筆資料，不可刪除!!"  &amp; "' ,'en_US': '" &amp;  "Have used this information, it can not be deleted !!" &amp; "'  ,'zh_CN': '" &amp; "【"&amp; $V136 &amp;"】已使用此筆資料，不可刪除!!" &amp; "' }", CHAR(39),CHAR(34))   &amp; "');","")</f>
        <v/>
      </c>
    </row>
    <row r="137" spans="24:24">
      <c r="X137" s="13" t="str">
        <f>IF($E137="Y","INSERT INTO `sys_table_relation` (`TABLE_NAME`, `CHILD_TABLE_NAME`, `SQL_QUERY`, `ERROR_DESC` ,`ERROR_DESC_JSON`) VALUES ('" &amp;$C137 &amp; "', '" &amp; $U137 &amp; "', '" &amp; "select count(*) from "&amp; $U137 &amp;" where " &amp; IF(COUNTIF(#REF!,"IS_DESTROYED"),"IS_DESTROYED=0 and ","") &amp;#REF! &amp; "={pid}" &amp; "', " &amp; "'【"&amp; $V137 &amp;"】已使用此筆資料，故不可刪除!!'" &amp; ",'" &amp; SUBSTITUTE("{'zh_TW': '" &amp;  "【"&amp; $V137 &amp;"】已使用此筆資料，不可刪除!!"  &amp; "' ,'en_US': '" &amp;  "Have used this information, it can not be deleted !!" &amp; "'  ,'zh_CN': '" &amp; "【"&amp; $V137 &amp;"】已使用此筆資料，不可刪除!!" &amp; "' }", CHAR(39),CHAR(34))   &amp; "');","")</f>
        <v/>
      </c>
    </row>
    <row r="138" spans="24:24">
      <c r="X138" s="13" t="str">
        <f>IF($E138="Y","INSERT INTO `sys_table_relation` (`TABLE_NAME`, `CHILD_TABLE_NAME`, `SQL_QUERY`, `ERROR_DESC` ,`ERROR_DESC_JSON`) VALUES ('" &amp;$C138 &amp; "', '" &amp; $U138 &amp; "', '" &amp; "select count(*) from "&amp; $U138 &amp;" where " &amp; IF(COUNTIF(#REF!,"IS_DESTROYED"),"IS_DESTROYED=0 and ","") &amp;#REF! &amp; "={pid}" &amp; "', " &amp; "'【"&amp; $V138 &amp;"】已使用此筆資料，故不可刪除!!'" &amp; ",'" &amp; SUBSTITUTE("{'zh_TW': '" &amp;  "【"&amp; $V138 &amp;"】已使用此筆資料，不可刪除!!"  &amp; "' ,'en_US': '" &amp;  "Have used this information, it can not be deleted !!" &amp; "'  ,'zh_CN': '" &amp; "【"&amp; $V138 &amp;"】已使用此筆資料，不可刪除!!" &amp; "' }", CHAR(39),CHAR(34))   &amp; "');","")</f>
        <v/>
      </c>
    </row>
    <row r="139" spans="24:24">
      <c r="X139" s="13" t="str">
        <f>IF($E139="Y","INSERT INTO `sys_table_relation` (`TABLE_NAME`, `CHILD_TABLE_NAME`, `SQL_QUERY`, `ERROR_DESC` ,`ERROR_DESC_JSON`) VALUES ('" &amp;$C139 &amp; "', '" &amp; $U139 &amp; "', '" &amp; "select count(*) from "&amp; $U139 &amp;" where " &amp; IF(COUNTIF(#REF!,"IS_DESTROYED"),"IS_DESTROYED=0 and ","") &amp;#REF! &amp; "={pid}" &amp; "', " &amp; "'【"&amp; $V139 &amp;"】已使用此筆資料，故不可刪除!!'" &amp; ",'" &amp; SUBSTITUTE("{'zh_TW': '" &amp;  "【"&amp; $V139 &amp;"】已使用此筆資料，不可刪除!!"  &amp; "' ,'en_US': '" &amp;  "Have used this information, it can not be deleted !!" &amp; "'  ,'zh_CN': '" &amp; "【"&amp; $V139 &amp;"】已使用此筆資料，不可刪除!!" &amp; "' }", CHAR(39),CHAR(34))   &amp; "');","")</f>
        <v/>
      </c>
    </row>
    <row r="140" spans="24:24">
      <c r="X140" s="13" t="str">
        <f>IF($E140="Y","INSERT INTO `sys_table_relation` (`TABLE_NAME`, `CHILD_TABLE_NAME`, `SQL_QUERY`, `ERROR_DESC` ,`ERROR_DESC_JSON`) VALUES ('" &amp;$C140 &amp; "', '" &amp; $U140 &amp; "', '" &amp; "select count(*) from "&amp; $U140 &amp;" where " &amp; IF(COUNTIF(#REF!,"IS_DESTROYED"),"IS_DESTROYED=0 and ","") &amp;#REF! &amp; "={pid}" &amp; "', " &amp; "'【"&amp; $V140 &amp;"】已使用此筆資料，故不可刪除!!'" &amp; ",'" &amp; SUBSTITUTE("{'zh_TW': '" &amp;  "【"&amp; $V140 &amp;"】已使用此筆資料，不可刪除!!"  &amp; "' ,'en_US': '" &amp;  "Have used this information, it can not be deleted !!" &amp; "'  ,'zh_CN': '" &amp; "【"&amp; $V140 &amp;"】已使用此筆資料，不可刪除!!" &amp; "' }", CHAR(39),CHAR(34))   &amp; "');","")</f>
        <v/>
      </c>
    </row>
    <row r="141" spans="24:24">
      <c r="X141" s="13" t="str">
        <f>IF($E141="Y","INSERT INTO `sys_table_relation` (`TABLE_NAME`, `CHILD_TABLE_NAME`, `SQL_QUERY`, `ERROR_DESC` ,`ERROR_DESC_JSON`) VALUES ('" &amp;$C141 &amp; "', '" &amp; $U141 &amp; "', '" &amp; "select count(*) from "&amp; $U141 &amp;" where " &amp; IF(COUNTIF(#REF!,"IS_DESTROYED"),"IS_DESTROYED=0 and ","") &amp;#REF! &amp; "={pid}" &amp; "', " &amp; "'【"&amp; $V141 &amp;"】已使用此筆資料，故不可刪除!!'" &amp; ",'" &amp; SUBSTITUTE("{'zh_TW': '" &amp;  "【"&amp; $V141 &amp;"】已使用此筆資料，不可刪除!!"  &amp; "' ,'en_US': '" &amp;  "Have used this information, it can not be deleted !!" &amp; "'  ,'zh_CN': '" &amp; "【"&amp; $V141 &amp;"】已使用此筆資料，不可刪除!!" &amp; "' }", CHAR(39),CHAR(34))   &amp; "');","")</f>
        <v/>
      </c>
    </row>
    <row r="142" spans="24:24">
      <c r="X142" s="13" t="str">
        <f>IF($E142="Y","INSERT INTO `sys_table_relation` (`TABLE_NAME`, `CHILD_TABLE_NAME`, `SQL_QUERY`, `ERROR_DESC` ,`ERROR_DESC_JSON`) VALUES ('" &amp;$C142 &amp; "', '" &amp; $U142 &amp; "', '" &amp; "select count(*) from "&amp; $U142 &amp;" where " &amp; IF(COUNTIF(#REF!,"IS_DESTROYED"),"IS_DESTROYED=0 and ","") &amp;#REF! &amp; "={pid}" &amp; "', " &amp; "'【"&amp; $V142 &amp;"】已使用此筆資料，故不可刪除!!'" &amp; ",'" &amp; SUBSTITUTE("{'zh_TW': '" &amp;  "【"&amp; $V142 &amp;"】已使用此筆資料，不可刪除!!"  &amp; "' ,'en_US': '" &amp;  "Have used this information, it can not be deleted !!" &amp; "'  ,'zh_CN': '" &amp; "【"&amp; $V142 &amp;"】已使用此筆資料，不可刪除!!" &amp; "' }", CHAR(39),CHAR(34))   &amp; "');","")</f>
        <v/>
      </c>
    </row>
    <row r="143" spans="24:24">
      <c r="X143" s="13" t="str">
        <f>IF($E143="Y","INSERT INTO `sys_table_relation` (`TABLE_NAME`, `CHILD_TABLE_NAME`, `SQL_QUERY`, `ERROR_DESC` ,`ERROR_DESC_JSON`) VALUES ('" &amp;$C143 &amp; "', '" &amp; $U143 &amp; "', '" &amp; "select count(*) from "&amp; $U143 &amp;" where " &amp; IF(COUNTIF(#REF!,"IS_DESTROYED"),"IS_DESTROYED=0 and ","") &amp;#REF! &amp; "={pid}" &amp; "', " &amp; "'【"&amp; $V143 &amp;"】已使用此筆資料，故不可刪除!!'" &amp; ",'" &amp; SUBSTITUTE("{'zh_TW': '" &amp;  "【"&amp; $V143 &amp;"】已使用此筆資料，不可刪除!!"  &amp; "' ,'en_US': '" &amp;  "Have used this information, it can not be deleted !!" &amp; "'  ,'zh_CN': '" &amp; "【"&amp; $V143 &amp;"】已使用此筆資料，不可刪除!!" &amp; "' }", CHAR(39),CHAR(34))   &amp; "');","")</f>
        <v/>
      </c>
    </row>
    <row r="144" spans="24:24">
      <c r="X144" s="13" t="str">
        <f>IF($E144="Y","INSERT INTO `sys_table_relation` (`TABLE_NAME`, `CHILD_TABLE_NAME`, `SQL_QUERY`, `ERROR_DESC` ,`ERROR_DESC_JSON`) VALUES ('" &amp;$C144 &amp; "', '" &amp; $U144 &amp; "', '" &amp; "select count(*) from "&amp; $U144 &amp;" where " &amp; IF(COUNTIF(#REF!,"IS_DESTROYED"),"IS_DESTROYED=0 and ","") &amp;#REF! &amp; "={pid}" &amp; "', " &amp; "'【"&amp; $V144 &amp;"】已使用此筆資料，故不可刪除!!'" &amp; ",'" &amp; SUBSTITUTE("{'zh_TW': '" &amp;  "【"&amp; $V144 &amp;"】已使用此筆資料，不可刪除!!"  &amp; "' ,'en_US': '" &amp;  "Have used this information, it can not be deleted !!" &amp; "'  ,'zh_CN': '" &amp; "【"&amp; $V144 &amp;"】已使用此筆資料，不可刪除!!" &amp; "' }", CHAR(39),CHAR(34))   &amp; "');","")</f>
        <v/>
      </c>
    </row>
    <row r="145" spans="24:24">
      <c r="X145" s="13" t="str">
        <f>IF($E145="Y","INSERT INTO `sys_table_relation` (`TABLE_NAME`, `CHILD_TABLE_NAME`, `SQL_QUERY`, `ERROR_DESC` ,`ERROR_DESC_JSON`) VALUES ('" &amp;$C145 &amp; "', '" &amp; $U145 &amp; "', '" &amp; "select count(*) from "&amp; $U145 &amp;" where " &amp; IF(COUNTIF(#REF!,"IS_DESTROYED"),"IS_DESTROYED=0 and ","") &amp;#REF! &amp; "={pid}" &amp; "', " &amp; "'【"&amp; $V145 &amp;"】已使用此筆資料，故不可刪除!!'" &amp; ",'" &amp; SUBSTITUTE("{'zh_TW': '" &amp;  "【"&amp; $V145 &amp;"】已使用此筆資料，不可刪除!!"  &amp; "' ,'en_US': '" &amp;  "Have used this information, it can not be deleted !!" &amp; "'  ,'zh_CN': '" &amp; "【"&amp; $V145 &amp;"】已使用此筆資料，不可刪除!!" &amp; "' }", CHAR(39),CHAR(34))   &amp; "');","")</f>
        <v/>
      </c>
    </row>
    <row r="146" spans="24:24">
      <c r="X146" s="13" t="str">
        <f>IF($E146="Y","INSERT INTO `sys_table_relation` (`TABLE_NAME`, `CHILD_TABLE_NAME`, `SQL_QUERY`, `ERROR_DESC` ,`ERROR_DESC_JSON`) VALUES ('" &amp;$C146 &amp; "', '" &amp; $U146 &amp; "', '" &amp; "select count(*) from "&amp; $U146 &amp;" where " &amp; IF(COUNTIF(#REF!,"IS_DESTROYED"),"IS_DESTROYED=0 and ","") &amp;#REF! &amp; "={pid}" &amp; "', " &amp; "'【"&amp; $V146 &amp;"】已使用此筆資料，故不可刪除!!'" &amp; ",'" &amp; SUBSTITUTE("{'zh_TW': '" &amp;  "【"&amp; $V146 &amp;"】已使用此筆資料，不可刪除!!"  &amp; "' ,'en_US': '" &amp;  "Have used this information, it can not be deleted !!" &amp; "'  ,'zh_CN': '" &amp; "【"&amp; $V146 &amp;"】已使用此筆資料，不可刪除!!" &amp; "' }", CHAR(39),CHAR(34))   &amp; "');","")</f>
        <v/>
      </c>
    </row>
    <row r="147" spans="24:24">
      <c r="X147" s="13" t="str">
        <f>IF($E147="Y","INSERT INTO `sys_table_relation` (`TABLE_NAME`, `CHILD_TABLE_NAME`, `SQL_QUERY`, `ERROR_DESC` ,`ERROR_DESC_JSON`) VALUES ('" &amp;$C147 &amp; "', '" &amp; $U147 &amp; "', '" &amp; "select count(*) from "&amp; $U147 &amp;" where " &amp; IF(COUNTIF(#REF!,"IS_DESTROYED"),"IS_DESTROYED=0 and ","") &amp;#REF! &amp; "={pid}" &amp; "', " &amp; "'【"&amp; $V147 &amp;"】已使用此筆資料，故不可刪除!!'" &amp; ",'" &amp; SUBSTITUTE("{'zh_TW': '" &amp;  "【"&amp; $V147 &amp;"】已使用此筆資料，不可刪除!!"  &amp; "' ,'en_US': '" &amp;  "Have used this information, it can not be deleted !!" &amp; "'  ,'zh_CN': '" &amp; "【"&amp; $V147 &amp;"】已使用此筆資料，不可刪除!!" &amp; "' }", CHAR(39),CHAR(34))   &amp; "');","")</f>
        <v/>
      </c>
    </row>
    <row r="148" spans="24:24">
      <c r="X148" s="13" t="str">
        <f>IF($E148="Y","INSERT INTO `sys_table_relation` (`TABLE_NAME`, `CHILD_TABLE_NAME`, `SQL_QUERY`, `ERROR_DESC` ,`ERROR_DESC_JSON`) VALUES ('" &amp;$C148 &amp; "', '" &amp; $U148 &amp; "', '" &amp; "select count(*) from "&amp; $U148 &amp;" where " &amp; IF(COUNTIF(#REF!,"IS_DESTROYED"),"IS_DESTROYED=0 and ","") &amp;#REF! &amp; "={pid}" &amp; "', " &amp; "'【"&amp; $V148 &amp;"】已使用此筆資料，故不可刪除!!'" &amp; ",'" &amp; SUBSTITUTE("{'zh_TW': '" &amp;  "【"&amp; $V148 &amp;"】已使用此筆資料，不可刪除!!"  &amp; "' ,'en_US': '" &amp;  "Have used this information, it can not be deleted !!" &amp; "'  ,'zh_CN': '" &amp; "【"&amp; $V148 &amp;"】已使用此筆資料，不可刪除!!" &amp; "' }", CHAR(39),CHAR(34))   &amp; "');","")</f>
        <v/>
      </c>
    </row>
    <row r="149" spans="24:24">
      <c r="X149" s="13" t="str">
        <f>IF($E149="Y","INSERT INTO `sys_table_relation` (`TABLE_NAME`, `CHILD_TABLE_NAME`, `SQL_QUERY`, `ERROR_DESC` ,`ERROR_DESC_JSON`) VALUES ('" &amp;$C149 &amp; "', '" &amp; $U149 &amp; "', '" &amp; "select count(*) from "&amp; $U149 &amp;" where " &amp; IF(COUNTIF(#REF!,"IS_DESTROYED"),"IS_DESTROYED=0 and ","") &amp;#REF! &amp; "={pid}" &amp; "', " &amp; "'【"&amp; $V149 &amp;"】已使用此筆資料，故不可刪除!!'" &amp; ",'" &amp; SUBSTITUTE("{'zh_TW': '" &amp;  "【"&amp; $V149 &amp;"】已使用此筆資料，不可刪除!!"  &amp; "' ,'en_US': '" &amp;  "Have used this information, it can not be deleted !!" &amp; "'  ,'zh_CN': '" &amp; "【"&amp; $V149 &amp;"】已使用此筆資料，不可刪除!!" &amp; "' }", CHAR(39),CHAR(34))   &amp; "');","")</f>
        <v/>
      </c>
    </row>
    <row r="150" spans="24:24">
      <c r="X150" s="13" t="str">
        <f>IF($E150="Y","INSERT INTO `sys_table_relation` (`TABLE_NAME`, `CHILD_TABLE_NAME`, `SQL_QUERY`, `ERROR_DESC` ,`ERROR_DESC_JSON`) VALUES ('" &amp;$C150 &amp; "', '" &amp; $U150 &amp; "', '" &amp; "select count(*) from "&amp; $U150 &amp;" where " &amp; IF(COUNTIF(#REF!,"IS_DESTROYED"),"IS_DESTROYED=0 and ","") &amp;#REF! &amp; "={pid}" &amp; "', " &amp; "'【"&amp; $V150 &amp;"】已使用此筆資料，故不可刪除!!'" &amp; ",'" &amp; SUBSTITUTE("{'zh_TW': '" &amp;  "【"&amp; $V150 &amp;"】已使用此筆資料，不可刪除!!"  &amp; "' ,'en_US': '" &amp;  "Have used this information, it can not be deleted !!" &amp; "'  ,'zh_CN': '" &amp; "【"&amp; $V150 &amp;"】已使用此筆資料，不可刪除!!" &amp; "' }", CHAR(39),CHAR(34))   &amp; "');","")</f>
        <v/>
      </c>
    </row>
    <row r="151" spans="24:24">
      <c r="X151" s="13" t="str">
        <f>IF($E151="Y","INSERT INTO `sys_table_relation` (`TABLE_NAME`, `CHILD_TABLE_NAME`, `SQL_QUERY`, `ERROR_DESC` ,`ERROR_DESC_JSON`) VALUES ('" &amp;$C151 &amp; "', '" &amp; $U151 &amp; "', '" &amp; "select count(*) from "&amp; $U151 &amp;" where " &amp; IF(COUNTIF(#REF!,"IS_DESTROYED"),"IS_DESTROYED=0 and ","") &amp;#REF! &amp; "={pid}" &amp; "', " &amp; "'【"&amp; $V151 &amp;"】已使用此筆資料，故不可刪除!!'" &amp; ",'" &amp; SUBSTITUTE("{'zh_TW': '" &amp;  "【"&amp; $V151 &amp;"】已使用此筆資料，不可刪除!!"  &amp; "' ,'en_US': '" &amp;  "Have used this information, it can not be deleted !!" &amp; "'  ,'zh_CN': '" &amp; "【"&amp; $V151 &amp;"】已使用此筆資料，不可刪除!!" &amp; "' }", CHAR(39),CHAR(34))   &amp; "');","")</f>
        <v/>
      </c>
    </row>
    <row r="152" spans="24:24">
      <c r="X152" s="13" t="str">
        <f>IF($E152="Y","INSERT INTO `sys_table_relation` (`TABLE_NAME`, `CHILD_TABLE_NAME`, `SQL_QUERY`, `ERROR_DESC` ,`ERROR_DESC_JSON`) VALUES ('" &amp;$C152 &amp; "', '" &amp; $U152 &amp; "', '" &amp; "select count(*) from "&amp; $U152 &amp;" where " &amp; IF(COUNTIF(#REF!,"IS_DESTROYED"),"IS_DESTROYED=0 and ","") &amp;#REF! &amp; "={pid}" &amp; "', " &amp; "'【"&amp; $V152 &amp;"】已使用此筆資料，故不可刪除!!'" &amp; ",'" &amp; SUBSTITUTE("{'zh_TW': '" &amp;  "【"&amp; $V152 &amp;"】已使用此筆資料，不可刪除!!"  &amp; "' ,'en_US': '" &amp;  "Have used this information, it can not be deleted !!" &amp; "'  ,'zh_CN': '" &amp; "【"&amp; $V152 &amp;"】已使用此筆資料，不可刪除!!" &amp; "' }", CHAR(39),CHAR(34))   &amp; "');","")</f>
        <v/>
      </c>
    </row>
    <row r="153" spans="24:24">
      <c r="X153" s="13" t="str">
        <f>IF($E153="Y","INSERT INTO `sys_table_relation` (`TABLE_NAME`, `CHILD_TABLE_NAME`, `SQL_QUERY`, `ERROR_DESC` ,`ERROR_DESC_JSON`) VALUES ('" &amp;$C153 &amp; "', '" &amp; $U153 &amp; "', '" &amp; "select count(*) from "&amp; $U153 &amp;" where " &amp; IF(COUNTIF(#REF!,"IS_DESTROYED"),"IS_DESTROYED=0 and ","") &amp;#REF! &amp; "={pid}" &amp; "', " &amp; "'【"&amp; $V153 &amp;"】已使用此筆資料，故不可刪除!!'" &amp; ",'" &amp; SUBSTITUTE("{'zh_TW': '" &amp;  "【"&amp; $V153 &amp;"】已使用此筆資料，不可刪除!!"  &amp; "' ,'en_US': '" &amp;  "Have used this information, it can not be deleted !!" &amp; "'  ,'zh_CN': '" &amp; "【"&amp; $V153 &amp;"】已使用此筆資料，不可刪除!!" &amp; "' }", CHAR(39),CHAR(34))   &amp; "');","")</f>
        <v/>
      </c>
    </row>
    <row r="154" spans="24:24">
      <c r="X154" s="13" t="str">
        <f>IF($E154="Y","INSERT INTO `sys_table_relation` (`TABLE_NAME`, `CHILD_TABLE_NAME`, `SQL_QUERY`, `ERROR_DESC` ,`ERROR_DESC_JSON`) VALUES ('" &amp;$C154 &amp; "', '" &amp; $U154 &amp; "', '" &amp; "select count(*) from "&amp; $U154 &amp;" where " &amp; IF(COUNTIF(#REF!,"IS_DESTROYED"),"IS_DESTROYED=0 and ","") &amp;#REF! &amp; "={pid}" &amp; "', " &amp; "'【"&amp; $V154 &amp;"】已使用此筆資料，故不可刪除!!'" &amp; ",'" &amp; SUBSTITUTE("{'zh_TW': '" &amp;  "【"&amp; $V154 &amp;"】已使用此筆資料，不可刪除!!"  &amp; "' ,'en_US': '" &amp;  "Have used this information, it can not be deleted !!" &amp; "'  ,'zh_CN': '" &amp; "【"&amp; $V154 &amp;"】已使用此筆資料，不可刪除!!" &amp; "' }", CHAR(39),CHAR(34))   &amp; "');","")</f>
        <v/>
      </c>
    </row>
    <row r="155" spans="24:24">
      <c r="X155" s="13" t="str">
        <f>IF($E155="Y","INSERT INTO `sys_table_relation` (`TABLE_NAME`, `CHILD_TABLE_NAME`, `SQL_QUERY`, `ERROR_DESC` ,`ERROR_DESC_JSON`) VALUES ('" &amp;$C155 &amp; "', '" &amp; $U155 &amp; "', '" &amp; "select count(*) from "&amp; $U155 &amp;" where " &amp; IF(COUNTIF(#REF!,"IS_DESTROYED"),"IS_DESTROYED=0 and ","") &amp;#REF! &amp; "={pid}" &amp; "', " &amp; "'【"&amp; $V155 &amp;"】已使用此筆資料，故不可刪除!!'" &amp; ",'" &amp; SUBSTITUTE("{'zh_TW': '" &amp;  "【"&amp; $V155 &amp;"】已使用此筆資料，不可刪除!!"  &amp; "' ,'en_US': '" &amp;  "Have used this information, it can not be deleted !!" &amp; "'  ,'zh_CN': '" &amp; "【"&amp; $V155 &amp;"】已使用此筆資料，不可刪除!!" &amp; "' }", CHAR(39),CHAR(34))   &amp; "');","")</f>
        <v/>
      </c>
    </row>
    <row r="156" spans="24:24">
      <c r="X156" s="13" t="str">
        <f>IF($E156="Y","INSERT INTO `sys_table_relation` (`TABLE_NAME`, `CHILD_TABLE_NAME`, `SQL_QUERY`, `ERROR_DESC` ,`ERROR_DESC_JSON`) VALUES ('" &amp;$C156 &amp; "', '" &amp; $U156 &amp; "', '" &amp; "select count(*) from "&amp; $U156 &amp;" where " &amp; IF(COUNTIF(#REF!,"IS_DESTROYED"),"IS_DESTROYED=0 and ","") &amp;#REF! &amp; "={pid}" &amp; "', " &amp; "'【"&amp; $V156 &amp;"】已使用此筆資料，故不可刪除!!'" &amp; ",'" &amp; SUBSTITUTE("{'zh_TW': '" &amp;  "【"&amp; $V156 &amp;"】已使用此筆資料，不可刪除!!"  &amp; "' ,'en_US': '" &amp;  "Have used this information, it can not be deleted !!" &amp; "'  ,'zh_CN': '" &amp; "【"&amp; $V156 &amp;"】已使用此筆資料，不可刪除!!" &amp; "' }", CHAR(39),CHAR(34))   &amp; "');","")</f>
        <v/>
      </c>
    </row>
    <row r="157" spans="24:24">
      <c r="X157" s="13" t="str">
        <f>IF($E157="Y","INSERT INTO `sys_table_relation` (`TABLE_NAME`, `CHILD_TABLE_NAME`, `SQL_QUERY`, `ERROR_DESC` ,`ERROR_DESC_JSON`) VALUES ('" &amp;$C157 &amp; "', '" &amp; $U157 &amp; "', '" &amp; "select count(*) from "&amp; $U157 &amp;" where " &amp; IF(COUNTIF(#REF!,"IS_DESTROYED"),"IS_DESTROYED=0 and ","") &amp;#REF! &amp; "={pid}" &amp; "', " &amp; "'【"&amp; $V157 &amp;"】已使用此筆資料，故不可刪除!!'" &amp; ",'" &amp; SUBSTITUTE("{'zh_TW': '" &amp;  "【"&amp; $V157 &amp;"】已使用此筆資料，不可刪除!!"  &amp; "' ,'en_US': '" &amp;  "Have used this information, it can not be deleted !!" &amp; "'  ,'zh_CN': '" &amp; "【"&amp; $V157 &amp;"】已使用此筆資料，不可刪除!!" &amp; "' }", CHAR(39),CHAR(34))   &amp; "');","")</f>
        <v/>
      </c>
    </row>
    <row r="158" spans="24:24">
      <c r="X158" s="13" t="str">
        <f>IF($E158="Y","INSERT INTO `sys_table_relation` (`TABLE_NAME`, `CHILD_TABLE_NAME`, `SQL_QUERY`, `ERROR_DESC` ,`ERROR_DESC_JSON`) VALUES ('" &amp;$C158 &amp; "', '" &amp; $U158 &amp; "', '" &amp; "select count(*) from "&amp; $U158 &amp;" where " &amp; IF(COUNTIF(#REF!,"IS_DESTROYED"),"IS_DESTROYED=0 and ","") &amp;#REF! &amp; "={pid}" &amp; "', " &amp; "'【"&amp; $V158 &amp;"】已使用此筆資料，故不可刪除!!'" &amp; ",'" &amp; SUBSTITUTE("{'zh_TW': '" &amp;  "【"&amp; $V158 &amp;"】已使用此筆資料，不可刪除!!"  &amp; "' ,'en_US': '" &amp;  "Have used this information, it can not be deleted !!" &amp; "'  ,'zh_CN': '" &amp; "【"&amp; $V158 &amp;"】已使用此筆資料，不可刪除!!" &amp; "' }", CHAR(39),CHAR(34))   &amp; "');","")</f>
        <v/>
      </c>
    </row>
    <row r="159" spans="24:24">
      <c r="X159" s="13" t="str">
        <f>IF($E159="Y","INSERT INTO `sys_table_relation` (`TABLE_NAME`, `CHILD_TABLE_NAME`, `SQL_QUERY`, `ERROR_DESC` ,`ERROR_DESC_JSON`) VALUES ('" &amp;$C159 &amp; "', '" &amp; $U159 &amp; "', '" &amp; "select count(*) from "&amp; $U159 &amp;" where " &amp; IF(COUNTIF(#REF!,"IS_DESTROYED"),"IS_DESTROYED=0 and ","") &amp;#REF! &amp; "={pid}" &amp; "', " &amp; "'【"&amp; $V159 &amp;"】已使用此筆資料，故不可刪除!!'" &amp; ",'" &amp; SUBSTITUTE("{'zh_TW': '" &amp;  "【"&amp; $V159 &amp;"】已使用此筆資料，不可刪除!!"  &amp; "' ,'en_US': '" &amp;  "Have used this information, it can not be deleted !!" &amp; "'  ,'zh_CN': '" &amp; "【"&amp; $V159 &amp;"】已使用此筆資料，不可刪除!!" &amp; "' }", CHAR(39),CHAR(34))   &amp; "');","")</f>
        <v/>
      </c>
    </row>
    <row r="160" spans="24:24">
      <c r="X160" s="13" t="str">
        <f>IF($E160="Y","INSERT INTO `sys_table_relation` (`TABLE_NAME`, `CHILD_TABLE_NAME`, `SQL_QUERY`, `ERROR_DESC` ,`ERROR_DESC_JSON`) VALUES ('" &amp;$C160 &amp; "', '" &amp; $U160 &amp; "', '" &amp; "select count(*) from "&amp; $U160 &amp;" where " &amp; IF(COUNTIF(#REF!,"IS_DESTROYED"),"IS_DESTROYED=0 and ","") &amp;#REF! &amp; "={pid}" &amp; "', " &amp; "'【"&amp; $V160 &amp;"】已使用此筆資料，故不可刪除!!'" &amp; ",'" &amp; SUBSTITUTE("{'zh_TW': '" &amp;  "【"&amp; $V160 &amp;"】已使用此筆資料，不可刪除!!"  &amp; "' ,'en_US': '" &amp;  "Have used this information, it can not be deleted !!" &amp; "'  ,'zh_CN': '" &amp; "【"&amp; $V160 &amp;"】已使用此筆資料，不可刪除!!" &amp; "' }", CHAR(39),CHAR(34))   &amp; "');","")</f>
        <v/>
      </c>
    </row>
    <row r="161" spans="24:24">
      <c r="X161" s="13" t="str">
        <f>IF($E161="Y","INSERT INTO `sys_table_relation` (`TABLE_NAME`, `CHILD_TABLE_NAME`, `SQL_QUERY`, `ERROR_DESC` ,`ERROR_DESC_JSON`) VALUES ('" &amp;$C161 &amp; "', '" &amp; $U161 &amp; "', '" &amp; "select count(*) from "&amp; $U161 &amp;" where " &amp; IF(COUNTIF(#REF!,"IS_DESTROYED"),"IS_DESTROYED=0 and ","") &amp;#REF! &amp; "={pid}" &amp; "', " &amp; "'【"&amp; $V161 &amp;"】已使用此筆資料，故不可刪除!!'" &amp; ",'" &amp; SUBSTITUTE("{'zh_TW': '" &amp;  "【"&amp; $V161 &amp;"】已使用此筆資料，不可刪除!!"  &amp; "' ,'en_US': '" &amp;  "Have used this information, it can not be deleted !!" &amp; "'  ,'zh_CN': '" &amp; "【"&amp; $V161 &amp;"】已使用此筆資料，不可刪除!!" &amp; "' }", CHAR(39),CHAR(34))   &amp; "');","")</f>
        <v/>
      </c>
    </row>
    <row r="162" spans="24:24">
      <c r="X162" s="13" t="str">
        <f>IF($E162="Y","INSERT INTO `sys_table_relation` (`TABLE_NAME`, `CHILD_TABLE_NAME`, `SQL_QUERY`, `ERROR_DESC` ,`ERROR_DESC_JSON`) VALUES ('" &amp;$C162 &amp; "', '" &amp; $U162 &amp; "', '" &amp; "select count(*) from "&amp; $U162 &amp;" where " &amp; IF(COUNTIF(#REF!,"IS_DESTROYED"),"IS_DESTROYED=0 and ","") &amp;#REF! &amp; "={pid}" &amp; "', " &amp; "'【"&amp; $V162 &amp;"】已使用此筆資料，故不可刪除!!'" &amp; ",'" &amp; SUBSTITUTE("{'zh_TW': '" &amp;  "【"&amp; $V162 &amp;"】已使用此筆資料，不可刪除!!"  &amp; "' ,'en_US': '" &amp;  "Have used this information, it can not be deleted !!" &amp; "'  ,'zh_CN': '" &amp; "【"&amp; $V162 &amp;"】已使用此筆資料，不可刪除!!" &amp; "' }", CHAR(39),CHAR(34))   &amp; "');","")</f>
        <v/>
      </c>
    </row>
    <row r="163" spans="24:24">
      <c r="X163" s="13" t="str">
        <f>IF($E163="Y","INSERT INTO `sys_table_relation` (`TABLE_NAME`, `CHILD_TABLE_NAME`, `SQL_QUERY`, `ERROR_DESC` ,`ERROR_DESC_JSON`) VALUES ('" &amp;$C163 &amp; "', '" &amp; $U163 &amp; "', '" &amp; "select count(*) from "&amp; $U163 &amp;" where " &amp; IF(COUNTIF(#REF!,"IS_DESTROYED"),"IS_DESTROYED=0 and ","") &amp;#REF! &amp; "={pid}" &amp; "', " &amp; "'【"&amp; $V163 &amp;"】已使用此筆資料，故不可刪除!!'" &amp; ",'" &amp; SUBSTITUTE("{'zh_TW': '" &amp;  "【"&amp; $V163 &amp;"】已使用此筆資料，不可刪除!!"  &amp; "' ,'en_US': '" &amp;  "Have used this information, it can not be deleted !!" &amp; "'  ,'zh_CN': '" &amp; "【"&amp; $V163 &amp;"】已使用此筆資料，不可刪除!!" &amp; "' }", CHAR(39),CHAR(34))   &amp; "');","")</f>
        <v/>
      </c>
    </row>
    <row r="164" spans="24:24">
      <c r="X164" s="13" t="str">
        <f>IF($E164="Y","INSERT INTO `sys_table_relation` (`TABLE_NAME`, `CHILD_TABLE_NAME`, `SQL_QUERY`, `ERROR_DESC` ,`ERROR_DESC_JSON`) VALUES ('" &amp;$C164 &amp; "', '" &amp; $U164 &amp; "', '" &amp; "select count(*) from "&amp; $U164 &amp;" where " &amp; IF(COUNTIF(#REF!,"IS_DESTROYED"),"IS_DESTROYED=0 and ","") &amp;#REF! &amp; "={pid}" &amp; "', " &amp; "'【"&amp; $V164 &amp;"】已使用此筆資料，故不可刪除!!'" &amp; ",'" &amp; SUBSTITUTE("{'zh_TW': '" &amp;  "【"&amp; $V164 &amp;"】已使用此筆資料，不可刪除!!"  &amp; "' ,'en_US': '" &amp;  "Have used this information, it can not be deleted !!" &amp; "'  ,'zh_CN': '" &amp; "【"&amp; $V164 &amp;"】已使用此筆資料，不可刪除!!" &amp; "' }", CHAR(39),CHAR(34))   &amp; "');","")</f>
        <v/>
      </c>
    </row>
    <row r="165" spans="24:24">
      <c r="X165" s="13" t="str">
        <f>IF($E165="Y","INSERT INTO `sys_table_relation` (`TABLE_NAME`, `CHILD_TABLE_NAME`, `SQL_QUERY`, `ERROR_DESC` ,`ERROR_DESC_JSON`) VALUES ('" &amp;$C165 &amp; "', '" &amp; $U165 &amp; "', '" &amp; "select count(*) from "&amp; $U165 &amp;" where " &amp; IF(COUNTIF(#REF!,"IS_DESTROYED"),"IS_DESTROYED=0 and ","") &amp;#REF! &amp; "={pid}" &amp; "', " &amp; "'【"&amp; $V165 &amp;"】已使用此筆資料，故不可刪除!!'" &amp; ",'" &amp; SUBSTITUTE("{'zh_TW': '" &amp;  "【"&amp; $V165 &amp;"】已使用此筆資料，不可刪除!!"  &amp; "' ,'en_US': '" &amp;  "Have used this information, it can not be deleted !!" &amp; "'  ,'zh_CN': '" &amp; "【"&amp; $V165 &amp;"】已使用此筆資料，不可刪除!!" &amp; "' }", CHAR(39),CHAR(34))   &amp; "');","")</f>
        <v/>
      </c>
    </row>
    <row r="166" spans="24:24">
      <c r="X166" s="13" t="str">
        <f>IF($E166="Y","INSERT INTO `sys_table_relation` (`TABLE_NAME`, `CHILD_TABLE_NAME`, `SQL_QUERY`, `ERROR_DESC` ,`ERROR_DESC_JSON`) VALUES ('" &amp;$C166 &amp; "', '" &amp; $U166 &amp; "', '" &amp; "select count(*) from "&amp; $U166 &amp;" where " &amp; IF(COUNTIF(#REF!,"IS_DESTROYED"),"IS_DESTROYED=0 and ","") &amp;#REF! &amp; "={pid}" &amp; "', " &amp; "'【"&amp; $V166 &amp;"】已使用此筆資料，故不可刪除!!'" &amp; ",'" &amp; SUBSTITUTE("{'zh_TW': '" &amp;  "【"&amp; $V166 &amp;"】已使用此筆資料，不可刪除!!"  &amp; "' ,'en_US': '" &amp;  "Have used this information, it can not be deleted !!" &amp; "'  ,'zh_CN': '" &amp; "【"&amp; $V166 &amp;"】已使用此筆資料，不可刪除!!" &amp; "' }", CHAR(39),CHAR(34))   &amp; "');","")</f>
        <v/>
      </c>
    </row>
    <row r="167" spans="24:24">
      <c r="X167" s="13" t="str">
        <f>IF($E167="Y","INSERT INTO `sys_table_relation` (`TABLE_NAME`, `CHILD_TABLE_NAME`, `SQL_QUERY`, `ERROR_DESC` ,`ERROR_DESC_JSON`) VALUES ('" &amp;$C167 &amp; "', '" &amp; $U167 &amp; "', '" &amp; "select count(*) from "&amp; $U167 &amp;" where " &amp; IF(COUNTIF(#REF!,"IS_DESTROYED"),"IS_DESTROYED=0 and ","") &amp;#REF! &amp; "={pid}" &amp; "', " &amp; "'【"&amp; $V167 &amp;"】已使用此筆資料，故不可刪除!!'" &amp; ",'" &amp; SUBSTITUTE("{'zh_TW': '" &amp;  "【"&amp; $V167 &amp;"】已使用此筆資料，不可刪除!!"  &amp; "' ,'en_US': '" &amp;  "Have used this information, it can not be deleted !!" &amp; "'  ,'zh_CN': '" &amp; "【"&amp; $V167 &amp;"】已使用此筆資料，不可刪除!!" &amp; "' }", CHAR(39),CHAR(34))   &amp; "');","")</f>
        <v/>
      </c>
    </row>
    <row r="168" spans="24:24">
      <c r="X168" s="13" t="str">
        <f>IF($E168="Y","INSERT INTO `sys_table_relation` (`TABLE_NAME`, `CHILD_TABLE_NAME`, `SQL_QUERY`, `ERROR_DESC` ,`ERROR_DESC_JSON`) VALUES ('" &amp;$C168 &amp; "', '" &amp; $U168 &amp; "', '" &amp; "select count(*) from "&amp; $U168 &amp;" where " &amp; IF(COUNTIF(#REF!,"IS_DESTROYED"),"IS_DESTROYED=0 and ","") &amp;#REF! &amp; "={pid}" &amp; "', " &amp; "'【"&amp; $V168 &amp;"】已使用此筆資料，故不可刪除!!'" &amp; ",'" &amp; SUBSTITUTE("{'zh_TW': '" &amp;  "【"&amp; $V168 &amp;"】已使用此筆資料，不可刪除!!"  &amp; "' ,'en_US': '" &amp;  "Have used this information, it can not be deleted !!" &amp; "'  ,'zh_CN': '" &amp; "【"&amp; $V168 &amp;"】已使用此筆資料，不可刪除!!" &amp; "' }", CHAR(39),CHAR(34))   &amp; "');","")</f>
        <v/>
      </c>
    </row>
    <row r="169" spans="24:24">
      <c r="X169" s="13" t="str">
        <f>IF($E169="Y","INSERT INTO `sys_table_relation` (`TABLE_NAME`, `CHILD_TABLE_NAME`, `SQL_QUERY`, `ERROR_DESC` ,`ERROR_DESC_JSON`) VALUES ('" &amp;$C169 &amp; "', '" &amp; $U169 &amp; "', '" &amp; "select count(*) from "&amp; $U169 &amp;" where " &amp; IF(COUNTIF(#REF!,"IS_DESTROYED"),"IS_DESTROYED=0 and ","") &amp;#REF! &amp; "={pid}" &amp; "', " &amp; "'【"&amp; $V169 &amp;"】已使用此筆資料，故不可刪除!!'" &amp; ",'" &amp; SUBSTITUTE("{'zh_TW': '" &amp;  "【"&amp; $V169 &amp;"】已使用此筆資料，不可刪除!!"  &amp; "' ,'en_US': '" &amp;  "Have used this information, it can not be deleted !!" &amp; "'  ,'zh_CN': '" &amp; "【"&amp; $V169 &amp;"】已使用此筆資料，不可刪除!!" &amp; "' }", CHAR(39),CHAR(34))   &amp; "');","")</f>
        <v/>
      </c>
    </row>
    <row r="170" spans="24:24">
      <c r="X170" s="13" t="str">
        <f>IF($E170="Y","INSERT INTO `sys_table_relation` (`TABLE_NAME`, `CHILD_TABLE_NAME`, `SQL_QUERY`, `ERROR_DESC` ,`ERROR_DESC_JSON`) VALUES ('" &amp;$C170 &amp; "', '" &amp; $U170 &amp; "', '" &amp; "select count(*) from "&amp; $U170 &amp;" where " &amp; IF(COUNTIF(#REF!,"IS_DESTROYED"),"IS_DESTROYED=0 and ","") &amp;#REF! &amp; "={pid}" &amp; "', " &amp; "'【"&amp; $V170 &amp;"】已使用此筆資料，故不可刪除!!'" &amp; ",'" &amp; SUBSTITUTE("{'zh_TW': '" &amp;  "【"&amp; $V170 &amp;"】已使用此筆資料，不可刪除!!"  &amp; "' ,'en_US': '" &amp;  "Have used this information, it can not be deleted !!" &amp; "'  ,'zh_CN': '" &amp; "【"&amp; $V170 &amp;"】已使用此筆資料，不可刪除!!" &amp; "' }", CHAR(39),CHAR(34))   &amp; "');","")</f>
        <v/>
      </c>
    </row>
    <row r="171" spans="24:24">
      <c r="X171" s="13" t="str">
        <f>IF($E171="Y","INSERT INTO `sys_table_relation` (`TABLE_NAME`, `CHILD_TABLE_NAME`, `SQL_QUERY`, `ERROR_DESC` ,`ERROR_DESC_JSON`) VALUES ('" &amp;$C171 &amp; "', '" &amp; $U171 &amp; "', '" &amp; "select count(*) from "&amp; $U171 &amp;" where " &amp; IF(COUNTIF(#REF!,"IS_DESTROYED"),"IS_DESTROYED=0 and ","") &amp;#REF! &amp; "={pid}" &amp; "', " &amp; "'【"&amp; $V171 &amp;"】已使用此筆資料，故不可刪除!!'" &amp; ",'" &amp; SUBSTITUTE("{'zh_TW': '" &amp;  "【"&amp; $V171 &amp;"】已使用此筆資料，不可刪除!!"  &amp; "' ,'en_US': '" &amp;  "Have used this information, it can not be deleted !!" &amp; "'  ,'zh_CN': '" &amp; "【"&amp; $V171 &amp;"】已使用此筆資料，不可刪除!!" &amp; "' }", CHAR(39),CHAR(34))   &amp; "');","")</f>
        <v/>
      </c>
    </row>
    <row r="172" spans="24:24">
      <c r="X172" s="13" t="str">
        <f>IF($E172="Y","INSERT INTO `sys_table_relation` (`TABLE_NAME`, `CHILD_TABLE_NAME`, `SQL_QUERY`, `ERROR_DESC` ,`ERROR_DESC_JSON`) VALUES ('" &amp;$C172 &amp; "', '" &amp; $U172 &amp; "', '" &amp; "select count(*) from "&amp; $U172 &amp;" where " &amp; IF(COUNTIF(#REF!,"IS_DESTROYED"),"IS_DESTROYED=0 and ","") &amp;#REF! &amp; "={pid}" &amp; "', " &amp; "'【"&amp; $V172 &amp;"】已使用此筆資料，故不可刪除!!'" &amp; ",'" &amp; SUBSTITUTE("{'zh_TW': '" &amp;  "【"&amp; $V172 &amp;"】已使用此筆資料，不可刪除!!"  &amp; "' ,'en_US': '" &amp;  "Have used this information, it can not be deleted !!" &amp; "'  ,'zh_CN': '" &amp; "【"&amp; $V172 &amp;"】已使用此筆資料，不可刪除!!" &amp; "' }", CHAR(39),CHAR(34))   &amp; "');","")</f>
        <v/>
      </c>
    </row>
    <row r="173" spans="24:24">
      <c r="X173" s="13" t="str">
        <f>IF($E173="Y","INSERT INTO `sys_table_relation` (`TABLE_NAME`, `CHILD_TABLE_NAME`, `SQL_QUERY`, `ERROR_DESC` ,`ERROR_DESC_JSON`) VALUES ('" &amp;$C173 &amp; "', '" &amp; $U173 &amp; "', '" &amp; "select count(*) from "&amp; $U173 &amp;" where " &amp; IF(COUNTIF(#REF!,"IS_DESTROYED"),"IS_DESTROYED=0 and ","") &amp;#REF! &amp; "={pid}" &amp; "', " &amp; "'【"&amp; $V173 &amp;"】已使用此筆資料，故不可刪除!!'" &amp; ",'" &amp; SUBSTITUTE("{'zh_TW': '" &amp;  "【"&amp; $V173 &amp;"】已使用此筆資料，不可刪除!!"  &amp; "' ,'en_US': '" &amp;  "Have used this information, it can not be deleted !!" &amp; "'  ,'zh_CN': '" &amp; "【"&amp; $V173 &amp;"】已使用此筆資料，不可刪除!!" &amp; "' }", CHAR(39),CHAR(34))   &amp; "');","")</f>
        <v/>
      </c>
    </row>
    <row r="174" spans="24:24">
      <c r="X174" s="13" t="str">
        <f>IF($E174="Y","INSERT INTO `sys_table_relation` (`TABLE_NAME`, `CHILD_TABLE_NAME`, `SQL_QUERY`, `ERROR_DESC` ,`ERROR_DESC_JSON`) VALUES ('" &amp;$C174 &amp; "', '" &amp; $U174 &amp; "', '" &amp; "select count(*) from "&amp; $U174 &amp;" where " &amp; IF(COUNTIF(#REF!,"IS_DESTROYED"),"IS_DESTROYED=0 and ","") &amp;#REF! &amp; "={pid}" &amp; "', " &amp; "'【"&amp; $V174 &amp;"】已使用此筆資料，故不可刪除!!'" &amp; ",'" &amp; SUBSTITUTE("{'zh_TW': '" &amp;  "【"&amp; $V174 &amp;"】已使用此筆資料，不可刪除!!"  &amp; "' ,'en_US': '" &amp;  "Have used this information, it can not be deleted !!" &amp; "'  ,'zh_CN': '" &amp; "【"&amp; $V174 &amp;"】已使用此筆資料，不可刪除!!" &amp; "' }", CHAR(39),CHAR(34))   &amp; "');","")</f>
        <v/>
      </c>
    </row>
    <row r="175" spans="24:24">
      <c r="X175" s="13" t="str">
        <f>IF($E175="Y","INSERT INTO `sys_table_relation` (`TABLE_NAME`, `CHILD_TABLE_NAME`, `SQL_QUERY`, `ERROR_DESC` ,`ERROR_DESC_JSON`) VALUES ('" &amp;$C175 &amp; "', '" &amp; $U175 &amp; "', '" &amp; "select count(*) from "&amp; $U175 &amp;" where " &amp; IF(COUNTIF(#REF!,"IS_DESTROYED"),"IS_DESTROYED=0 and ","") &amp;#REF! &amp; "={pid}" &amp; "', " &amp; "'【"&amp; $V175 &amp;"】已使用此筆資料，故不可刪除!!'" &amp; ",'" &amp; SUBSTITUTE("{'zh_TW': '" &amp;  "【"&amp; $V175 &amp;"】已使用此筆資料，不可刪除!!"  &amp; "' ,'en_US': '" &amp;  "Have used this information, it can not be deleted !!" &amp; "'  ,'zh_CN': '" &amp; "【"&amp; $V175 &amp;"】已使用此筆資料，不可刪除!!" &amp; "' }", CHAR(39),CHAR(34))   &amp; "');","")</f>
        <v/>
      </c>
    </row>
    <row r="176" spans="24:24">
      <c r="X176" s="13" t="str">
        <f>IF($E176="Y","INSERT INTO `sys_table_relation` (`TABLE_NAME`, `CHILD_TABLE_NAME`, `SQL_QUERY`, `ERROR_DESC` ,`ERROR_DESC_JSON`) VALUES ('" &amp;$C176 &amp; "', '" &amp; $U176 &amp; "', '" &amp; "select count(*) from "&amp; $U176 &amp;" where " &amp; IF(COUNTIF(#REF!,"IS_DESTROYED"),"IS_DESTROYED=0 and ","") &amp;#REF! &amp; "={pid}" &amp; "', " &amp; "'【"&amp; $V176 &amp;"】已使用此筆資料，故不可刪除!!'" &amp; ",'" &amp; SUBSTITUTE("{'zh_TW': '" &amp;  "【"&amp; $V176 &amp;"】已使用此筆資料，不可刪除!!"  &amp; "' ,'en_US': '" &amp;  "Have used this information, it can not be deleted !!" &amp; "'  ,'zh_CN': '" &amp; "【"&amp; $V176 &amp;"】已使用此筆資料，不可刪除!!" &amp; "' }", CHAR(39),CHAR(34))   &amp; "');","")</f>
        <v/>
      </c>
    </row>
    <row r="177" spans="24:24">
      <c r="X177" s="13" t="str">
        <f>IF($E177="Y","INSERT INTO `sys_table_relation` (`TABLE_NAME`, `CHILD_TABLE_NAME`, `SQL_QUERY`, `ERROR_DESC` ,`ERROR_DESC_JSON`) VALUES ('" &amp;$C177 &amp; "', '" &amp; $U177 &amp; "', '" &amp; "select count(*) from "&amp; $U177 &amp;" where " &amp; IF(COUNTIF(#REF!,"IS_DESTROYED"),"IS_DESTROYED=0 and ","") &amp;#REF! &amp; "={pid}" &amp; "', " &amp; "'【"&amp; $V177 &amp;"】已使用此筆資料，故不可刪除!!'" &amp; ",'" &amp; SUBSTITUTE("{'zh_TW': '" &amp;  "【"&amp; $V177 &amp;"】已使用此筆資料，不可刪除!!"  &amp; "' ,'en_US': '" &amp;  "Have used this information, it can not be deleted !!" &amp; "'  ,'zh_CN': '" &amp; "【"&amp; $V177 &amp;"】已使用此筆資料，不可刪除!!" &amp; "' }", CHAR(39),CHAR(34))   &amp; "');","")</f>
        <v/>
      </c>
    </row>
    <row r="178" spans="24:24">
      <c r="X178" s="13" t="str">
        <f>IF($E178="Y","INSERT INTO `sys_table_relation` (`TABLE_NAME`, `CHILD_TABLE_NAME`, `SQL_QUERY`, `ERROR_DESC` ,`ERROR_DESC_JSON`) VALUES ('" &amp;$C178 &amp; "', '" &amp; $U178 &amp; "', '" &amp; "select count(*) from "&amp; $U178 &amp;" where " &amp; IF(COUNTIF(#REF!,"IS_DESTROYED"),"IS_DESTROYED=0 and ","") &amp;#REF! &amp; "={pid}" &amp; "', " &amp; "'【"&amp; $V178 &amp;"】已使用此筆資料，故不可刪除!!'" &amp; ",'" &amp; SUBSTITUTE("{'zh_TW': '" &amp;  "【"&amp; $V178 &amp;"】已使用此筆資料，不可刪除!!"  &amp; "' ,'en_US': '" &amp;  "Have used this information, it can not be deleted !!" &amp; "'  ,'zh_CN': '" &amp; "【"&amp; $V178 &amp;"】已使用此筆資料，不可刪除!!" &amp; "' }", CHAR(39),CHAR(34))   &amp; "');","")</f>
        <v/>
      </c>
    </row>
    <row r="179" spans="24:24">
      <c r="X179" s="13" t="str">
        <f>IF($E179="Y","INSERT INTO `sys_table_relation` (`TABLE_NAME`, `CHILD_TABLE_NAME`, `SQL_QUERY`, `ERROR_DESC` ,`ERROR_DESC_JSON`) VALUES ('" &amp;$C179 &amp; "', '" &amp; $U179 &amp; "', '" &amp; "select count(*) from "&amp; $U179 &amp;" where " &amp; IF(COUNTIF(#REF!,"IS_DESTROYED"),"IS_DESTROYED=0 and ","") &amp;#REF! &amp; "={pid}" &amp; "', " &amp; "'【"&amp; $V179 &amp;"】已使用此筆資料，故不可刪除!!'" &amp; ",'" &amp; SUBSTITUTE("{'zh_TW': '" &amp;  "【"&amp; $V179 &amp;"】已使用此筆資料，不可刪除!!"  &amp; "' ,'en_US': '" &amp;  "Have used this information, it can not be deleted !!" &amp; "'  ,'zh_CN': '" &amp; "【"&amp; $V179 &amp;"】已使用此筆資料，不可刪除!!" &amp; "' }", CHAR(39),CHAR(34))   &amp; "');","")</f>
        <v/>
      </c>
    </row>
    <row r="180" spans="24:24">
      <c r="X180" s="13" t="str">
        <f>IF($E180="Y","INSERT INTO `sys_table_relation` (`TABLE_NAME`, `CHILD_TABLE_NAME`, `SQL_QUERY`, `ERROR_DESC` ,`ERROR_DESC_JSON`) VALUES ('" &amp;$C180 &amp; "', '" &amp; $U180 &amp; "', '" &amp; "select count(*) from "&amp; $U180 &amp;" where " &amp; IF(COUNTIF(#REF!,"IS_DESTROYED"),"IS_DESTROYED=0 and ","") &amp;#REF! &amp; "={pid}" &amp; "', " &amp; "'【"&amp; $V180 &amp;"】已使用此筆資料，故不可刪除!!'" &amp; ",'" &amp; SUBSTITUTE("{'zh_TW': '" &amp;  "【"&amp; $V180 &amp;"】已使用此筆資料，不可刪除!!"  &amp; "' ,'en_US': '" &amp;  "Have used this information, it can not be deleted !!" &amp; "'  ,'zh_CN': '" &amp; "【"&amp; $V180 &amp;"】已使用此筆資料，不可刪除!!" &amp; "' }", CHAR(39),CHAR(34))   &amp; "');","")</f>
        <v/>
      </c>
    </row>
    <row r="181" spans="24:24">
      <c r="X181" s="13" t="str">
        <f>IF($E181="Y","INSERT INTO `sys_table_relation` (`TABLE_NAME`, `CHILD_TABLE_NAME`, `SQL_QUERY`, `ERROR_DESC` ,`ERROR_DESC_JSON`) VALUES ('" &amp;$C181 &amp; "', '" &amp; $U181 &amp; "', '" &amp; "select count(*) from "&amp; $U181 &amp;" where " &amp; IF(COUNTIF(#REF!,"IS_DESTROYED"),"IS_DESTROYED=0 and ","") &amp;#REF! &amp; "={pid}" &amp; "', " &amp; "'【"&amp; $V181 &amp;"】已使用此筆資料，故不可刪除!!'" &amp; ",'" &amp; SUBSTITUTE("{'zh_TW': '" &amp;  "【"&amp; $V181 &amp;"】已使用此筆資料，不可刪除!!"  &amp; "' ,'en_US': '" &amp;  "Have used this information, it can not be deleted !!" &amp; "'  ,'zh_CN': '" &amp; "【"&amp; $V181 &amp;"】已使用此筆資料，不可刪除!!" &amp; "' }", CHAR(39),CHAR(34))   &amp; "');","")</f>
        <v/>
      </c>
    </row>
    <row r="182" spans="24:24">
      <c r="X182" s="13" t="str">
        <f>IF($E182="Y","INSERT INTO `sys_table_relation` (`TABLE_NAME`, `CHILD_TABLE_NAME`, `SQL_QUERY`, `ERROR_DESC` ,`ERROR_DESC_JSON`) VALUES ('" &amp;$C182 &amp; "', '" &amp; $U182 &amp; "', '" &amp; "select count(*) from "&amp; $U182 &amp;" where " &amp; IF(COUNTIF(#REF!,"IS_DESTROYED"),"IS_DESTROYED=0 and ","") &amp;#REF! &amp; "={pid}" &amp; "', " &amp; "'【"&amp; $V182 &amp;"】已使用此筆資料，故不可刪除!!'" &amp; ",'" &amp; SUBSTITUTE("{'zh_TW': '" &amp;  "【"&amp; $V182 &amp;"】已使用此筆資料，不可刪除!!"  &amp; "' ,'en_US': '" &amp;  "Have used this information, it can not be deleted !!" &amp; "'  ,'zh_CN': '" &amp; "【"&amp; $V182 &amp;"】已使用此筆資料，不可刪除!!" &amp; "' }", CHAR(39),CHAR(34))   &amp; "');","")</f>
        <v/>
      </c>
    </row>
    <row r="183" spans="24:24">
      <c r="X183" s="13" t="str">
        <f>IF($E183="Y","INSERT INTO `sys_table_relation` (`TABLE_NAME`, `CHILD_TABLE_NAME`, `SQL_QUERY`, `ERROR_DESC` ,`ERROR_DESC_JSON`) VALUES ('" &amp;$C183 &amp; "', '" &amp; $U183 &amp; "', '" &amp; "select count(*) from "&amp; $U183 &amp;" where " &amp; IF(COUNTIF(#REF!,"IS_DESTROYED"),"IS_DESTROYED=0 and ","") &amp;#REF! &amp; "={pid}" &amp; "', " &amp; "'【"&amp; $V183 &amp;"】已使用此筆資料，故不可刪除!!'" &amp; ",'" &amp; SUBSTITUTE("{'zh_TW': '" &amp;  "【"&amp; $V183 &amp;"】已使用此筆資料，不可刪除!!"  &amp; "' ,'en_US': '" &amp;  "Have used this information, it can not be deleted !!" &amp; "'  ,'zh_CN': '" &amp; "【"&amp; $V183 &amp;"】已使用此筆資料，不可刪除!!" &amp; "' }", CHAR(39),CHAR(34))   &amp; "');","")</f>
        <v/>
      </c>
    </row>
    <row r="184" spans="24:24">
      <c r="X184" s="13" t="str">
        <f>IF($E184="Y","INSERT INTO `sys_table_relation` (`TABLE_NAME`, `CHILD_TABLE_NAME`, `SQL_QUERY`, `ERROR_DESC` ,`ERROR_DESC_JSON`) VALUES ('" &amp;$C184 &amp; "', '" &amp; $U184 &amp; "', '" &amp; "select count(*) from "&amp; $U184 &amp;" where " &amp; IF(COUNTIF(#REF!,"IS_DESTROYED"),"IS_DESTROYED=0 and ","") &amp;#REF! &amp; "={pid}" &amp; "', " &amp; "'【"&amp; $V184 &amp;"】已使用此筆資料，故不可刪除!!'" &amp; ",'" &amp; SUBSTITUTE("{'zh_TW': '" &amp;  "【"&amp; $V184 &amp;"】已使用此筆資料，不可刪除!!"  &amp; "' ,'en_US': '" &amp;  "Have used this information, it can not be deleted !!" &amp; "'  ,'zh_CN': '" &amp; "【"&amp; $V184 &amp;"】已使用此筆資料，不可刪除!!" &amp; "' }", CHAR(39),CHAR(34))   &amp; "');","")</f>
        <v/>
      </c>
    </row>
    <row r="185" spans="24:24">
      <c r="X185" s="13" t="str">
        <f>IF($E185="Y","INSERT INTO `sys_table_relation` (`TABLE_NAME`, `CHILD_TABLE_NAME`, `SQL_QUERY`, `ERROR_DESC` ,`ERROR_DESC_JSON`) VALUES ('" &amp;$C185 &amp; "', '" &amp; $U185 &amp; "', '" &amp; "select count(*) from "&amp; $U185 &amp;" where " &amp; IF(COUNTIF(#REF!,"IS_DESTROYED"),"IS_DESTROYED=0 and ","") &amp;#REF! &amp; "={pid}" &amp; "', " &amp; "'【"&amp; $V185 &amp;"】已使用此筆資料，故不可刪除!!'" &amp; ",'" &amp; SUBSTITUTE("{'zh_TW': '" &amp;  "【"&amp; $V185 &amp;"】已使用此筆資料，不可刪除!!"  &amp; "' ,'en_US': '" &amp;  "Have used this information, it can not be deleted !!" &amp; "'  ,'zh_CN': '" &amp; "【"&amp; $V185 &amp;"】已使用此筆資料，不可刪除!!" &amp; "' }", CHAR(39),CHAR(34))   &amp; "');","")</f>
        <v/>
      </c>
    </row>
    <row r="186" spans="24:24">
      <c r="X186" s="13" t="str">
        <f>IF($E186="Y","INSERT INTO `sys_table_relation` (`TABLE_NAME`, `CHILD_TABLE_NAME`, `SQL_QUERY`, `ERROR_DESC` ,`ERROR_DESC_JSON`) VALUES ('" &amp;$C186 &amp; "', '" &amp; $U186 &amp; "', '" &amp; "select count(*) from "&amp; $U186 &amp;" where " &amp; IF(COUNTIF(#REF!,"IS_DESTROYED"),"IS_DESTROYED=0 and ","") &amp;#REF! &amp; "={pid}" &amp; "', " &amp; "'【"&amp; $V186 &amp;"】已使用此筆資料，故不可刪除!!'" &amp; ",'" &amp; SUBSTITUTE("{'zh_TW': '" &amp;  "【"&amp; $V186 &amp;"】已使用此筆資料，不可刪除!!"  &amp; "' ,'en_US': '" &amp;  "Have used this information, it can not be deleted !!" &amp; "'  ,'zh_CN': '" &amp; "【"&amp; $V186 &amp;"】已使用此筆資料，不可刪除!!" &amp; "' }", CHAR(39),CHAR(34))   &amp; "');","")</f>
        <v/>
      </c>
    </row>
    <row r="187" spans="24:24">
      <c r="X187" s="13" t="str">
        <f>IF($E187="Y","INSERT INTO `sys_table_relation` (`TABLE_NAME`, `CHILD_TABLE_NAME`, `SQL_QUERY`, `ERROR_DESC` ,`ERROR_DESC_JSON`) VALUES ('" &amp;$C187 &amp; "', '" &amp; $U187 &amp; "', '" &amp; "select count(*) from "&amp; $U187 &amp;" where " &amp; IF(COUNTIF(#REF!,"IS_DESTROYED"),"IS_DESTROYED=0 and ","") &amp;#REF! &amp; "={pid}" &amp; "', " &amp; "'【"&amp; $V187 &amp;"】已使用此筆資料，故不可刪除!!'" &amp; ",'" &amp; SUBSTITUTE("{'zh_TW': '" &amp;  "【"&amp; $V187 &amp;"】已使用此筆資料，不可刪除!!"  &amp; "' ,'en_US': '" &amp;  "Have used this information, it can not be deleted !!" &amp; "'  ,'zh_CN': '" &amp; "【"&amp; $V187 &amp;"】已使用此筆資料，不可刪除!!" &amp; "' }", CHAR(39),CHAR(34))   &amp; "');","")</f>
        <v/>
      </c>
    </row>
    <row r="188" spans="24:24">
      <c r="X188" s="13" t="str">
        <f>IF($E188="Y","INSERT INTO `sys_table_relation` (`TABLE_NAME`, `CHILD_TABLE_NAME`, `SQL_QUERY`, `ERROR_DESC` ,`ERROR_DESC_JSON`) VALUES ('" &amp;$C188 &amp; "', '" &amp; $U188 &amp; "', '" &amp; "select count(*) from "&amp; $U188 &amp;" where " &amp; IF(COUNTIF(#REF!,"IS_DESTROYED"),"IS_DESTROYED=0 and ","") &amp;#REF! &amp; "={pid}" &amp; "', " &amp; "'【"&amp; $V188 &amp;"】已使用此筆資料，故不可刪除!!'" &amp; ",'" &amp; SUBSTITUTE("{'zh_TW': '" &amp;  "【"&amp; $V188 &amp;"】已使用此筆資料，不可刪除!!"  &amp; "' ,'en_US': '" &amp;  "Have used this information, it can not be deleted !!" &amp; "'  ,'zh_CN': '" &amp; "【"&amp; $V188 &amp;"】已使用此筆資料，不可刪除!!" &amp; "' }", CHAR(39),CHAR(34))   &amp; "');","")</f>
        <v/>
      </c>
    </row>
    <row r="189" spans="24:24">
      <c r="X189" s="13" t="str">
        <f>IF($E189="Y","INSERT INTO `sys_table_relation` (`TABLE_NAME`, `CHILD_TABLE_NAME`, `SQL_QUERY`, `ERROR_DESC` ,`ERROR_DESC_JSON`) VALUES ('" &amp;$C189 &amp; "', '" &amp; $U189 &amp; "', '" &amp; "select count(*) from "&amp; $U189 &amp;" where " &amp; IF(COUNTIF(#REF!,"IS_DESTROYED"),"IS_DESTROYED=0 and ","") &amp;#REF! &amp; "={pid}" &amp; "', " &amp; "'【"&amp; $V189 &amp;"】已使用此筆資料，故不可刪除!!'" &amp; ",'" &amp; SUBSTITUTE("{'zh_TW': '" &amp;  "【"&amp; $V189 &amp;"】已使用此筆資料，不可刪除!!"  &amp; "' ,'en_US': '" &amp;  "Have used this information, it can not be deleted !!" &amp; "'  ,'zh_CN': '" &amp; "【"&amp; $V189 &amp;"】已使用此筆資料，不可刪除!!" &amp; "' }", CHAR(39),CHAR(34))   &amp; "');","")</f>
        <v/>
      </c>
    </row>
    <row r="190" spans="24:24">
      <c r="X190" s="13" t="str">
        <f>IF($E190="Y","INSERT INTO `sys_table_relation` (`TABLE_NAME`, `CHILD_TABLE_NAME`, `SQL_QUERY`, `ERROR_DESC` ,`ERROR_DESC_JSON`) VALUES ('" &amp;$C190 &amp; "', '" &amp; $U190 &amp; "', '" &amp; "select count(*) from "&amp; $U190 &amp;" where " &amp; IF(COUNTIF(#REF!,"IS_DESTROYED"),"IS_DESTROYED=0 and ","") &amp;#REF! &amp; "={pid}" &amp; "', " &amp; "'【"&amp; $V190 &amp;"】已使用此筆資料，故不可刪除!!'" &amp; ",'" &amp; SUBSTITUTE("{'zh_TW': '" &amp;  "【"&amp; $V190 &amp;"】已使用此筆資料，不可刪除!!"  &amp; "' ,'en_US': '" &amp;  "Have used this information, it can not be deleted !!" &amp; "'  ,'zh_CN': '" &amp; "【"&amp; $V190 &amp;"】已使用此筆資料，不可刪除!!" &amp; "' }", CHAR(39),CHAR(34))   &amp; "');","")</f>
        <v/>
      </c>
    </row>
    <row r="191" spans="24:24">
      <c r="X191" s="13" t="str">
        <f>IF($E191="Y","INSERT INTO `sys_table_relation` (`TABLE_NAME`, `CHILD_TABLE_NAME`, `SQL_QUERY`, `ERROR_DESC` ,`ERROR_DESC_JSON`) VALUES ('" &amp;$C191 &amp; "', '" &amp; $U191 &amp; "', '" &amp; "select count(*) from "&amp; $U191 &amp;" where " &amp; IF(COUNTIF(#REF!,"IS_DESTROYED"),"IS_DESTROYED=0 and ","") &amp;#REF! &amp; "={pid}" &amp; "', " &amp; "'【"&amp; $V191 &amp;"】已使用此筆資料，故不可刪除!!'" &amp; ",'" &amp; SUBSTITUTE("{'zh_TW': '" &amp;  "【"&amp; $V191 &amp;"】已使用此筆資料，不可刪除!!"  &amp; "' ,'en_US': '" &amp;  "Have used this information, it can not be deleted !!" &amp; "'  ,'zh_CN': '" &amp; "【"&amp; $V191 &amp;"】已使用此筆資料，不可刪除!!" &amp; "' }", CHAR(39),CHAR(34))   &amp; "');","")</f>
        <v/>
      </c>
    </row>
    <row r="192" spans="24:24">
      <c r="X192" s="13" t="str">
        <f>IF($E192="Y","INSERT INTO `sys_table_relation` (`TABLE_NAME`, `CHILD_TABLE_NAME`, `SQL_QUERY`, `ERROR_DESC` ,`ERROR_DESC_JSON`) VALUES ('" &amp;$C192 &amp; "', '" &amp; $U192 &amp; "', '" &amp; "select count(*) from "&amp; $U192 &amp;" where " &amp; IF(COUNTIF(#REF!,"IS_DESTROYED"),"IS_DESTROYED=0 and ","") &amp;#REF! &amp; "={pid}" &amp; "', " &amp; "'【"&amp; $V192 &amp;"】已使用此筆資料，故不可刪除!!'" &amp; ",'" &amp; SUBSTITUTE("{'zh_TW': '" &amp;  "【"&amp; $V192 &amp;"】已使用此筆資料，不可刪除!!"  &amp; "' ,'en_US': '" &amp;  "Have used this information, it can not be deleted !!" &amp; "'  ,'zh_CN': '" &amp; "【"&amp; $V192 &amp;"】已使用此筆資料，不可刪除!!" &amp; "' }", CHAR(39),CHAR(34))   &amp; "');","")</f>
        <v/>
      </c>
    </row>
    <row r="193" spans="24:24">
      <c r="X193" s="13" t="str">
        <f>IF($E193="Y","INSERT INTO `sys_table_relation` (`TABLE_NAME`, `CHILD_TABLE_NAME`, `SQL_QUERY`, `ERROR_DESC` ,`ERROR_DESC_JSON`) VALUES ('" &amp;$C193 &amp; "', '" &amp; $U193 &amp; "', '" &amp; "select count(*) from "&amp; $U193 &amp;" where " &amp; IF(COUNTIF(#REF!,"IS_DESTROYED"),"IS_DESTROYED=0 and ","") &amp;#REF! &amp; "={pid}" &amp; "', " &amp; "'【"&amp; $V193 &amp;"】已使用此筆資料，故不可刪除!!'" &amp; ",'" &amp; SUBSTITUTE("{'zh_TW': '" &amp;  "【"&amp; $V193 &amp;"】已使用此筆資料，不可刪除!!"  &amp; "' ,'en_US': '" &amp;  "Have used this information, it can not be deleted !!" &amp; "'  ,'zh_CN': '" &amp; "【"&amp; $V193 &amp;"】已使用此筆資料，不可刪除!!" &amp; "' }", CHAR(39),CHAR(34))   &amp; "');","")</f>
        <v/>
      </c>
    </row>
    <row r="194" spans="24:24">
      <c r="X194" s="13" t="str">
        <f>IF($E194="Y","INSERT INTO `sys_table_relation` (`TABLE_NAME`, `CHILD_TABLE_NAME`, `SQL_QUERY`, `ERROR_DESC` ,`ERROR_DESC_JSON`) VALUES ('" &amp;$C194 &amp; "', '" &amp; $U194 &amp; "', '" &amp; "select count(*) from "&amp; $U194 &amp;" where " &amp; IF(COUNTIF(#REF!,"IS_DESTROYED"),"IS_DESTROYED=0 and ","") &amp;#REF! &amp; "={pid}" &amp; "', " &amp; "'【"&amp; $V194 &amp;"】已使用此筆資料，故不可刪除!!'" &amp; ",'" &amp; SUBSTITUTE("{'zh_TW': '" &amp;  "【"&amp; $V194 &amp;"】已使用此筆資料，不可刪除!!"  &amp; "' ,'en_US': '" &amp;  "Have used this information, it can not be deleted !!" &amp; "'  ,'zh_CN': '" &amp; "【"&amp; $V194 &amp;"】已使用此筆資料，不可刪除!!" &amp; "' }", CHAR(39),CHAR(34))   &amp; "');","")</f>
        <v/>
      </c>
    </row>
    <row r="195" spans="24:24">
      <c r="X195" s="13" t="str">
        <f>IF($E195="Y","INSERT INTO `sys_table_relation` (`TABLE_NAME`, `CHILD_TABLE_NAME`, `SQL_QUERY`, `ERROR_DESC` ,`ERROR_DESC_JSON`) VALUES ('" &amp;$C195 &amp; "', '" &amp; $U195 &amp; "', '" &amp; "select count(*) from "&amp; $U195 &amp;" where " &amp; IF(COUNTIF(#REF!,"IS_DESTROYED"),"IS_DESTROYED=0 and ","") &amp;#REF! &amp; "={pid}" &amp; "', " &amp; "'【"&amp; $V195 &amp;"】已使用此筆資料，故不可刪除!!'" &amp; ",'" &amp; SUBSTITUTE("{'zh_TW': '" &amp;  "【"&amp; $V195 &amp;"】已使用此筆資料，不可刪除!!"  &amp; "' ,'en_US': '" &amp;  "Have used this information, it can not be deleted !!" &amp; "'  ,'zh_CN': '" &amp; "【"&amp; $V195 &amp;"】已使用此筆資料，不可刪除!!" &amp; "' }", CHAR(39),CHAR(34))   &amp; "');","")</f>
        <v/>
      </c>
    </row>
    <row r="196" spans="24:24">
      <c r="X196" s="13" t="str">
        <f>IF($E196="Y","INSERT INTO `sys_table_relation` (`TABLE_NAME`, `CHILD_TABLE_NAME`, `SQL_QUERY`, `ERROR_DESC` ,`ERROR_DESC_JSON`) VALUES ('" &amp;$C196 &amp; "', '" &amp; $U196 &amp; "', '" &amp; "select count(*) from "&amp; $U196 &amp;" where " &amp; IF(COUNTIF(#REF!,"IS_DESTROYED"),"IS_DESTROYED=0 and ","") &amp;#REF! &amp; "={pid}" &amp; "', " &amp; "'【"&amp; $V196 &amp;"】已使用此筆資料，故不可刪除!!'" &amp; ",'" &amp; SUBSTITUTE("{'zh_TW': '" &amp;  "【"&amp; $V196 &amp;"】已使用此筆資料，不可刪除!!"  &amp; "' ,'en_US': '" &amp;  "Have used this information, it can not be deleted !!" &amp; "'  ,'zh_CN': '" &amp; "【"&amp; $V196 &amp;"】已使用此筆資料，不可刪除!!" &amp; "' }", CHAR(39),CHAR(34))   &amp; "');","")</f>
        <v/>
      </c>
    </row>
    <row r="197" spans="24:24">
      <c r="X197" s="13" t="str">
        <f>IF($E197="Y","INSERT INTO `sys_table_relation` (`TABLE_NAME`, `CHILD_TABLE_NAME`, `SQL_QUERY`, `ERROR_DESC` ,`ERROR_DESC_JSON`) VALUES ('" &amp;$C197 &amp; "', '" &amp; $U197 &amp; "', '" &amp; "select count(*) from "&amp; $U197 &amp;" where " &amp; IF(COUNTIF(#REF!,"IS_DESTROYED"),"IS_DESTROYED=0 and ","") &amp;#REF! &amp; "={pid}" &amp; "', " &amp; "'【"&amp; $V197 &amp;"】已使用此筆資料，故不可刪除!!'" &amp; ",'" &amp; SUBSTITUTE("{'zh_TW': '" &amp;  "【"&amp; $V197 &amp;"】已使用此筆資料，不可刪除!!"  &amp; "' ,'en_US': '" &amp;  "Have used this information, it can not be deleted !!" &amp; "'  ,'zh_CN': '" &amp; "【"&amp; $V197 &amp;"】已使用此筆資料，不可刪除!!" &amp; "' }", CHAR(39),CHAR(34))   &amp; "');","")</f>
        <v/>
      </c>
    </row>
    <row r="198" spans="24:24">
      <c r="X198" s="13" t="str">
        <f>IF($E198="Y","INSERT INTO `sys_table_relation` (`TABLE_NAME`, `CHILD_TABLE_NAME`, `SQL_QUERY`, `ERROR_DESC` ,`ERROR_DESC_JSON`) VALUES ('" &amp;$C198 &amp; "', '" &amp; $U198 &amp; "', '" &amp; "select count(*) from "&amp; $U198 &amp;" where " &amp; IF(COUNTIF(#REF!,"IS_DESTROYED"),"IS_DESTROYED=0 and ","") &amp;#REF! &amp; "={pid}" &amp; "', " &amp; "'【"&amp; $V198 &amp;"】已使用此筆資料，故不可刪除!!'" &amp; ",'" &amp; SUBSTITUTE("{'zh_TW': '" &amp;  "【"&amp; $V198 &amp;"】已使用此筆資料，不可刪除!!"  &amp; "' ,'en_US': '" &amp;  "Have used this information, it can not be deleted !!" &amp; "'  ,'zh_CN': '" &amp; "【"&amp; $V198 &amp;"】已使用此筆資料，不可刪除!!" &amp; "' }", CHAR(39),CHAR(34))   &amp; "');","")</f>
        <v/>
      </c>
    </row>
    <row r="199" spans="24:24">
      <c r="X199" s="13" t="str">
        <f>IF($E199="Y","INSERT INTO `sys_table_relation` (`TABLE_NAME`, `CHILD_TABLE_NAME`, `SQL_QUERY`, `ERROR_DESC` ,`ERROR_DESC_JSON`) VALUES ('" &amp;$C199 &amp; "', '" &amp; $U199 &amp; "', '" &amp; "select count(*) from "&amp; $U199 &amp;" where " &amp; IF(COUNTIF(#REF!,"IS_DESTROYED"),"IS_DESTROYED=0 and ","") &amp;#REF! &amp; "={pid}" &amp; "', " &amp; "'【"&amp; $V199 &amp;"】已使用此筆資料，故不可刪除!!'" &amp; ",'" &amp; SUBSTITUTE("{'zh_TW': '" &amp;  "【"&amp; $V199 &amp;"】已使用此筆資料，不可刪除!!"  &amp; "' ,'en_US': '" &amp;  "Have used this information, it can not be deleted !!" &amp; "'  ,'zh_CN': '" &amp; "【"&amp; $V199 &amp;"】已使用此筆資料，不可刪除!!" &amp; "' }", CHAR(39),CHAR(34))   &amp; "');","")</f>
        <v/>
      </c>
    </row>
    <row r="200" spans="24:24">
      <c r="X200" s="13" t="str">
        <f>IF($E200="Y","INSERT INTO `sys_table_relation` (`TABLE_NAME`, `CHILD_TABLE_NAME`, `SQL_QUERY`, `ERROR_DESC` ,`ERROR_DESC_JSON`) VALUES ('" &amp;$C200 &amp; "', '" &amp; $U200 &amp; "', '" &amp; "select count(*) from "&amp; $U200 &amp;" where " &amp; IF(COUNTIF(#REF!,"IS_DESTROYED"),"IS_DESTROYED=0 and ","") &amp;#REF! &amp; "={pid}" &amp; "', " &amp; "'【"&amp; $V200 &amp;"】已使用此筆資料，故不可刪除!!'" &amp; ",'" &amp; SUBSTITUTE("{'zh_TW': '" &amp;  "【"&amp; $V200 &amp;"】已使用此筆資料，不可刪除!!"  &amp; "' ,'en_US': '" &amp;  "Have used this information, it can not be deleted !!" &amp; "'  ,'zh_CN': '" &amp; "【"&amp; $V200 &amp;"】已使用此筆資料，不可刪除!!" &amp; "' }", CHAR(39),CHAR(34))   &amp; "');","")</f>
        <v/>
      </c>
    </row>
    <row r="201" spans="24:24">
      <c r="X201" s="13" t="str">
        <f>IF($E201="Y","INSERT INTO `sys_table_relation` (`TABLE_NAME`, `CHILD_TABLE_NAME`, `SQL_QUERY`, `ERROR_DESC` ,`ERROR_DESC_JSON`) VALUES ('" &amp;$C201 &amp; "', '" &amp; $U201 &amp; "', '" &amp; "select count(*) from "&amp; $U201 &amp;" where " &amp; IF(COUNTIF(#REF!,"IS_DESTROYED"),"IS_DESTROYED=0 and ","") &amp;#REF! &amp; "={pid}" &amp; "', " &amp; "'【"&amp; $V201 &amp;"】已使用此筆資料，故不可刪除!!'" &amp; ",'" &amp; SUBSTITUTE("{'zh_TW': '" &amp;  "【"&amp; $V201 &amp;"】已使用此筆資料，不可刪除!!"  &amp; "' ,'en_US': '" &amp;  "Have used this information, it can not be deleted !!" &amp; "'  ,'zh_CN': '" &amp; "【"&amp; $V201 &amp;"】已使用此筆資料，不可刪除!!" &amp; "' }", CHAR(39),CHAR(34))   &amp; "');","")</f>
        <v/>
      </c>
    </row>
    <row r="202" spans="24:24">
      <c r="X202" s="13" t="str">
        <f>IF($E202="Y","INSERT INTO `sys_table_relation` (`TABLE_NAME`, `CHILD_TABLE_NAME`, `SQL_QUERY`, `ERROR_DESC` ,`ERROR_DESC_JSON`) VALUES ('" &amp;$C202 &amp; "', '" &amp; $U202 &amp; "', '" &amp; "select count(*) from "&amp; $U202 &amp;" where " &amp; IF(COUNTIF(#REF!,"IS_DESTROYED"),"IS_DESTROYED=0 and ","") &amp;#REF! &amp; "={pid}" &amp; "', " &amp; "'【"&amp; $V202 &amp;"】已使用此筆資料，故不可刪除!!'" &amp; ",'" &amp; SUBSTITUTE("{'zh_TW': '" &amp;  "【"&amp; $V202 &amp;"】已使用此筆資料，不可刪除!!"  &amp; "' ,'en_US': '" &amp;  "Have used this information, it can not be deleted !!" &amp; "'  ,'zh_CN': '" &amp; "【"&amp; $V202 &amp;"】已使用此筆資料，不可刪除!!" &amp; "' }", CHAR(39),CHAR(34))   &amp; "');","")</f>
        <v/>
      </c>
    </row>
    <row r="203" spans="24:24">
      <c r="X203" s="13" t="str">
        <f>IF($E203="Y","INSERT INTO `sys_table_relation` (`TABLE_NAME`, `CHILD_TABLE_NAME`, `SQL_QUERY`, `ERROR_DESC` ,`ERROR_DESC_JSON`) VALUES ('" &amp;$C203 &amp; "', '" &amp; $U203 &amp; "', '" &amp; "select count(*) from "&amp; $U203 &amp;" where " &amp; IF(COUNTIF(#REF!,"IS_DESTROYED"),"IS_DESTROYED=0 and ","") &amp;#REF! &amp; "={pid}" &amp; "', " &amp; "'【"&amp; $V203 &amp;"】已使用此筆資料，故不可刪除!!'" &amp; ",'" &amp; SUBSTITUTE("{'zh_TW': '" &amp;  "【"&amp; $V203 &amp;"】已使用此筆資料，不可刪除!!"  &amp; "' ,'en_US': '" &amp;  "Have used this information, it can not be deleted !!" &amp; "'  ,'zh_CN': '" &amp; "【"&amp; $V203 &amp;"】已使用此筆資料，不可刪除!!" &amp; "' }", CHAR(39),CHAR(34))   &amp; "');","")</f>
        <v/>
      </c>
    </row>
    <row r="204" spans="24:24">
      <c r="X204" s="13" t="str">
        <f>IF($E204="Y","INSERT INTO `sys_table_relation` (`TABLE_NAME`, `CHILD_TABLE_NAME`, `SQL_QUERY`, `ERROR_DESC` ,`ERROR_DESC_JSON`) VALUES ('" &amp;$C204 &amp; "', '" &amp; $U204 &amp; "', '" &amp; "select count(*) from "&amp; $U204 &amp;" where " &amp; IF(COUNTIF(#REF!,"IS_DESTROYED"),"IS_DESTROYED=0 and ","") &amp;#REF! &amp; "={pid}" &amp; "', " &amp; "'【"&amp; $V204 &amp;"】已使用此筆資料，故不可刪除!!'" &amp; ",'" &amp; SUBSTITUTE("{'zh_TW': '" &amp;  "【"&amp; $V204 &amp;"】已使用此筆資料，不可刪除!!"  &amp; "' ,'en_US': '" &amp;  "Have used this information, it can not be deleted !!" &amp; "'  ,'zh_CN': '" &amp; "【"&amp; $V204 &amp;"】已使用此筆資料，不可刪除!!" &amp; "' }", CHAR(39),CHAR(34))   &amp; "');","")</f>
        <v/>
      </c>
    </row>
    <row r="205" spans="24:24">
      <c r="X205" s="13" t="str">
        <f>IF($E205="Y","INSERT INTO `sys_table_relation` (`TABLE_NAME`, `CHILD_TABLE_NAME`, `SQL_QUERY`, `ERROR_DESC` ,`ERROR_DESC_JSON`) VALUES ('" &amp;$C205 &amp; "', '" &amp; $U205 &amp; "', '" &amp; "select count(*) from "&amp; $U205 &amp;" where " &amp; IF(COUNTIF(#REF!,"IS_DESTROYED"),"IS_DESTROYED=0 and ","") &amp;#REF! &amp; "={pid}" &amp; "', " &amp; "'【"&amp; $V205 &amp;"】已使用此筆資料，故不可刪除!!'" &amp; ",'" &amp; SUBSTITUTE("{'zh_TW': '" &amp;  "【"&amp; $V205 &amp;"】已使用此筆資料，不可刪除!!"  &amp; "' ,'en_US': '" &amp;  "Have used this information, it can not be deleted !!" &amp; "'  ,'zh_CN': '" &amp; "【"&amp; $V205 &amp;"】已使用此筆資料，不可刪除!!" &amp; "' }", CHAR(39),CHAR(34))   &amp; "');","")</f>
        <v/>
      </c>
    </row>
    <row r="206" spans="24:24">
      <c r="X206" s="13" t="str">
        <f>IF($E206="Y","INSERT INTO `sys_table_relation` (`TABLE_NAME`, `CHILD_TABLE_NAME`, `SQL_QUERY`, `ERROR_DESC` ,`ERROR_DESC_JSON`) VALUES ('" &amp;$C206 &amp; "', '" &amp; $U206 &amp; "', '" &amp; "select count(*) from "&amp; $U206 &amp;" where " &amp; IF(COUNTIF(#REF!,"IS_DESTROYED"),"IS_DESTROYED=0 and ","") &amp;#REF! &amp; "={pid}" &amp; "', " &amp; "'【"&amp; $V206 &amp;"】已使用此筆資料，故不可刪除!!'" &amp; ",'" &amp; SUBSTITUTE("{'zh_TW': '" &amp;  "【"&amp; $V206 &amp;"】已使用此筆資料，不可刪除!!"  &amp; "' ,'en_US': '" &amp;  "Have used this information, it can not be deleted !!" &amp; "'  ,'zh_CN': '" &amp; "【"&amp; $V206 &amp;"】已使用此筆資料，不可刪除!!" &amp; "' }", CHAR(39),CHAR(34))   &amp; "');","")</f>
        <v/>
      </c>
    </row>
    <row r="207" spans="24:24">
      <c r="X207" s="13" t="str">
        <f>IF($E207="Y","INSERT INTO `sys_table_relation` (`TABLE_NAME`, `CHILD_TABLE_NAME`, `SQL_QUERY`, `ERROR_DESC` ,`ERROR_DESC_JSON`) VALUES ('" &amp;$C207 &amp; "', '" &amp; $U207 &amp; "', '" &amp; "select count(*) from "&amp; $U207 &amp;" where " &amp; IF(COUNTIF(#REF!,"IS_DESTROYED"),"IS_DESTROYED=0 and ","") &amp;#REF! &amp; "={pid}" &amp; "', " &amp; "'【"&amp; $V207 &amp;"】已使用此筆資料，故不可刪除!!'" &amp; ",'" &amp; SUBSTITUTE("{'zh_TW': '" &amp;  "【"&amp; $V207 &amp;"】已使用此筆資料，不可刪除!!"  &amp; "' ,'en_US': '" &amp;  "Have used this information, it can not be deleted !!" &amp; "'  ,'zh_CN': '" &amp; "【"&amp; $V207 &amp;"】已使用此筆資料，不可刪除!!" &amp; "' }", CHAR(39),CHAR(34))   &amp; "');","")</f>
        <v/>
      </c>
    </row>
    <row r="208" spans="24:24">
      <c r="X208" s="13" t="str">
        <f>IF($E208="Y","INSERT INTO `sys_table_relation` (`TABLE_NAME`, `CHILD_TABLE_NAME`, `SQL_QUERY`, `ERROR_DESC` ,`ERROR_DESC_JSON`) VALUES ('" &amp;$C208 &amp; "', '" &amp; $U208 &amp; "', '" &amp; "select count(*) from "&amp; $U208 &amp;" where " &amp; IF(COUNTIF(#REF!,"IS_DESTROYED"),"IS_DESTROYED=0 and ","") &amp;#REF! &amp; "={pid}" &amp; "', " &amp; "'【"&amp; $V208 &amp;"】已使用此筆資料，故不可刪除!!'" &amp; ",'" &amp; SUBSTITUTE("{'zh_TW': '" &amp;  "【"&amp; $V208 &amp;"】已使用此筆資料，不可刪除!!"  &amp; "' ,'en_US': '" &amp;  "Have used this information, it can not be deleted !!" &amp; "'  ,'zh_CN': '" &amp; "【"&amp; $V208 &amp;"】已使用此筆資料，不可刪除!!" &amp; "' }", CHAR(39),CHAR(34))   &amp; "');","")</f>
        <v/>
      </c>
    </row>
    <row r="209" spans="24:24">
      <c r="X209" s="13" t="str">
        <f>IF($E209="Y","INSERT INTO `sys_table_relation` (`TABLE_NAME`, `CHILD_TABLE_NAME`, `SQL_QUERY`, `ERROR_DESC` ,`ERROR_DESC_JSON`) VALUES ('" &amp;$C209 &amp; "', '" &amp; $U209 &amp; "', '" &amp; "select count(*) from "&amp; $U209 &amp;" where " &amp; IF(COUNTIF(#REF!,"IS_DESTROYED"),"IS_DESTROYED=0 and ","") &amp;#REF! &amp; "={pid}" &amp; "', " &amp; "'【"&amp; $V209 &amp;"】已使用此筆資料，故不可刪除!!'" &amp; ",'" &amp; SUBSTITUTE("{'zh_TW': '" &amp;  "【"&amp; $V209 &amp;"】已使用此筆資料，不可刪除!!"  &amp; "' ,'en_US': '" &amp;  "Have used this information, it can not be deleted !!" &amp; "'  ,'zh_CN': '" &amp; "【"&amp; $V209 &amp;"】已使用此筆資料，不可刪除!!" &amp; "' }", CHAR(39),CHAR(34))   &amp; "');","")</f>
        <v/>
      </c>
    </row>
    <row r="210" spans="24:24">
      <c r="X210" s="13" t="str">
        <f>IF($E210="Y","INSERT INTO `sys_table_relation` (`TABLE_NAME`, `CHILD_TABLE_NAME`, `SQL_QUERY`, `ERROR_DESC` ,`ERROR_DESC_JSON`) VALUES ('" &amp;$C210 &amp; "', '" &amp; $U210 &amp; "', '" &amp; "select count(*) from "&amp; $U210 &amp;" where " &amp; IF(COUNTIF(#REF!,"IS_DESTROYED"),"IS_DESTROYED=0 and ","") &amp;#REF! &amp; "={pid}" &amp; "', " &amp; "'【"&amp; $V210 &amp;"】已使用此筆資料，故不可刪除!!'" &amp; ",'" &amp; SUBSTITUTE("{'zh_TW': '" &amp;  "【"&amp; $V210 &amp;"】已使用此筆資料，不可刪除!!"  &amp; "' ,'en_US': '" &amp;  "Have used this information, it can not be deleted !!" &amp; "'  ,'zh_CN': '" &amp; "【"&amp; $V210 &amp;"】已使用此筆資料，不可刪除!!" &amp; "' }", CHAR(39),CHAR(34))   &amp; "');","")</f>
        <v/>
      </c>
    </row>
    <row r="211" spans="24:24">
      <c r="X211" s="13" t="str">
        <f>IF($E211="Y","INSERT INTO `sys_table_relation` (`TABLE_NAME`, `CHILD_TABLE_NAME`, `SQL_QUERY`, `ERROR_DESC` ,`ERROR_DESC_JSON`) VALUES ('" &amp;$C211 &amp; "', '" &amp; $U211 &amp; "', '" &amp; "select count(*) from "&amp; $U211 &amp;" where " &amp; IF(COUNTIF(#REF!,"IS_DESTROYED"),"IS_DESTROYED=0 and ","") &amp;#REF! &amp; "={pid}" &amp; "', " &amp; "'【"&amp; $V211 &amp;"】已使用此筆資料，故不可刪除!!'" &amp; ",'" &amp; SUBSTITUTE("{'zh_TW': '" &amp;  "【"&amp; $V211 &amp;"】已使用此筆資料，不可刪除!!"  &amp; "' ,'en_US': '" &amp;  "Have used this information, it can not be deleted !!" &amp; "'  ,'zh_CN': '" &amp; "【"&amp; $V211 &amp;"】已使用此筆資料，不可刪除!!" &amp; "' }", CHAR(39),CHAR(34))   &amp; "');","")</f>
        <v/>
      </c>
    </row>
    <row r="212" spans="24:24">
      <c r="X212" s="13" t="str">
        <f>IF($E212="Y","INSERT INTO `sys_table_relation` (`TABLE_NAME`, `CHILD_TABLE_NAME`, `SQL_QUERY`, `ERROR_DESC` ,`ERROR_DESC_JSON`) VALUES ('" &amp;$C212 &amp; "', '" &amp; $U212 &amp; "', '" &amp; "select count(*) from "&amp; $U212 &amp;" where " &amp; IF(COUNTIF(#REF!,"IS_DESTROYED"),"IS_DESTROYED=0 and ","") &amp;#REF! &amp; "={pid}" &amp; "', " &amp; "'【"&amp; $V212 &amp;"】已使用此筆資料，故不可刪除!!'" &amp; ",'" &amp; SUBSTITUTE("{'zh_TW': '" &amp;  "【"&amp; $V212 &amp;"】已使用此筆資料，不可刪除!!"  &amp; "' ,'en_US': '" &amp;  "Have used this information, it can not be deleted !!" &amp; "'  ,'zh_CN': '" &amp; "【"&amp; $V212 &amp;"】已使用此筆資料，不可刪除!!" &amp; "' }", CHAR(39),CHAR(34))   &amp; "');","")</f>
        <v/>
      </c>
    </row>
    <row r="213" spans="24:24">
      <c r="X213" s="13" t="str">
        <f>IF($E213="Y","INSERT INTO `sys_table_relation` (`TABLE_NAME`, `CHILD_TABLE_NAME`, `SQL_QUERY`, `ERROR_DESC` ,`ERROR_DESC_JSON`) VALUES ('" &amp;$C213 &amp; "', '" &amp; $U213 &amp; "', '" &amp; "select count(*) from "&amp; $U213 &amp;" where " &amp; IF(COUNTIF(#REF!,"IS_DESTROYED"),"IS_DESTROYED=0 and ","") &amp;#REF! &amp; "={pid}" &amp; "', " &amp; "'【"&amp; $V213 &amp;"】已使用此筆資料，故不可刪除!!'" &amp; ",'" &amp; SUBSTITUTE("{'zh_TW': '" &amp;  "【"&amp; $V213 &amp;"】已使用此筆資料，不可刪除!!"  &amp; "' ,'en_US': '" &amp;  "Have used this information, it can not be deleted !!" &amp; "'  ,'zh_CN': '" &amp; "【"&amp; $V213 &amp;"】已使用此筆資料，不可刪除!!" &amp; "' }", CHAR(39),CHAR(34))   &amp; "');","")</f>
        <v/>
      </c>
    </row>
    <row r="214" spans="24:24">
      <c r="X214" s="13" t="str">
        <f>IF($E214="Y","INSERT INTO `sys_table_relation` (`TABLE_NAME`, `CHILD_TABLE_NAME`, `SQL_QUERY`, `ERROR_DESC` ,`ERROR_DESC_JSON`) VALUES ('" &amp;$C214 &amp; "', '" &amp; $U214 &amp; "', '" &amp; "select count(*) from "&amp; $U214 &amp;" where " &amp; IF(COUNTIF(#REF!,"IS_DESTROYED"),"IS_DESTROYED=0 and ","") &amp;#REF! &amp; "={pid}" &amp; "', " &amp; "'【"&amp; $V214 &amp;"】已使用此筆資料，故不可刪除!!'" &amp; ",'" &amp; SUBSTITUTE("{'zh_TW': '" &amp;  "【"&amp; $V214 &amp;"】已使用此筆資料，不可刪除!!"  &amp; "' ,'en_US': '" &amp;  "Have used this information, it can not be deleted !!" &amp; "'  ,'zh_CN': '" &amp; "【"&amp; $V214 &amp;"】已使用此筆資料，不可刪除!!" &amp; "' }", CHAR(39),CHAR(34))   &amp; "');","")</f>
        <v/>
      </c>
    </row>
    <row r="215" spans="24:24">
      <c r="X215" s="13" t="str">
        <f>IF($E215="Y","INSERT INTO `sys_table_relation` (`TABLE_NAME`, `CHILD_TABLE_NAME`, `SQL_QUERY`, `ERROR_DESC` ,`ERROR_DESC_JSON`) VALUES ('" &amp;$C215 &amp; "', '" &amp; $U215 &amp; "', '" &amp; "select count(*) from "&amp; $U215 &amp;" where " &amp; IF(COUNTIF(#REF!,"IS_DESTROYED"),"IS_DESTROYED=0 and ","") &amp;#REF! &amp; "={pid}" &amp; "', " &amp; "'【"&amp; $V215 &amp;"】已使用此筆資料，故不可刪除!!'" &amp; ",'" &amp; SUBSTITUTE("{'zh_TW': '" &amp;  "【"&amp; $V215 &amp;"】已使用此筆資料，不可刪除!!"  &amp; "' ,'en_US': '" &amp;  "Have used this information, it can not be deleted !!" &amp; "'  ,'zh_CN': '" &amp; "【"&amp; $V215 &amp;"】已使用此筆資料，不可刪除!!" &amp; "' }", CHAR(39),CHAR(34))   &amp; "');","")</f>
        <v/>
      </c>
    </row>
    <row r="216" spans="24:24">
      <c r="X216" s="13" t="str">
        <f>IF($E216="Y","INSERT INTO `sys_table_relation` (`TABLE_NAME`, `CHILD_TABLE_NAME`, `SQL_QUERY`, `ERROR_DESC` ,`ERROR_DESC_JSON`) VALUES ('" &amp;$C216 &amp; "', '" &amp; $U216 &amp; "', '" &amp; "select count(*) from "&amp; $U216 &amp;" where " &amp; IF(COUNTIF(#REF!,"IS_DESTROYED"),"IS_DESTROYED=0 and ","") &amp;#REF! &amp; "={pid}" &amp; "', " &amp; "'【"&amp; $V216 &amp;"】已使用此筆資料，故不可刪除!!'" &amp; ",'" &amp; SUBSTITUTE("{'zh_TW': '" &amp;  "【"&amp; $V216 &amp;"】已使用此筆資料，不可刪除!!"  &amp; "' ,'en_US': '" &amp;  "Have used this information, it can not be deleted !!" &amp; "'  ,'zh_CN': '" &amp; "【"&amp; $V216 &amp;"】已使用此筆資料，不可刪除!!" &amp; "' }", CHAR(39),CHAR(34))   &amp; "');","")</f>
        <v/>
      </c>
    </row>
    <row r="217" spans="24:24">
      <c r="X217" s="13" t="str">
        <f>IF($E217="Y","INSERT INTO `sys_table_relation` (`TABLE_NAME`, `CHILD_TABLE_NAME`, `SQL_QUERY`, `ERROR_DESC` ,`ERROR_DESC_JSON`) VALUES ('" &amp;$C217 &amp; "', '" &amp; $U217 &amp; "', '" &amp; "select count(*) from "&amp; $U217 &amp;" where " &amp; IF(COUNTIF(#REF!,"IS_DESTROYED"),"IS_DESTROYED=0 and ","") &amp;#REF! &amp; "={pid}" &amp; "', " &amp; "'【"&amp; $V217 &amp;"】已使用此筆資料，故不可刪除!!'" &amp; ",'" &amp; SUBSTITUTE("{'zh_TW': '" &amp;  "【"&amp; $V217 &amp;"】已使用此筆資料，不可刪除!!"  &amp; "' ,'en_US': '" &amp;  "Have used this information, it can not be deleted !!" &amp; "'  ,'zh_CN': '" &amp; "【"&amp; $V217 &amp;"】已使用此筆資料，不可刪除!!" &amp; "' }", CHAR(39),CHAR(34))   &amp; "');","")</f>
        <v/>
      </c>
    </row>
    <row r="218" spans="24:24">
      <c r="X218" s="13" t="str">
        <f>IF($E218="Y","INSERT INTO `sys_table_relation` (`TABLE_NAME`, `CHILD_TABLE_NAME`, `SQL_QUERY`, `ERROR_DESC` ,`ERROR_DESC_JSON`) VALUES ('" &amp;$C218 &amp; "', '" &amp; $U218 &amp; "', '" &amp; "select count(*) from "&amp; $U218 &amp;" where " &amp; IF(COUNTIF(#REF!,"IS_DESTROYED"),"IS_DESTROYED=0 and ","") &amp;#REF! &amp; "={pid}" &amp; "', " &amp; "'【"&amp; $V218 &amp;"】已使用此筆資料，故不可刪除!!'" &amp; ",'" &amp; SUBSTITUTE("{'zh_TW': '" &amp;  "【"&amp; $V218 &amp;"】已使用此筆資料，不可刪除!!"  &amp; "' ,'en_US': '" &amp;  "Have used this information, it can not be deleted !!" &amp; "'  ,'zh_CN': '" &amp; "【"&amp; $V218 &amp;"】已使用此筆資料，不可刪除!!" &amp; "' }", CHAR(39),CHAR(34))   &amp; "');","")</f>
        <v/>
      </c>
    </row>
    <row r="219" spans="24:24">
      <c r="X219" s="13" t="str">
        <f>IF($E219="Y","INSERT INTO `sys_table_relation` (`TABLE_NAME`, `CHILD_TABLE_NAME`, `SQL_QUERY`, `ERROR_DESC` ,`ERROR_DESC_JSON`) VALUES ('" &amp;$C219 &amp; "', '" &amp; $U219 &amp; "', '" &amp; "select count(*) from "&amp; $U219 &amp;" where " &amp; IF(COUNTIF(#REF!,"IS_DESTROYED"),"IS_DESTROYED=0 and ","") &amp;#REF! &amp; "={pid}" &amp; "', " &amp; "'【"&amp; $V219 &amp;"】已使用此筆資料，故不可刪除!!'" &amp; ",'" &amp; SUBSTITUTE("{'zh_TW': '" &amp;  "【"&amp; $V219 &amp;"】已使用此筆資料，不可刪除!!"  &amp; "' ,'en_US': '" &amp;  "Have used this information, it can not be deleted !!" &amp; "'  ,'zh_CN': '" &amp; "【"&amp; $V219 &amp;"】已使用此筆資料，不可刪除!!" &amp; "' }", CHAR(39),CHAR(34))   &amp; "');","")</f>
        <v/>
      </c>
    </row>
    <row r="220" spans="24:24">
      <c r="X220" s="13" t="str">
        <f>IF($E220="Y","INSERT INTO `sys_table_relation` (`TABLE_NAME`, `CHILD_TABLE_NAME`, `SQL_QUERY`, `ERROR_DESC` ,`ERROR_DESC_JSON`) VALUES ('" &amp;$C220 &amp; "', '" &amp; $U220 &amp; "', '" &amp; "select count(*) from "&amp; $U220 &amp;" where " &amp; IF(COUNTIF(#REF!,"IS_DESTROYED"),"IS_DESTROYED=0 and ","") &amp;#REF! &amp; "={pid}" &amp; "', " &amp; "'【"&amp; $V220 &amp;"】已使用此筆資料，故不可刪除!!'" &amp; ",'" &amp; SUBSTITUTE("{'zh_TW': '" &amp;  "【"&amp; $V220 &amp;"】已使用此筆資料，不可刪除!!"  &amp; "' ,'en_US': '" &amp;  "Have used this information, it can not be deleted !!" &amp; "'  ,'zh_CN': '" &amp; "【"&amp; $V220 &amp;"】已使用此筆資料，不可刪除!!" &amp; "' }", CHAR(39),CHAR(34))   &amp; "');","")</f>
        <v/>
      </c>
    </row>
    <row r="221" spans="24:24">
      <c r="X221" s="13" t="str">
        <f>IF($E221="Y","INSERT INTO `sys_table_relation` (`TABLE_NAME`, `CHILD_TABLE_NAME`, `SQL_QUERY`, `ERROR_DESC` ,`ERROR_DESC_JSON`) VALUES ('" &amp;$C221 &amp; "', '" &amp; $U221 &amp; "', '" &amp; "select count(*) from "&amp; $U221 &amp;" where " &amp; IF(COUNTIF(#REF!,"IS_DESTROYED"),"IS_DESTROYED=0 and ","") &amp;#REF! &amp; "={pid}" &amp; "', " &amp; "'【"&amp; $V221 &amp;"】已使用此筆資料，故不可刪除!!'" &amp; ",'" &amp; SUBSTITUTE("{'zh_TW': '" &amp;  "【"&amp; $V221 &amp;"】已使用此筆資料，不可刪除!!"  &amp; "' ,'en_US': '" &amp;  "Have used this information, it can not be deleted !!" &amp; "'  ,'zh_CN': '" &amp; "【"&amp; $V221 &amp;"】已使用此筆資料，不可刪除!!" &amp; "' }", CHAR(39),CHAR(34))   &amp; "');","")</f>
        <v/>
      </c>
    </row>
    <row r="222" spans="24:24">
      <c r="X222" s="13" t="str">
        <f>IF($E222="Y","INSERT INTO `sys_table_relation` (`TABLE_NAME`, `CHILD_TABLE_NAME`, `SQL_QUERY`, `ERROR_DESC` ,`ERROR_DESC_JSON`) VALUES ('" &amp;$C222 &amp; "', '" &amp; $U222 &amp; "', '" &amp; "select count(*) from "&amp; $U222 &amp;" where " &amp; IF(COUNTIF(#REF!,"IS_DESTROYED"),"IS_DESTROYED=0 and ","") &amp;#REF! &amp; "={pid}" &amp; "', " &amp; "'【"&amp; $V222 &amp;"】已使用此筆資料，故不可刪除!!'" &amp; ",'" &amp; SUBSTITUTE("{'zh_TW': '" &amp;  "【"&amp; $V222 &amp;"】已使用此筆資料，不可刪除!!"  &amp; "' ,'en_US': '" &amp;  "Have used this information, it can not be deleted !!" &amp; "'  ,'zh_CN': '" &amp; "【"&amp; $V222 &amp;"】已使用此筆資料，不可刪除!!" &amp; "' }", CHAR(39),CHAR(34))   &amp; "');","")</f>
        <v/>
      </c>
    </row>
    <row r="223" spans="24:24">
      <c r="X223" s="13" t="str">
        <f>IF($E223="Y","INSERT INTO `sys_table_relation` (`TABLE_NAME`, `CHILD_TABLE_NAME`, `SQL_QUERY`, `ERROR_DESC` ,`ERROR_DESC_JSON`) VALUES ('" &amp;$C223 &amp; "', '" &amp; $U223 &amp; "', '" &amp; "select count(*) from "&amp; $U223 &amp;" where " &amp; IF(COUNTIF(#REF!,"IS_DESTROYED"),"IS_DESTROYED=0 and ","") &amp;#REF! &amp; "={pid}" &amp; "', " &amp; "'【"&amp; $V223 &amp;"】已使用此筆資料，故不可刪除!!'" &amp; ",'" &amp; SUBSTITUTE("{'zh_TW': '" &amp;  "【"&amp; $V223 &amp;"】已使用此筆資料，不可刪除!!"  &amp; "' ,'en_US': '" &amp;  "Have used this information, it can not be deleted !!" &amp; "'  ,'zh_CN': '" &amp; "【"&amp; $V223 &amp;"】已使用此筆資料，不可刪除!!" &amp; "' }", CHAR(39),CHAR(34))   &amp; "');","")</f>
        <v/>
      </c>
    </row>
    <row r="224" spans="24:24">
      <c r="X224" s="13" t="str">
        <f>IF($E224="Y","INSERT INTO `sys_table_relation` (`TABLE_NAME`, `CHILD_TABLE_NAME`, `SQL_QUERY`, `ERROR_DESC` ,`ERROR_DESC_JSON`) VALUES ('" &amp;$C224 &amp; "', '" &amp; $U224 &amp; "', '" &amp; "select count(*) from "&amp; $U224 &amp;" where " &amp; IF(COUNTIF(#REF!,"IS_DESTROYED"),"IS_DESTROYED=0 and ","") &amp;#REF! &amp; "={pid}" &amp; "', " &amp; "'【"&amp; $V224 &amp;"】已使用此筆資料，故不可刪除!!'" &amp; ",'" &amp; SUBSTITUTE("{'zh_TW': '" &amp;  "【"&amp; $V224 &amp;"】已使用此筆資料，不可刪除!!"  &amp; "' ,'en_US': '" &amp;  "Have used this information, it can not be deleted !!" &amp; "'  ,'zh_CN': '" &amp; "【"&amp; $V224 &amp;"】已使用此筆資料，不可刪除!!" &amp; "' }", CHAR(39),CHAR(34))   &amp; "');","")</f>
        <v/>
      </c>
    </row>
    <row r="225" spans="24:24">
      <c r="X225" s="13" t="str">
        <f>IF($E225="Y","INSERT INTO `sys_table_relation` (`TABLE_NAME`, `CHILD_TABLE_NAME`, `SQL_QUERY`, `ERROR_DESC` ,`ERROR_DESC_JSON`) VALUES ('" &amp;$C225 &amp; "', '" &amp; $U225 &amp; "', '" &amp; "select count(*) from "&amp; $U225 &amp;" where " &amp; IF(COUNTIF(#REF!,"IS_DESTROYED"),"IS_DESTROYED=0 and ","") &amp;#REF! &amp; "={pid}" &amp; "', " &amp; "'【"&amp; $V225 &amp;"】已使用此筆資料，故不可刪除!!'" &amp; ",'" &amp; SUBSTITUTE("{'zh_TW': '" &amp;  "【"&amp; $V225 &amp;"】已使用此筆資料，不可刪除!!"  &amp; "' ,'en_US': '" &amp;  "Have used this information, it can not be deleted !!" &amp; "'  ,'zh_CN': '" &amp; "【"&amp; $V225 &amp;"】已使用此筆資料，不可刪除!!" &amp; "' }", CHAR(39),CHAR(34))   &amp; "');","")</f>
        <v/>
      </c>
    </row>
    <row r="226" spans="24:24">
      <c r="X226" s="13" t="str">
        <f>IF($E226="Y","INSERT INTO `sys_table_relation` (`TABLE_NAME`, `CHILD_TABLE_NAME`, `SQL_QUERY`, `ERROR_DESC` ,`ERROR_DESC_JSON`) VALUES ('" &amp;$C226 &amp; "', '" &amp; $U226 &amp; "', '" &amp; "select count(*) from "&amp; $U226 &amp;" where " &amp; IF(COUNTIF(#REF!,"IS_DESTROYED"),"IS_DESTROYED=0 and ","") &amp;#REF! &amp; "={pid}" &amp; "', " &amp; "'【"&amp; $V226 &amp;"】已使用此筆資料，故不可刪除!!'" &amp; ",'" &amp; SUBSTITUTE("{'zh_TW': '" &amp;  "【"&amp; $V226 &amp;"】已使用此筆資料，不可刪除!!"  &amp; "' ,'en_US': '" &amp;  "Have used this information, it can not be deleted !!" &amp; "'  ,'zh_CN': '" &amp; "【"&amp; $V226 &amp;"】已使用此筆資料，不可刪除!!" &amp; "' }", CHAR(39),CHAR(34))   &amp; "');","")</f>
        <v/>
      </c>
    </row>
    <row r="227" spans="24:24">
      <c r="X227" s="13" t="str">
        <f>IF($E227="Y","INSERT INTO `sys_table_relation` (`TABLE_NAME`, `CHILD_TABLE_NAME`, `SQL_QUERY`, `ERROR_DESC` ,`ERROR_DESC_JSON`) VALUES ('" &amp;$C227 &amp; "', '" &amp; $U227 &amp; "', '" &amp; "select count(*) from "&amp; $U227 &amp;" where " &amp; IF(COUNTIF(#REF!,"IS_DESTROYED"),"IS_DESTROYED=0 and ","") &amp;#REF! &amp; "={pid}" &amp; "', " &amp; "'【"&amp; $V227 &amp;"】已使用此筆資料，故不可刪除!!'" &amp; ",'" &amp; SUBSTITUTE("{'zh_TW': '" &amp;  "【"&amp; $V227 &amp;"】已使用此筆資料，不可刪除!!"  &amp; "' ,'en_US': '" &amp;  "Have used this information, it can not be deleted !!" &amp; "'  ,'zh_CN': '" &amp; "【"&amp; $V227 &amp;"】已使用此筆資料，不可刪除!!" &amp; "' }", CHAR(39),CHAR(34))   &amp; "');","")</f>
        <v/>
      </c>
    </row>
    <row r="228" spans="24:24">
      <c r="X228" s="13" t="str">
        <f>IF($E228="Y","INSERT INTO `sys_table_relation` (`TABLE_NAME`, `CHILD_TABLE_NAME`, `SQL_QUERY`, `ERROR_DESC` ,`ERROR_DESC_JSON`) VALUES ('" &amp;$C228 &amp; "', '" &amp; $U228 &amp; "', '" &amp; "select count(*) from "&amp; $U228 &amp;" where " &amp; IF(COUNTIF(#REF!,"IS_DESTROYED"),"IS_DESTROYED=0 and ","") &amp;#REF! &amp; "={pid}" &amp; "', " &amp; "'【"&amp; $V228 &amp;"】已使用此筆資料，故不可刪除!!'" &amp; ",'" &amp; SUBSTITUTE("{'zh_TW': '" &amp;  "【"&amp; $V228 &amp;"】已使用此筆資料，不可刪除!!"  &amp; "' ,'en_US': '" &amp;  "Have used this information, it can not be deleted !!" &amp; "'  ,'zh_CN': '" &amp; "【"&amp; $V228 &amp;"】已使用此筆資料，不可刪除!!" &amp; "' }", CHAR(39),CHAR(34))   &amp; "');","")</f>
        <v/>
      </c>
    </row>
    <row r="229" spans="24:24">
      <c r="X229" s="13" t="str">
        <f>IF($E229="Y","INSERT INTO `sys_table_relation` (`TABLE_NAME`, `CHILD_TABLE_NAME`, `SQL_QUERY`, `ERROR_DESC` ,`ERROR_DESC_JSON`) VALUES ('" &amp;$C229 &amp; "', '" &amp; $U229 &amp; "', '" &amp; "select count(*) from "&amp; $U229 &amp;" where " &amp; IF(COUNTIF(#REF!,"IS_DESTROYED"),"IS_DESTROYED=0 and ","") &amp;#REF! &amp; "={pid}" &amp; "', " &amp; "'【"&amp; $V229 &amp;"】已使用此筆資料，故不可刪除!!'" &amp; ",'" &amp; SUBSTITUTE("{'zh_TW': '" &amp;  "【"&amp; $V229 &amp;"】已使用此筆資料，不可刪除!!"  &amp; "' ,'en_US': '" &amp;  "Have used this information, it can not be deleted !!" &amp; "'  ,'zh_CN': '" &amp; "【"&amp; $V229 &amp;"】已使用此筆資料，不可刪除!!" &amp; "' }", CHAR(39),CHAR(34))   &amp; "');","")</f>
        <v/>
      </c>
    </row>
    <row r="230" spans="24:24">
      <c r="X230" s="13" t="str">
        <f>IF($E230="Y","INSERT INTO `sys_table_relation` (`TABLE_NAME`, `CHILD_TABLE_NAME`, `SQL_QUERY`, `ERROR_DESC` ,`ERROR_DESC_JSON`) VALUES ('" &amp;$C230 &amp; "', '" &amp; $U230 &amp; "', '" &amp; "select count(*) from "&amp; $U230 &amp;" where " &amp; IF(COUNTIF(#REF!,"IS_DESTROYED"),"IS_DESTROYED=0 and ","") &amp;#REF! &amp; "={pid}" &amp; "', " &amp; "'【"&amp; $V230 &amp;"】已使用此筆資料，故不可刪除!!'" &amp; ",'" &amp; SUBSTITUTE("{'zh_TW': '" &amp;  "【"&amp; $V230 &amp;"】已使用此筆資料，不可刪除!!"  &amp; "' ,'en_US': '" &amp;  "Have used this information, it can not be deleted !!" &amp; "'  ,'zh_CN': '" &amp; "【"&amp; $V230 &amp;"】已使用此筆資料，不可刪除!!" &amp; "' }", CHAR(39),CHAR(34))   &amp; "');","")</f>
        <v/>
      </c>
    </row>
    <row r="231" spans="24:24">
      <c r="X231" s="13" t="str">
        <f>IF($E231="Y","INSERT INTO `sys_table_relation` (`TABLE_NAME`, `CHILD_TABLE_NAME`, `SQL_QUERY`, `ERROR_DESC` ,`ERROR_DESC_JSON`) VALUES ('" &amp;$C231 &amp; "', '" &amp; $U231 &amp; "', '" &amp; "select count(*) from "&amp; $U231 &amp;" where " &amp; IF(COUNTIF(#REF!,"IS_DESTROYED"),"IS_DESTROYED=0 and ","") &amp;#REF! &amp; "={pid}" &amp; "', " &amp; "'【"&amp; $V231 &amp;"】已使用此筆資料，故不可刪除!!'" &amp; ",'" &amp; SUBSTITUTE("{'zh_TW': '" &amp;  "【"&amp; $V231 &amp;"】已使用此筆資料，不可刪除!!"  &amp; "' ,'en_US': '" &amp;  "Have used this information, it can not be deleted !!" &amp; "'  ,'zh_CN': '" &amp; "【"&amp; $V231 &amp;"】已使用此筆資料，不可刪除!!" &amp; "' }", CHAR(39),CHAR(34))   &amp; "');","")</f>
        <v/>
      </c>
    </row>
    <row r="232" spans="24:24">
      <c r="X232" s="13" t="str">
        <f>IF($E232="Y","INSERT INTO `sys_table_relation` (`TABLE_NAME`, `CHILD_TABLE_NAME`, `SQL_QUERY`, `ERROR_DESC` ,`ERROR_DESC_JSON`) VALUES ('" &amp;$C232 &amp; "', '" &amp; $U232 &amp; "', '" &amp; "select count(*) from "&amp; $U232 &amp;" where " &amp; IF(COUNTIF(#REF!,"IS_DESTROYED"),"IS_DESTROYED=0 and ","") &amp;#REF! &amp; "={pid}" &amp; "', " &amp; "'【"&amp; $V232 &amp;"】已使用此筆資料，故不可刪除!!'" &amp; ",'" &amp; SUBSTITUTE("{'zh_TW': '" &amp;  "【"&amp; $V232 &amp;"】已使用此筆資料，不可刪除!!"  &amp; "' ,'en_US': '" &amp;  "Have used this information, it can not be deleted !!" &amp; "'  ,'zh_CN': '" &amp; "【"&amp; $V232 &amp;"】已使用此筆資料，不可刪除!!" &amp; "' }", CHAR(39),CHAR(34))   &amp; "');","")</f>
        <v/>
      </c>
    </row>
    <row r="233" spans="24:24">
      <c r="X233" s="13" t="str">
        <f>IF($E233="Y","INSERT INTO `sys_table_relation` (`TABLE_NAME`, `CHILD_TABLE_NAME`, `SQL_QUERY`, `ERROR_DESC` ,`ERROR_DESC_JSON`) VALUES ('" &amp;$C233 &amp; "', '" &amp; $U233 &amp; "', '" &amp; "select count(*) from "&amp; $U233 &amp;" where " &amp; IF(COUNTIF(#REF!,"IS_DESTROYED"),"IS_DESTROYED=0 and ","") &amp;#REF! &amp; "={pid}" &amp; "', " &amp; "'【"&amp; $V233 &amp;"】已使用此筆資料，故不可刪除!!'" &amp; ",'" &amp; SUBSTITUTE("{'zh_TW': '" &amp;  "【"&amp; $V233 &amp;"】已使用此筆資料，不可刪除!!"  &amp; "' ,'en_US': '" &amp;  "Have used this information, it can not be deleted !!" &amp; "'  ,'zh_CN': '" &amp; "【"&amp; $V233 &amp;"】已使用此筆資料，不可刪除!!" &amp; "' }", CHAR(39),CHAR(34))   &amp; "');","")</f>
        <v/>
      </c>
    </row>
    <row r="234" spans="24:24">
      <c r="X234" s="13" t="str">
        <f>IF($E234="Y","INSERT INTO `sys_table_relation` (`TABLE_NAME`, `CHILD_TABLE_NAME`, `SQL_QUERY`, `ERROR_DESC` ,`ERROR_DESC_JSON`) VALUES ('" &amp;$C234 &amp; "', '" &amp; $U234 &amp; "', '" &amp; "select count(*) from "&amp; $U234 &amp;" where " &amp; IF(COUNTIF(#REF!,"IS_DESTROYED"),"IS_DESTROYED=0 and ","") &amp;#REF! &amp; "={pid}" &amp; "', " &amp; "'【"&amp; $V234 &amp;"】已使用此筆資料，故不可刪除!!'" &amp; ",'" &amp; SUBSTITUTE("{'zh_TW': '" &amp;  "【"&amp; $V234 &amp;"】已使用此筆資料，不可刪除!!"  &amp; "' ,'en_US': '" &amp;  "Have used this information, it can not be deleted !!" &amp; "'  ,'zh_CN': '" &amp; "【"&amp; $V234 &amp;"】已使用此筆資料，不可刪除!!" &amp; "' }", CHAR(39),CHAR(34))   &amp; "');","")</f>
        <v/>
      </c>
    </row>
    <row r="235" spans="24:24">
      <c r="X235" s="13" t="str">
        <f>IF($E235="Y","INSERT INTO `sys_table_relation` (`TABLE_NAME`, `CHILD_TABLE_NAME`, `SQL_QUERY`, `ERROR_DESC` ,`ERROR_DESC_JSON`) VALUES ('" &amp;$C235 &amp; "', '" &amp; $U235 &amp; "', '" &amp; "select count(*) from "&amp; $U235 &amp;" where " &amp; IF(COUNTIF(#REF!,"IS_DESTROYED"),"IS_DESTROYED=0 and ","") &amp;#REF! &amp; "={pid}" &amp; "', " &amp; "'【"&amp; $V235 &amp;"】已使用此筆資料，故不可刪除!!'" &amp; ",'" &amp; SUBSTITUTE("{'zh_TW': '" &amp;  "【"&amp; $V235 &amp;"】已使用此筆資料，不可刪除!!"  &amp; "' ,'en_US': '" &amp;  "Have used this information, it can not be deleted !!" &amp; "'  ,'zh_CN': '" &amp; "【"&amp; $V235 &amp;"】已使用此筆資料，不可刪除!!" &amp; "' }", CHAR(39),CHAR(34))   &amp; "');","")</f>
        <v/>
      </c>
    </row>
    <row r="236" spans="24:24">
      <c r="X236" s="13" t="str">
        <f>IF($E236="Y","INSERT INTO `sys_table_relation` (`TABLE_NAME`, `CHILD_TABLE_NAME`, `SQL_QUERY`, `ERROR_DESC` ,`ERROR_DESC_JSON`) VALUES ('" &amp;$C236 &amp; "', '" &amp; $U236 &amp; "', '" &amp; "select count(*) from "&amp; $U236 &amp;" where " &amp; IF(COUNTIF(#REF!,"IS_DESTROYED"),"IS_DESTROYED=0 and ","") &amp;#REF! &amp; "={pid}" &amp; "', " &amp; "'【"&amp; $V236 &amp;"】已使用此筆資料，故不可刪除!!'" &amp; ",'" &amp; SUBSTITUTE("{'zh_TW': '" &amp;  "【"&amp; $V236 &amp;"】已使用此筆資料，不可刪除!!"  &amp; "' ,'en_US': '" &amp;  "Have used this information, it can not be deleted !!" &amp; "'  ,'zh_CN': '" &amp; "【"&amp; $V236 &amp;"】已使用此筆資料，不可刪除!!" &amp; "' }", CHAR(39),CHAR(34))   &amp; "');","")</f>
        <v/>
      </c>
    </row>
    <row r="237" spans="24:24">
      <c r="X237" s="13" t="str">
        <f>IF($E237="Y","INSERT INTO `sys_table_relation` (`TABLE_NAME`, `CHILD_TABLE_NAME`, `SQL_QUERY`, `ERROR_DESC` ,`ERROR_DESC_JSON`) VALUES ('" &amp;$C237 &amp; "', '" &amp; $U237 &amp; "', '" &amp; "select count(*) from "&amp; $U237 &amp;" where " &amp; IF(COUNTIF(#REF!,"IS_DESTROYED"),"IS_DESTROYED=0 and ","") &amp;#REF! &amp; "={pid}" &amp; "', " &amp; "'【"&amp; $V237 &amp;"】已使用此筆資料，故不可刪除!!'" &amp; ",'" &amp; SUBSTITUTE("{'zh_TW': '" &amp;  "【"&amp; $V237 &amp;"】已使用此筆資料，不可刪除!!"  &amp; "' ,'en_US': '" &amp;  "Have used this information, it can not be deleted !!" &amp; "'  ,'zh_CN': '" &amp; "【"&amp; $V237 &amp;"】已使用此筆資料，不可刪除!!" &amp; "' }", CHAR(39),CHAR(34))   &amp; "');","")</f>
        <v/>
      </c>
    </row>
    <row r="238" spans="24:24">
      <c r="X238" s="13" t="str">
        <f>IF($E238="Y","INSERT INTO `sys_table_relation` (`TABLE_NAME`, `CHILD_TABLE_NAME`, `SQL_QUERY`, `ERROR_DESC` ,`ERROR_DESC_JSON`) VALUES ('" &amp;$C238 &amp; "', '" &amp; $U238 &amp; "', '" &amp; "select count(*) from "&amp; $U238 &amp;" where " &amp; IF(COUNTIF(#REF!,"IS_DESTROYED"),"IS_DESTROYED=0 and ","") &amp;#REF! &amp; "={pid}" &amp; "', " &amp; "'【"&amp; $V238 &amp;"】已使用此筆資料，故不可刪除!!'" &amp; ",'" &amp; SUBSTITUTE("{'zh_TW': '" &amp;  "【"&amp; $V238 &amp;"】已使用此筆資料，不可刪除!!"  &amp; "' ,'en_US': '" &amp;  "Have used this information, it can not be deleted !!" &amp; "'  ,'zh_CN': '" &amp; "【"&amp; $V238 &amp;"】已使用此筆資料，不可刪除!!" &amp; "' }", CHAR(39),CHAR(34))   &amp; "');","")</f>
        <v/>
      </c>
    </row>
    <row r="239" spans="24:24">
      <c r="X239" s="13" t="str">
        <f>IF($E239="Y","INSERT INTO `sys_table_relation` (`TABLE_NAME`, `CHILD_TABLE_NAME`, `SQL_QUERY`, `ERROR_DESC` ,`ERROR_DESC_JSON`) VALUES ('" &amp;$C239 &amp; "', '" &amp; $U239 &amp; "', '" &amp; "select count(*) from "&amp; $U239 &amp;" where " &amp; IF(COUNTIF(#REF!,"IS_DESTROYED"),"IS_DESTROYED=0 and ","") &amp;#REF! &amp; "={pid}" &amp; "', " &amp; "'【"&amp; $V239 &amp;"】已使用此筆資料，故不可刪除!!'" &amp; ",'" &amp; SUBSTITUTE("{'zh_TW': '" &amp;  "【"&amp; $V239 &amp;"】已使用此筆資料，不可刪除!!"  &amp; "' ,'en_US': '" &amp;  "Have used this information, it can not be deleted !!" &amp; "'  ,'zh_CN': '" &amp; "【"&amp; $V239 &amp;"】已使用此筆資料，不可刪除!!" &amp; "' }", CHAR(39),CHAR(34))   &amp; "');","")</f>
        <v/>
      </c>
    </row>
    <row r="240" spans="24:24">
      <c r="X240" s="13" t="str">
        <f>IF($E240="Y","INSERT INTO `sys_table_relation` (`TABLE_NAME`, `CHILD_TABLE_NAME`, `SQL_QUERY`, `ERROR_DESC` ,`ERROR_DESC_JSON`) VALUES ('" &amp;$C240 &amp; "', '" &amp; $U240 &amp; "', '" &amp; "select count(*) from "&amp; $U240 &amp;" where " &amp; IF(COUNTIF(#REF!,"IS_DESTROYED"),"IS_DESTROYED=0 and ","") &amp;#REF! &amp; "={pid}" &amp; "', " &amp; "'【"&amp; $V240 &amp;"】已使用此筆資料，故不可刪除!!'" &amp; ",'" &amp; SUBSTITUTE("{'zh_TW': '" &amp;  "【"&amp; $V240 &amp;"】已使用此筆資料，不可刪除!!"  &amp; "' ,'en_US': '" &amp;  "Have used this information, it can not be deleted !!" &amp; "'  ,'zh_CN': '" &amp; "【"&amp; $V240 &amp;"】已使用此筆資料，不可刪除!!" &amp; "' }", CHAR(39),CHAR(34))   &amp; "');","")</f>
        <v/>
      </c>
    </row>
    <row r="241" spans="24:24">
      <c r="X241" s="13" t="str">
        <f>IF($E241="Y","INSERT INTO `sys_table_relation` (`TABLE_NAME`, `CHILD_TABLE_NAME`, `SQL_QUERY`, `ERROR_DESC` ,`ERROR_DESC_JSON`) VALUES ('" &amp;$C241 &amp; "', '" &amp; $U241 &amp; "', '" &amp; "select count(*) from "&amp; $U241 &amp;" where " &amp; IF(COUNTIF(#REF!,"IS_DESTROYED"),"IS_DESTROYED=0 and ","") &amp;#REF! &amp; "={pid}" &amp; "', " &amp; "'【"&amp; $V241 &amp;"】已使用此筆資料，故不可刪除!!'" &amp; ",'" &amp; SUBSTITUTE("{'zh_TW': '" &amp;  "【"&amp; $V241 &amp;"】已使用此筆資料，不可刪除!!"  &amp; "' ,'en_US': '" &amp;  "Have used this information, it can not be deleted !!" &amp; "'  ,'zh_CN': '" &amp; "【"&amp; $V241 &amp;"】已使用此筆資料，不可刪除!!" &amp; "' }", CHAR(39),CHAR(34))   &amp; "');","")</f>
        <v/>
      </c>
    </row>
    <row r="242" spans="24:24">
      <c r="X242" s="13" t="str">
        <f>IF($E242="Y","INSERT INTO `sys_table_relation` (`TABLE_NAME`, `CHILD_TABLE_NAME`, `SQL_QUERY`, `ERROR_DESC` ,`ERROR_DESC_JSON`) VALUES ('" &amp;$C242 &amp; "', '" &amp; $U242 &amp; "', '" &amp; "select count(*) from "&amp; $U242 &amp;" where " &amp; IF(COUNTIF(#REF!,"IS_DESTROYED"),"IS_DESTROYED=0 and ","") &amp;#REF! &amp; "={pid}" &amp; "', " &amp; "'【"&amp; $V242 &amp;"】已使用此筆資料，故不可刪除!!'" &amp; ",'" &amp; SUBSTITUTE("{'zh_TW': '" &amp;  "【"&amp; $V242 &amp;"】已使用此筆資料，不可刪除!!"  &amp; "' ,'en_US': '" &amp;  "Have used this information, it can not be deleted !!" &amp; "'  ,'zh_CN': '" &amp; "【"&amp; $V242 &amp;"】已使用此筆資料，不可刪除!!" &amp; "' }", CHAR(39),CHAR(34))   &amp; "');","")</f>
        <v/>
      </c>
    </row>
    <row r="243" spans="24:24">
      <c r="X243" s="13" t="str">
        <f>IF($E243="Y","INSERT INTO `sys_table_relation` (`TABLE_NAME`, `CHILD_TABLE_NAME`, `SQL_QUERY`, `ERROR_DESC` ,`ERROR_DESC_JSON`) VALUES ('" &amp;$C243 &amp; "', '" &amp; $U243 &amp; "', '" &amp; "select count(*) from "&amp; $U243 &amp;" where " &amp; IF(COUNTIF(#REF!,"IS_DESTROYED"),"IS_DESTROYED=0 and ","") &amp;#REF! &amp; "={pid}" &amp; "', " &amp; "'【"&amp; $V243 &amp;"】已使用此筆資料，故不可刪除!!'" &amp; ",'" &amp; SUBSTITUTE("{'zh_TW': '" &amp;  "【"&amp; $V243 &amp;"】已使用此筆資料，不可刪除!!"  &amp; "' ,'en_US': '" &amp;  "Have used this information, it can not be deleted !!" &amp; "'  ,'zh_CN': '" &amp; "【"&amp; $V243 &amp;"】已使用此筆資料，不可刪除!!" &amp; "' }", CHAR(39),CHAR(34))   &amp; "');","")</f>
        <v/>
      </c>
    </row>
    <row r="244" spans="24:24">
      <c r="X244" s="13" t="str">
        <f>IF($E244="Y","INSERT INTO `sys_table_relation` (`TABLE_NAME`, `CHILD_TABLE_NAME`, `SQL_QUERY`, `ERROR_DESC` ,`ERROR_DESC_JSON`) VALUES ('" &amp;$C244 &amp; "', '" &amp; $U244 &amp; "', '" &amp; "select count(*) from "&amp; $U244 &amp;" where " &amp; IF(COUNTIF(#REF!,"IS_DESTROYED"),"IS_DESTROYED=0 and ","") &amp;#REF! &amp; "={pid}" &amp; "', " &amp; "'【"&amp; $V244 &amp;"】已使用此筆資料，故不可刪除!!'" &amp; ",'" &amp; SUBSTITUTE("{'zh_TW': '" &amp;  "【"&amp; $V244 &amp;"】已使用此筆資料，不可刪除!!"  &amp; "' ,'en_US': '" &amp;  "Have used this information, it can not be deleted !!" &amp; "'  ,'zh_CN': '" &amp; "【"&amp; $V244 &amp;"】已使用此筆資料，不可刪除!!" &amp; "' }", CHAR(39),CHAR(34))   &amp; "');","")</f>
        <v/>
      </c>
    </row>
    <row r="245" spans="24:24">
      <c r="X245" s="13" t="str">
        <f>IF($E245="Y","INSERT INTO `sys_table_relation` (`TABLE_NAME`, `CHILD_TABLE_NAME`, `SQL_QUERY`, `ERROR_DESC` ,`ERROR_DESC_JSON`) VALUES ('" &amp;$C245 &amp; "', '" &amp; $U245 &amp; "', '" &amp; "select count(*) from "&amp; $U245 &amp;" where " &amp; IF(COUNTIF(#REF!,"IS_DESTROYED"),"IS_DESTROYED=0 and ","") &amp;#REF! &amp; "={pid}" &amp; "', " &amp; "'【"&amp; $V245 &amp;"】已使用此筆資料，故不可刪除!!'" &amp; ",'" &amp; SUBSTITUTE("{'zh_TW': '" &amp;  "【"&amp; $V245 &amp;"】已使用此筆資料，不可刪除!!"  &amp; "' ,'en_US': '" &amp;  "Have used this information, it can not be deleted !!" &amp; "'  ,'zh_CN': '" &amp; "【"&amp; $V245 &amp;"】已使用此筆資料，不可刪除!!" &amp; "' }", CHAR(39),CHAR(34))   &amp; "');","")</f>
        <v/>
      </c>
    </row>
    <row r="246" spans="24:24">
      <c r="X246" s="13" t="str">
        <f>IF($E246="Y","INSERT INTO `sys_table_relation` (`TABLE_NAME`, `CHILD_TABLE_NAME`, `SQL_QUERY`, `ERROR_DESC` ,`ERROR_DESC_JSON`) VALUES ('" &amp;$C246 &amp; "', '" &amp; $U246 &amp; "', '" &amp; "select count(*) from "&amp; $U246 &amp;" where " &amp; IF(COUNTIF(#REF!,"IS_DESTROYED"),"IS_DESTROYED=0 and ","") &amp;#REF! &amp; "={pid}" &amp; "', " &amp; "'【"&amp; $V246 &amp;"】已使用此筆資料，故不可刪除!!'" &amp; ",'" &amp; SUBSTITUTE("{'zh_TW': '" &amp;  "【"&amp; $V246 &amp;"】已使用此筆資料，不可刪除!!"  &amp; "' ,'en_US': '" &amp;  "Have used this information, it can not be deleted !!" &amp; "'  ,'zh_CN': '" &amp; "【"&amp; $V246 &amp;"】已使用此筆資料，不可刪除!!" &amp; "' }", CHAR(39),CHAR(34))   &amp; "');","")</f>
        <v/>
      </c>
    </row>
    <row r="247" spans="24:24">
      <c r="X247" s="13" t="str">
        <f>IF($E247="Y","INSERT INTO `sys_table_relation` (`TABLE_NAME`, `CHILD_TABLE_NAME`, `SQL_QUERY`, `ERROR_DESC` ,`ERROR_DESC_JSON`) VALUES ('" &amp;$C247 &amp; "', '" &amp; $U247 &amp; "', '" &amp; "select count(*) from "&amp; $U247 &amp;" where " &amp; IF(COUNTIF(#REF!,"IS_DESTROYED"),"IS_DESTROYED=0 and ","") &amp;#REF! &amp; "={pid}" &amp; "', " &amp; "'【"&amp; $V247 &amp;"】已使用此筆資料，故不可刪除!!'" &amp; ",'" &amp; SUBSTITUTE("{'zh_TW': '" &amp;  "【"&amp; $V247 &amp;"】已使用此筆資料，不可刪除!!"  &amp; "' ,'en_US': '" &amp;  "Have used this information, it can not be deleted !!" &amp; "'  ,'zh_CN': '" &amp; "【"&amp; $V247 &amp;"】已使用此筆資料，不可刪除!!" &amp; "' }", CHAR(39),CHAR(34))   &amp; "');","")</f>
        <v/>
      </c>
    </row>
    <row r="248" spans="24:24">
      <c r="X248" s="13" t="str">
        <f>IF($E248="Y","INSERT INTO `sys_table_relation` (`TABLE_NAME`, `CHILD_TABLE_NAME`, `SQL_QUERY`, `ERROR_DESC` ,`ERROR_DESC_JSON`) VALUES ('" &amp;$C248 &amp; "', '" &amp; $U248 &amp; "', '" &amp; "select count(*) from "&amp; $U248 &amp;" where " &amp; IF(COUNTIF(#REF!,"IS_DESTROYED"),"IS_DESTROYED=0 and ","") &amp;#REF! &amp; "={pid}" &amp; "', " &amp; "'【"&amp; $V248 &amp;"】已使用此筆資料，故不可刪除!!'" &amp; ",'" &amp; SUBSTITUTE("{'zh_TW': '" &amp;  "【"&amp; $V248 &amp;"】已使用此筆資料，不可刪除!!"  &amp; "' ,'en_US': '" &amp;  "Have used this information, it can not be deleted !!" &amp; "'  ,'zh_CN': '" &amp; "【"&amp; $V248 &amp;"】已使用此筆資料，不可刪除!!" &amp; "' }", CHAR(39),CHAR(34))   &amp; "');","")</f>
        <v/>
      </c>
    </row>
    <row r="249" spans="24:24">
      <c r="X249" s="13" t="str">
        <f>IF($E249="Y","INSERT INTO `sys_table_relation` (`TABLE_NAME`, `CHILD_TABLE_NAME`, `SQL_QUERY`, `ERROR_DESC` ,`ERROR_DESC_JSON`) VALUES ('" &amp;$C249 &amp; "', '" &amp; $U249 &amp; "', '" &amp; "select count(*) from "&amp; $U249 &amp;" where " &amp; IF(COUNTIF(#REF!,"IS_DESTROYED"),"IS_DESTROYED=0 and ","") &amp;#REF! &amp; "={pid}" &amp; "', " &amp; "'【"&amp; $V249 &amp;"】已使用此筆資料，故不可刪除!!'" &amp; ",'" &amp; SUBSTITUTE("{'zh_TW': '" &amp;  "【"&amp; $V249 &amp;"】已使用此筆資料，不可刪除!!"  &amp; "' ,'en_US': '" &amp;  "Have used this information, it can not be deleted !!" &amp; "'  ,'zh_CN': '" &amp; "【"&amp; $V249 &amp;"】已使用此筆資料，不可刪除!!" &amp; "' }", CHAR(39),CHAR(34))   &amp; "');","")</f>
        <v/>
      </c>
    </row>
    <row r="250" spans="24:24">
      <c r="X250" s="13" t="str">
        <f>IF($E250="Y","INSERT INTO `sys_table_relation` (`TABLE_NAME`, `CHILD_TABLE_NAME`, `SQL_QUERY`, `ERROR_DESC` ,`ERROR_DESC_JSON`) VALUES ('" &amp;$C250 &amp; "', '" &amp; $U250 &amp; "', '" &amp; "select count(*) from "&amp; $U250 &amp;" where " &amp; IF(COUNTIF(#REF!,"IS_DESTROYED"),"IS_DESTROYED=0 and ","") &amp;#REF! &amp; "={pid}" &amp; "', " &amp; "'【"&amp; $V250 &amp;"】已使用此筆資料，故不可刪除!!'" &amp; ",'" &amp; SUBSTITUTE("{'zh_TW': '" &amp;  "【"&amp; $V250 &amp;"】已使用此筆資料，不可刪除!!"  &amp; "' ,'en_US': '" &amp;  "Have used this information, it can not be deleted !!" &amp; "'  ,'zh_CN': '" &amp; "【"&amp; $V250 &amp;"】已使用此筆資料，不可刪除!!" &amp; "' }", CHAR(39),CHAR(34))   &amp; "');","")</f>
        <v/>
      </c>
    </row>
    <row r="251" spans="24:24">
      <c r="X251" s="13" t="str">
        <f>IF($E251="Y","INSERT INTO `sys_table_relation` (`TABLE_NAME`, `CHILD_TABLE_NAME`, `SQL_QUERY`, `ERROR_DESC` ,`ERROR_DESC_JSON`) VALUES ('" &amp;$C251 &amp; "', '" &amp; $U251 &amp; "', '" &amp; "select count(*) from "&amp; $U251 &amp;" where " &amp; IF(COUNTIF(#REF!,"IS_DESTROYED"),"IS_DESTROYED=0 and ","") &amp;#REF! &amp; "={pid}" &amp; "', " &amp; "'【"&amp; $V251 &amp;"】已使用此筆資料，故不可刪除!!'" &amp; ",'" &amp; SUBSTITUTE("{'zh_TW': '" &amp;  "【"&amp; $V251 &amp;"】已使用此筆資料，不可刪除!!"  &amp; "' ,'en_US': '" &amp;  "Have used this information, it can not be deleted !!" &amp; "'  ,'zh_CN': '" &amp; "【"&amp; $V251 &amp;"】已使用此筆資料，不可刪除!!" &amp; "' }", CHAR(39),CHAR(34))   &amp; "');","")</f>
        <v/>
      </c>
    </row>
    <row r="252" spans="24:24">
      <c r="X252" s="13" t="str">
        <f>IF($E252="Y","INSERT INTO `sys_table_relation` (`TABLE_NAME`, `CHILD_TABLE_NAME`, `SQL_QUERY`, `ERROR_DESC` ,`ERROR_DESC_JSON`) VALUES ('" &amp;$C252 &amp; "', '" &amp; $U252 &amp; "', '" &amp; "select count(*) from "&amp; $U252 &amp;" where " &amp; IF(COUNTIF(#REF!,"IS_DESTROYED"),"IS_DESTROYED=0 and ","") &amp;#REF! &amp; "={pid}" &amp; "', " &amp; "'【"&amp; $V252 &amp;"】已使用此筆資料，故不可刪除!!'" &amp; ",'" &amp; SUBSTITUTE("{'zh_TW': '" &amp;  "【"&amp; $V252 &amp;"】已使用此筆資料，不可刪除!!"  &amp; "' ,'en_US': '" &amp;  "Have used this information, it can not be deleted !!" &amp; "'  ,'zh_CN': '" &amp; "【"&amp; $V252 &amp;"】已使用此筆資料，不可刪除!!" &amp; "' }", CHAR(39),CHAR(34))   &amp; "');","")</f>
        <v/>
      </c>
    </row>
    <row r="253" spans="24:24">
      <c r="X253" s="13" t="str">
        <f>IF($E253="Y","INSERT INTO `sys_table_relation` (`TABLE_NAME`, `CHILD_TABLE_NAME`, `SQL_QUERY`, `ERROR_DESC` ,`ERROR_DESC_JSON`) VALUES ('" &amp;$C253 &amp; "', '" &amp; $U253 &amp; "', '" &amp; "select count(*) from "&amp; $U253 &amp;" where " &amp; IF(COUNTIF(#REF!,"IS_DESTROYED"),"IS_DESTROYED=0 and ","") &amp;#REF! &amp; "={pid}" &amp; "', " &amp; "'【"&amp; $V253 &amp;"】已使用此筆資料，故不可刪除!!'" &amp; ",'" &amp; SUBSTITUTE("{'zh_TW': '" &amp;  "【"&amp; $V253 &amp;"】已使用此筆資料，不可刪除!!"  &amp; "' ,'en_US': '" &amp;  "Have used this information, it can not be deleted !!" &amp; "'  ,'zh_CN': '" &amp; "【"&amp; $V253 &amp;"】已使用此筆資料，不可刪除!!" &amp; "' }", CHAR(39),CHAR(34))   &amp; "');","")</f>
        <v/>
      </c>
    </row>
    <row r="254" spans="24:24">
      <c r="X254" s="13" t="str">
        <f>IF($E254="Y","INSERT INTO `sys_table_relation` (`TABLE_NAME`, `CHILD_TABLE_NAME`, `SQL_QUERY`, `ERROR_DESC` ,`ERROR_DESC_JSON`) VALUES ('" &amp;$C254 &amp; "', '" &amp; $U254 &amp; "', '" &amp; "select count(*) from "&amp; $U254 &amp;" where " &amp; IF(COUNTIF(#REF!,"IS_DESTROYED"),"IS_DESTROYED=0 and ","") &amp;#REF! &amp; "={pid}" &amp; "', " &amp; "'【"&amp; $V254 &amp;"】已使用此筆資料，故不可刪除!!'" &amp; ",'" &amp; SUBSTITUTE("{'zh_TW': '" &amp;  "【"&amp; $V254 &amp;"】已使用此筆資料，不可刪除!!"  &amp; "' ,'en_US': '" &amp;  "Have used this information, it can not be deleted !!" &amp; "'  ,'zh_CN': '" &amp; "【"&amp; $V254 &amp;"】已使用此筆資料，不可刪除!!" &amp; "' }", CHAR(39),CHAR(34))   &amp; "');","")</f>
        <v/>
      </c>
    </row>
    <row r="255" spans="24:24">
      <c r="X255" s="13" t="str">
        <f>IF($E255="Y","INSERT INTO `sys_table_relation` (`TABLE_NAME`, `CHILD_TABLE_NAME`, `SQL_QUERY`, `ERROR_DESC` ,`ERROR_DESC_JSON`) VALUES ('" &amp;$C255 &amp; "', '" &amp; $U255 &amp; "', '" &amp; "select count(*) from "&amp; $U255 &amp;" where " &amp; IF(COUNTIF(#REF!,"IS_DESTROYED"),"IS_DESTROYED=0 and ","") &amp;#REF! &amp; "={pid}" &amp; "', " &amp; "'【"&amp; $V255 &amp;"】已使用此筆資料，故不可刪除!!'" &amp; ",'" &amp; SUBSTITUTE("{'zh_TW': '" &amp;  "【"&amp; $V255 &amp;"】已使用此筆資料，不可刪除!!"  &amp; "' ,'en_US': '" &amp;  "Have used this information, it can not be deleted !!" &amp; "'  ,'zh_CN': '" &amp; "【"&amp; $V255 &amp;"】已使用此筆資料，不可刪除!!" &amp; "' }", CHAR(39),CHAR(34))   &amp; "');","")</f>
        <v/>
      </c>
    </row>
    <row r="256" spans="24:24">
      <c r="X256" s="13" t="str">
        <f>IF($E256="Y","INSERT INTO `sys_table_relation` (`TABLE_NAME`, `CHILD_TABLE_NAME`, `SQL_QUERY`, `ERROR_DESC` ,`ERROR_DESC_JSON`) VALUES ('" &amp;$C256 &amp; "', '" &amp; $U256 &amp; "', '" &amp; "select count(*) from "&amp; $U256 &amp;" where " &amp; IF(COUNTIF(#REF!,"IS_DESTROYED"),"IS_DESTROYED=0 and ","") &amp;#REF! &amp; "={pid}" &amp; "', " &amp; "'【"&amp; $V256 &amp;"】已使用此筆資料，故不可刪除!!'" &amp; ",'" &amp; SUBSTITUTE("{'zh_TW': '" &amp;  "【"&amp; $V256 &amp;"】已使用此筆資料，不可刪除!!"  &amp; "' ,'en_US': '" &amp;  "Have used this information, it can not be deleted !!" &amp; "'  ,'zh_CN': '" &amp; "【"&amp; $V256 &amp;"】已使用此筆資料，不可刪除!!" &amp; "' }", CHAR(39),CHAR(34))   &amp; "');","")</f>
        <v/>
      </c>
    </row>
    <row r="257" spans="24:24">
      <c r="X257" s="13" t="str">
        <f>IF($E257="Y","INSERT INTO `sys_table_relation` (`TABLE_NAME`, `CHILD_TABLE_NAME`, `SQL_QUERY`, `ERROR_DESC` ,`ERROR_DESC_JSON`) VALUES ('" &amp;$C257 &amp; "', '" &amp; $U257 &amp; "', '" &amp; "select count(*) from "&amp; $U257 &amp;" where " &amp; IF(COUNTIF(#REF!,"IS_DESTROYED"),"IS_DESTROYED=0 and ","") &amp;#REF! &amp; "={pid}" &amp; "', " &amp; "'【"&amp; $V257 &amp;"】已使用此筆資料，故不可刪除!!'" &amp; ",'" &amp; SUBSTITUTE("{'zh_TW': '" &amp;  "【"&amp; $V257 &amp;"】已使用此筆資料，不可刪除!!"  &amp; "' ,'en_US': '" &amp;  "Have used this information, it can not be deleted !!" &amp; "'  ,'zh_CN': '" &amp; "【"&amp; $V257 &amp;"】已使用此筆資料，不可刪除!!" &amp; "' }", CHAR(39),CHAR(34))   &amp; "');","")</f>
        <v/>
      </c>
    </row>
    <row r="258" spans="24:24">
      <c r="X258" s="13" t="str">
        <f>IF($E258="Y","INSERT INTO `sys_table_relation` (`TABLE_NAME`, `CHILD_TABLE_NAME`, `SQL_QUERY`, `ERROR_DESC` ,`ERROR_DESC_JSON`) VALUES ('" &amp;$C258 &amp; "', '" &amp; $U258 &amp; "', '" &amp; "select count(*) from "&amp; $U258 &amp;" where " &amp; IF(COUNTIF(#REF!,"IS_DESTROYED"),"IS_DESTROYED=0 and ","") &amp;#REF! &amp; "={pid}" &amp; "', " &amp; "'【"&amp; $V258 &amp;"】已使用此筆資料，故不可刪除!!'" &amp; ",'" &amp; SUBSTITUTE("{'zh_TW': '" &amp;  "【"&amp; $V258 &amp;"】已使用此筆資料，不可刪除!!"  &amp; "' ,'en_US': '" &amp;  "Have used this information, it can not be deleted !!" &amp; "'  ,'zh_CN': '" &amp; "【"&amp; $V258 &amp;"】已使用此筆資料，不可刪除!!" &amp; "' }", CHAR(39),CHAR(34))   &amp; "');","")</f>
        <v/>
      </c>
    </row>
    <row r="259" spans="24:24">
      <c r="X259" s="13" t="str">
        <f>IF($E259="Y","INSERT INTO `sys_table_relation` (`TABLE_NAME`, `CHILD_TABLE_NAME`, `SQL_QUERY`, `ERROR_DESC` ,`ERROR_DESC_JSON`) VALUES ('" &amp;$C259 &amp; "', '" &amp; $U259 &amp; "', '" &amp; "select count(*) from "&amp; $U259 &amp;" where " &amp; IF(COUNTIF(#REF!,"IS_DESTROYED"),"IS_DESTROYED=0 and ","") &amp;#REF! &amp; "={pid}" &amp; "', " &amp; "'【"&amp; $V259 &amp;"】已使用此筆資料，故不可刪除!!'" &amp; ",'" &amp; SUBSTITUTE("{'zh_TW': '" &amp;  "【"&amp; $V259 &amp;"】已使用此筆資料，不可刪除!!"  &amp; "' ,'en_US': '" &amp;  "Have used this information, it can not be deleted !!" &amp; "'  ,'zh_CN': '" &amp; "【"&amp; $V259 &amp;"】已使用此筆資料，不可刪除!!" &amp; "' }", CHAR(39),CHAR(34))   &amp; "');","")</f>
        <v/>
      </c>
    </row>
    <row r="260" spans="24:24">
      <c r="X260" s="13" t="str">
        <f>IF($E260="Y","INSERT INTO `sys_table_relation` (`TABLE_NAME`, `CHILD_TABLE_NAME`, `SQL_QUERY`, `ERROR_DESC` ,`ERROR_DESC_JSON`) VALUES ('" &amp;$C260 &amp; "', '" &amp; $U260 &amp; "', '" &amp; "select count(*) from "&amp; $U260 &amp;" where " &amp; IF(COUNTIF(#REF!,"IS_DESTROYED"),"IS_DESTROYED=0 and ","") &amp;#REF! &amp; "={pid}" &amp; "', " &amp; "'【"&amp; $V260 &amp;"】已使用此筆資料，故不可刪除!!'" &amp; ",'" &amp; SUBSTITUTE("{'zh_TW': '" &amp;  "【"&amp; $V260 &amp;"】已使用此筆資料，不可刪除!!"  &amp; "' ,'en_US': '" &amp;  "Have used this information, it can not be deleted !!" &amp; "'  ,'zh_CN': '" &amp; "【"&amp; $V260 &amp;"】已使用此筆資料，不可刪除!!" &amp; "' }", CHAR(39),CHAR(34))   &amp; "');","")</f>
        <v/>
      </c>
    </row>
    <row r="261" spans="24:24">
      <c r="X261" s="13" t="str">
        <f>IF($E261="Y","INSERT INTO `sys_table_relation` (`TABLE_NAME`, `CHILD_TABLE_NAME`, `SQL_QUERY`, `ERROR_DESC` ,`ERROR_DESC_JSON`) VALUES ('" &amp;$C261 &amp; "', '" &amp; $U261 &amp; "', '" &amp; "select count(*) from "&amp; $U261 &amp;" where " &amp; IF(COUNTIF(#REF!,"IS_DESTROYED"),"IS_DESTROYED=0 and ","") &amp;#REF! &amp; "={pid}" &amp; "', " &amp; "'【"&amp; $V261 &amp;"】已使用此筆資料，故不可刪除!!'" &amp; ",'" &amp; SUBSTITUTE("{'zh_TW': '" &amp;  "【"&amp; $V261 &amp;"】已使用此筆資料，不可刪除!!"  &amp; "' ,'en_US': '" &amp;  "Have used this information, it can not be deleted !!" &amp; "'  ,'zh_CN': '" &amp; "【"&amp; $V261 &amp;"】已使用此筆資料，不可刪除!!" &amp; "' }", CHAR(39),CHAR(34))   &amp; "');","")</f>
        <v/>
      </c>
    </row>
    <row r="262" spans="24:24">
      <c r="X262" s="13" t="str">
        <f>IF($E262="Y","INSERT INTO `sys_table_relation` (`TABLE_NAME`, `CHILD_TABLE_NAME`, `SQL_QUERY`, `ERROR_DESC` ,`ERROR_DESC_JSON`) VALUES ('" &amp;$C262 &amp; "', '" &amp; $U262 &amp; "', '" &amp; "select count(*) from "&amp; $U262 &amp;" where " &amp; IF(COUNTIF(#REF!,"IS_DESTROYED"),"IS_DESTROYED=0 and ","") &amp;#REF! &amp; "={pid}" &amp; "', " &amp; "'【"&amp; $V262 &amp;"】已使用此筆資料，故不可刪除!!'" &amp; ",'" &amp; SUBSTITUTE("{'zh_TW': '" &amp;  "【"&amp; $V262 &amp;"】已使用此筆資料，不可刪除!!"  &amp; "' ,'en_US': '" &amp;  "Have used this information, it can not be deleted !!" &amp; "'  ,'zh_CN': '" &amp; "【"&amp; $V262 &amp;"】已使用此筆資料，不可刪除!!" &amp; "' }", CHAR(39),CHAR(34))   &amp; "');","")</f>
        <v/>
      </c>
    </row>
    <row r="263" spans="24:24">
      <c r="X263" s="13" t="str">
        <f>IF($E263="Y","INSERT INTO `sys_table_relation` (`TABLE_NAME`, `CHILD_TABLE_NAME`, `SQL_QUERY`, `ERROR_DESC` ,`ERROR_DESC_JSON`) VALUES ('" &amp;$C263 &amp; "', '" &amp; $U263 &amp; "', '" &amp; "select count(*) from "&amp; $U263 &amp;" where " &amp; IF(COUNTIF(#REF!,"IS_DESTROYED"),"IS_DESTROYED=0 and ","") &amp;#REF! &amp; "={pid}" &amp; "', " &amp; "'【"&amp; $V263 &amp;"】已使用此筆資料，故不可刪除!!'" &amp; ",'" &amp; SUBSTITUTE("{'zh_TW': '" &amp;  "【"&amp; $V263 &amp;"】已使用此筆資料，不可刪除!!"  &amp; "' ,'en_US': '" &amp;  "Have used this information, it can not be deleted !!" &amp; "'  ,'zh_CN': '" &amp; "【"&amp; $V263 &amp;"】已使用此筆資料，不可刪除!!" &amp; "' }", CHAR(39),CHAR(34))   &amp; "');","")</f>
        <v/>
      </c>
    </row>
    <row r="264" spans="24:24">
      <c r="X264" s="13" t="str">
        <f>IF($E264="Y","INSERT INTO `sys_table_relation` (`TABLE_NAME`, `CHILD_TABLE_NAME`, `SQL_QUERY`, `ERROR_DESC` ,`ERROR_DESC_JSON`) VALUES ('" &amp;$C264 &amp; "', '" &amp; $U264 &amp; "', '" &amp; "select count(*) from "&amp; $U264 &amp;" where " &amp; IF(COUNTIF(#REF!,"IS_DESTROYED"),"IS_DESTROYED=0 and ","") &amp;#REF! &amp; "={pid}" &amp; "', " &amp; "'【"&amp; $V264 &amp;"】已使用此筆資料，故不可刪除!!'" &amp; ",'" &amp; SUBSTITUTE("{'zh_TW': '" &amp;  "【"&amp; $V264 &amp;"】已使用此筆資料，不可刪除!!"  &amp; "' ,'en_US': '" &amp;  "Have used this information, it can not be deleted !!" &amp; "'  ,'zh_CN': '" &amp; "【"&amp; $V264 &amp;"】已使用此筆資料，不可刪除!!" &amp; "' }", CHAR(39),CHAR(34))   &amp; "');","")</f>
        <v/>
      </c>
    </row>
    <row r="265" spans="24:24">
      <c r="X265" s="13" t="str">
        <f>IF($E265="Y","INSERT INTO `sys_table_relation` (`TABLE_NAME`, `CHILD_TABLE_NAME`, `SQL_QUERY`, `ERROR_DESC` ,`ERROR_DESC_JSON`) VALUES ('" &amp;$C265 &amp; "', '" &amp; $U265 &amp; "', '" &amp; "select count(*) from "&amp; $U265 &amp;" where " &amp; IF(COUNTIF(#REF!,"IS_DESTROYED"),"IS_DESTROYED=0 and ","") &amp;#REF! &amp; "={pid}" &amp; "', " &amp; "'【"&amp; $V265 &amp;"】已使用此筆資料，故不可刪除!!'" &amp; ",'" &amp; SUBSTITUTE("{'zh_TW': '" &amp;  "【"&amp; $V265 &amp;"】已使用此筆資料，不可刪除!!"  &amp; "' ,'en_US': '" &amp;  "Have used this information, it can not be deleted !!" &amp; "'  ,'zh_CN': '" &amp; "【"&amp; $V265 &amp;"】已使用此筆資料，不可刪除!!" &amp; "' }", CHAR(39),CHAR(34))   &amp; "');","")</f>
        <v/>
      </c>
    </row>
    <row r="266" spans="24:24">
      <c r="X266" s="13" t="str">
        <f>IF($E266="Y","INSERT INTO `sys_table_relation` (`TABLE_NAME`, `CHILD_TABLE_NAME`, `SQL_QUERY`, `ERROR_DESC` ,`ERROR_DESC_JSON`) VALUES ('" &amp;$C266 &amp; "', '" &amp; $U266 &amp; "', '" &amp; "select count(*) from "&amp; $U266 &amp;" where " &amp; IF(COUNTIF(#REF!,"IS_DESTROYED"),"IS_DESTROYED=0 and ","") &amp;#REF! &amp; "={pid}" &amp; "', " &amp; "'【"&amp; $V266 &amp;"】已使用此筆資料，故不可刪除!!'" &amp; ",'" &amp; SUBSTITUTE("{'zh_TW': '" &amp;  "【"&amp; $V266 &amp;"】已使用此筆資料，不可刪除!!"  &amp; "' ,'en_US': '" &amp;  "Have used this information, it can not be deleted !!" &amp; "'  ,'zh_CN': '" &amp; "【"&amp; $V266 &amp;"】已使用此筆資料，不可刪除!!" &amp; "' }", CHAR(39),CHAR(34))   &amp; "');","")</f>
        <v/>
      </c>
    </row>
    <row r="267" spans="24:24">
      <c r="X267" s="13" t="str">
        <f>IF($E267="Y","INSERT INTO `sys_table_relation` (`TABLE_NAME`, `CHILD_TABLE_NAME`, `SQL_QUERY`, `ERROR_DESC` ,`ERROR_DESC_JSON`) VALUES ('" &amp;$C267 &amp; "', '" &amp; $U267 &amp; "', '" &amp; "select count(*) from "&amp; $U267 &amp;" where " &amp; IF(COUNTIF(#REF!,"IS_DESTROYED"),"IS_DESTROYED=0 and ","") &amp;#REF! &amp; "={pid}" &amp; "', " &amp; "'【"&amp; $V267 &amp;"】已使用此筆資料，故不可刪除!!'" &amp; ",'" &amp; SUBSTITUTE("{'zh_TW': '" &amp;  "【"&amp; $V267 &amp;"】已使用此筆資料，不可刪除!!"  &amp; "' ,'en_US': '" &amp;  "Have used this information, it can not be deleted !!" &amp; "'  ,'zh_CN': '" &amp; "【"&amp; $V267 &amp;"】已使用此筆資料，不可刪除!!" &amp; "' }", CHAR(39),CHAR(34))   &amp; "');","")</f>
        <v/>
      </c>
    </row>
    <row r="268" spans="24:24">
      <c r="X268" s="13" t="str">
        <f>IF($E268="Y","INSERT INTO `sys_table_relation` (`TABLE_NAME`, `CHILD_TABLE_NAME`, `SQL_QUERY`, `ERROR_DESC` ,`ERROR_DESC_JSON`) VALUES ('" &amp;$C268 &amp; "', '" &amp; $U268 &amp; "', '" &amp; "select count(*) from "&amp; $U268 &amp;" where " &amp; IF(COUNTIF(#REF!,"IS_DESTROYED"),"IS_DESTROYED=0 and ","") &amp;#REF! &amp; "={pid}" &amp; "', " &amp; "'【"&amp; $V268 &amp;"】已使用此筆資料，故不可刪除!!'" &amp; ",'" &amp; SUBSTITUTE("{'zh_TW': '" &amp;  "【"&amp; $V268 &amp;"】已使用此筆資料，不可刪除!!"  &amp; "' ,'en_US': '" &amp;  "Have used this information, it can not be deleted !!" &amp; "'  ,'zh_CN': '" &amp; "【"&amp; $V268 &amp;"】已使用此筆資料，不可刪除!!" &amp; "' }", CHAR(39),CHAR(34))   &amp; "');","")</f>
        <v/>
      </c>
    </row>
    <row r="269" spans="24:24">
      <c r="X269" s="13" t="str">
        <f>IF($E269="Y","INSERT INTO `sys_table_relation` (`TABLE_NAME`, `CHILD_TABLE_NAME`, `SQL_QUERY`, `ERROR_DESC` ,`ERROR_DESC_JSON`) VALUES ('" &amp;$C269 &amp; "', '" &amp; $U269 &amp; "', '" &amp; "select count(*) from "&amp; $U269 &amp;" where " &amp; IF(COUNTIF(#REF!,"IS_DESTROYED"),"IS_DESTROYED=0 and ","") &amp;#REF! &amp; "={pid}" &amp; "', " &amp; "'【"&amp; $V269 &amp;"】已使用此筆資料，故不可刪除!!'" &amp; ",'" &amp; SUBSTITUTE("{'zh_TW': '" &amp;  "【"&amp; $V269 &amp;"】已使用此筆資料，不可刪除!!"  &amp; "' ,'en_US': '" &amp;  "Have used this information, it can not be deleted !!" &amp; "'  ,'zh_CN': '" &amp; "【"&amp; $V269 &amp;"】已使用此筆資料，不可刪除!!" &amp; "' }", CHAR(39),CHAR(34))   &amp; "');","")</f>
        <v/>
      </c>
    </row>
    <row r="270" spans="24:24">
      <c r="X270" s="13" t="str">
        <f>IF($E270="Y","INSERT INTO `sys_table_relation` (`TABLE_NAME`, `CHILD_TABLE_NAME`, `SQL_QUERY`, `ERROR_DESC` ,`ERROR_DESC_JSON`) VALUES ('" &amp;$C270 &amp; "', '" &amp; $U270 &amp; "', '" &amp; "select count(*) from "&amp; $U270 &amp;" where " &amp; IF(COUNTIF(#REF!,"IS_DESTROYED"),"IS_DESTROYED=0 and ","") &amp;#REF! &amp; "={pid}" &amp; "', " &amp; "'【"&amp; $V270 &amp;"】已使用此筆資料，故不可刪除!!'" &amp; ",'" &amp; SUBSTITUTE("{'zh_TW': '" &amp;  "【"&amp; $V270 &amp;"】已使用此筆資料，不可刪除!!"  &amp; "' ,'en_US': '" &amp;  "Have used this information, it can not be deleted !!" &amp; "'  ,'zh_CN': '" &amp; "【"&amp; $V270 &amp;"】已使用此筆資料，不可刪除!!" &amp; "' }", CHAR(39),CHAR(34))   &amp; "');","")</f>
        <v/>
      </c>
    </row>
    <row r="271" spans="24:24">
      <c r="X271" s="13" t="str">
        <f>IF($E271="Y","INSERT INTO `sys_table_relation` (`TABLE_NAME`, `CHILD_TABLE_NAME`, `SQL_QUERY`, `ERROR_DESC` ,`ERROR_DESC_JSON`) VALUES ('" &amp;$C271 &amp; "', '" &amp; $U271 &amp; "', '" &amp; "select count(*) from "&amp; $U271 &amp;" where " &amp; IF(COUNTIF(#REF!,"IS_DESTROYED"),"IS_DESTROYED=0 and ","") &amp;#REF! &amp; "={pid}" &amp; "', " &amp; "'【"&amp; $V271 &amp;"】已使用此筆資料，故不可刪除!!'" &amp; ",'" &amp; SUBSTITUTE("{'zh_TW': '" &amp;  "【"&amp; $V271 &amp;"】已使用此筆資料，不可刪除!!"  &amp; "' ,'en_US': '" &amp;  "Have used this information, it can not be deleted !!" &amp; "'  ,'zh_CN': '" &amp; "【"&amp; $V271 &amp;"】已使用此筆資料，不可刪除!!" &amp; "' }", CHAR(39),CHAR(34))   &amp; "');","")</f>
        <v/>
      </c>
    </row>
    <row r="272" spans="24:24">
      <c r="X272" s="13" t="str">
        <f>IF($E272="Y","INSERT INTO `sys_table_relation` (`TABLE_NAME`, `CHILD_TABLE_NAME`, `SQL_QUERY`, `ERROR_DESC` ,`ERROR_DESC_JSON`) VALUES ('" &amp;$C272 &amp; "', '" &amp; $U272 &amp; "', '" &amp; "select count(*) from "&amp; $U272 &amp;" where " &amp; IF(COUNTIF(#REF!,"IS_DESTROYED"),"IS_DESTROYED=0 and ","") &amp;#REF! &amp; "={pid}" &amp; "', " &amp; "'【"&amp; $V272 &amp;"】已使用此筆資料，故不可刪除!!'" &amp; ",'" &amp; SUBSTITUTE("{'zh_TW': '" &amp;  "【"&amp; $V272 &amp;"】已使用此筆資料，不可刪除!!"  &amp; "' ,'en_US': '" &amp;  "Have used this information, it can not be deleted !!" &amp; "'  ,'zh_CN': '" &amp; "【"&amp; $V272 &amp;"】已使用此筆資料，不可刪除!!" &amp; "' }", CHAR(39),CHAR(34))   &amp; "');","")</f>
        <v/>
      </c>
    </row>
    <row r="273" spans="24:24">
      <c r="X273" s="13" t="str">
        <f>IF($E273="Y","INSERT INTO `sys_table_relation` (`TABLE_NAME`, `CHILD_TABLE_NAME`, `SQL_QUERY`, `ERROR_DESC` ,`ERROR_DESC_JSON`) VALUES ('" &amp;$C273 &amp; "', '" &amp; $U273 &amp; "', '" &amp; "select count(*) from "&amp; $U273 &amp;" where " &amp; IF(COUNTIF(#REF!,"IS_DESTROYED"),"IS_DESTROYED=0 and ","") &amp;#REF! &amp; "={pid}" &amp; "', " &amp; "'【"&amp; $V273 &amp;"】已使用此筆資料，故不可刪除!!'" &amp; ",'" &amp; SUBSTITUTE("{'zh_TW': '" &amp;  "【"&amp; $V273 &amp;"】已使用此筆資料，不可刪除!!"  &amp; "' ,'en_US': '" &amp;  "Have used this information, it can not be deleted !!" &amp; "'  ,'zh_CN': '" &amp; "【"&amp; $V273 &amp;"】已使用此筆資料，不可刪除!!" &amp; "' }", CHAR(39),CHAR(34))   &amp; "');","")</f>
        <v/>
      </c>
    </row>
    <row r="274" spans="24:24">
      <c r="X274" s="13" t="str">
        <f>IF($E274="Y","INSERT INTO `sys_table_relation` (`TABLE_NAME`, `CHILD_TABLE_NAME`, `SQL_QUERY`, `ERROR_DESC` ,`ERROR_DESC_JSON`) VALUES ('" &amp;$C274 &amp; "', '" &amp; $U274 &amp; "', '" &amp; "select count(*) from "&amp; $U274 &amp;" where " &amp; IF(COUNTIF(#REF!,"IS_DESTROYED"),"IS_DESTROYED=0 and ","") &amp;#REF! &amp; "={pid}" &amp; "', " &amp; "'【"&amp; $V274 &amp;"】已使用此筆資料，故不可刪除!!'" &amp; ",'" &amp; SUBSTITUTE("{'zh_TW': '" &amp;  "【"&amp; $V274 &amp;"】已使用此筆資料，不可刪除!!"  &amp; "' ,'en_US': '" &amp;  "Have used this information, it can not be deleted !!" &amp; "'  ,'zh_CN': '" &amp; "【"&amp; $V274 &amp;"】已使用此筆資料，不可刪除!!" &amp; "' }", CHAR(39),CHAR(34))   &amp; "');","")</f>
        <v/>
      </c>
    </row>
    <row r="275" spans="24:24">
      <c r="X275" s="13" t="str">
        <f>IF($E275="Y","INSERT INTO `sys_table_relation` (`TABLE_NAME`, `CHILD_TABLE_NAME`, `SQL_QUERY`, `ERROR_DESC` ,`ERROR_DESC_JSON`) VALUES ('" &amp;$C275 &amp; "', '" &amp; $U275 &amp; "', '" &amp; "select count(*) from "&amp; $U275 &amp;" where " &amp; IF(COUNTIF(#REF!,"IS_DESTROYED"),"IS_DESTROYED=0 and ","") &amp;#REF! &amp; "={pid}" &amp; "', " &amp; "'【"&amp; $V275 &amp;"】已使用此筆資料，故不可刪除!!'" &amp; ",'" &amp; SUBSTITUTE("{'zh_TW': '" &amp;  "【"&amp; $V275 &amp;"】已使用此筆資料，不可刪除!!"  &amp; "' ,'en_US': '" &amp;  "Have used this information, it can not be deleted !!" &amp; "'  ,'zh_CN': '" &amp; "【"&amp; $V275 &amp;"】已使用此筆資料，不可刪除!!" &amp; "' }", CHAR(39),CHAR(34))   &amp; "');","")</f>
        <v/>
      </c>
    </row>
    <row r="276" spans="24:24">
      <c r="X276" s="13" t="str">
        <f>IF($E276="Y","INSERT INTO `sys_table_relation` (`TABLE_NAME`, `CHILD_TABLE_NAME`, `SQL_QUERY`, `ERROR_DESC` ,`ERROR_DESC_JSON`) VALUES ('" &amp;$C276 &amp; "', '" &amp; $U276 &amp; "', '" &amp; "select count(*) from "&amp; $U276 &amp;" where " &amp; IF(COUNTIF(#REF!,"IS_DESTROYED"),"IS_DESTROYED=0 and ","") &amp;#REF! &amp; "={pid}" &amp; "', " &amp; "'【"&amp; $V276 &amp;"】已使用此筆資料，故不可刪除!!'" &amp; ",'" &amp; SUBSTITUTE("{'zh_TW': '" &amp;  "【"&amp; $V276 &amp;"】已使用此筆資料，不可刪除!!"  &amp; "' ,'en_US': '" &amp;  "Have used this information, it can not be deleted !!" &amp; "'  ,'zh_CN': '" &amp; "【"&amp; $V276 &amp;"】已使用此筆資料，不可刪除!!" &amp; "' }", CHAR(39),CHAR(34))   &amp; "');","")</f>
        <v/>
      </c>
    </row>
    <row r="277" spans="24:24">
      <c r="X277" s="13" t="str">
        <f>IF($E277="Y","INSERT INTO `sys_table_relation` (`TABLE_NAME`, `CHILD_TABLE_NAME`, `SQL_QUERY`, `ERROR_DESC` ,`ERROR_DESC_JSON`) VALUES ('" &amp;$C277 &amp; "', '" &amp; $U277 &amp; "', '" &amp; "select count(*) from "&amp; $U277 &amp;" where " &amp; IF(COUNTIF(#REF!,"IS_DESTROYED"),"IS_DESTROYED=0 and ","") &amp;#REF! &amp; "={pid}" &amp; "', " &amp; "'【"&amp; $V277 &amp;"】已使用此筆資料，故不可刪除!!'" &amp; ",'" &amp; SUBSTITUTE("{'zh_TW': '" &amp;  "【"&amp; $V277 &amp;"】已使用此筆資料，不可刪除!!"  &amp; "' ,'en_US': '" &amp;  "Have used this information, it can not be deleted !!" &amp; "'  ,'zh_CN': '" &amp; "【"&amp; $V277 &amp;"】已使用此筆資料，不可刪除!!" &amp; "' }", CHAR(39),CHAR(34))   &amp; "');","")</f>
        <v/>
      </c>
    </row>
    <row r="278" spans="24:24">
      <c r="X278" s="13" t="str">
        <f>IF($E278="Y","INSERT INTO `sys_table_relation` (`TABLE_NAME`, `CHILD_TABLE_NAME`, `SQL_QUERY`, `ERROR_DESC` ,`ERROR_DESC_JSON`) VALUES ('" &amp;$C278 &amp; "', '" &amp; $U278 &amp; "', '" &amp; "select count(*) from "&amp; $U278 &amp;" where " &amp; IF(COUNTIF(#REF!,"IS_DESTROYED"),"IS_DESTROYED=0 and ","") &amp;#REF! &amp; "={pid}" &amp; "', " &amp; "'【"&amp; $V278 &amp;"】已使用此筆資料，故不可刪除!!'" &amp; ",'" &amp; SUBSTITUTE("{'zh_TW': '" &amp;  "【"&amp; $V278 &amp;"】已使用此筆資料，不可刪除!!"  &amp; "' ,'en_US': '" &amp;  "Have used this information, it can not be deleted !!" &amp; "'  ,'zh_CN': '" &amp; "【"&amp; $V278 &amp;"】已使用此筆資料，不可刪除!!" &amp; "' }", CHAR(39),CHAR(34))   &amp; "');","")</f>
        <v/>
      </c>
    </row>
    <row r="279" spans="24:24">
      <c r="X279" s="13" t="str">
        <f>IF($E279="Y","INSERT INTO `sys_table_relation` (`TABLE_NAME`, `CHILD_TABLE_NAME`, `SQL_QUERY`, `ERROR_DESC` ,`ERROR_DESC_JSON`) VALUES ('" &amp;$C279 &amp; "', '" &amp; $U279 &amp; "', '" &amp; "select count(*) from "&amp; $U279 &amp;" where " &amp; IF(COUNTIF(#REF!,"IS_DESTROYED"),"IS_DESTROYED=0 and ","") &amp;#REF! &amp; "={pid}" &amp; "', " &amp; "'【"&amp; $V279 &amp;"】已使用此筆資料，故不可刪除!!'" &amp; ",'" &amp; SUBSTITUTE("{'zh_TW': '" &amp;  "【"&amp; $V279 &amp;"】已使用此筆資料，不可刪除!!"  &amp; "' ,'en_US': '" &amp;  "Have used this information, it can not be deleted !!" &amp; "'  ,'zh_CN': '" &amp; "【"&amp; $V279 &amp;"】已使用此筆資料，不可刪除!!" &amp; "' }", CHAR(39),CHAR(34))   &amp; "');","")</f>
        <v/>
      </c>
    </row>
    <row r="280" spans="24:24">
      <c r="X280" s="13" t="str">
        <f>IF($E280="Y","INSERT INTO `sys_table_relation` (`TABLE_NAME`, `CHILD_TABLE_NAME`, `SQL_QUERY`, `ERROR_DESC` ,`ERROR_DESC_JSON`) VALUES ('" &amp;$C280 &amp; "', '" &amp; $U280 &amp; "', '" &amp; "select count(*) from "&amp; $U280 &amp;" where " &amp; IF(COUNTIF(#REF!,"IS_DESTROYED"),"IS_DESTROYED=0 and ","") &amp;#REF! &amp; "={pid}" &amp; "', " &amp; "'【"&amp; $V280 &amp;"】已使用此筆資料，故不可刪除!!'" &amp; ",'" &amp; SUBSTITUTE("{'zh_TW': '" &amp;  "【"&amp; $V280 &amp;"】已使用此筆資料，不可刪除!!"  &amp; "' ,'en_US': '" &amp;  "Have used this information, it can not be deleted !!" &amp; "'  ,'zh_CN': '" &amp; "【"&amp; $V280 &amp;"】已使用此筆資料，不可刪除!!" &amp; "' }", CHAR(39),CHAR(34))   &amp; "');","")</f>
        <v/>
      </c>
    </row>
    <row r="281" spans="24:24">
      <c r="X281" s="13" t="str">
        <f>IF($E281="Y","INSERT INTO `sys_table_relation` (`TABLE_NAME`, `CHILD_TABLE_NAME`, `SQL_QUERY`, `ERROR_DESC` ,`ERROR_DESC_JSON`) VALUES ('" &amp;$C281 &amp; "', '" &amp; $U281 &amp; "', '" &amp; "select count(*) from "&amp; $U281 &amp;" where " &amp; IF(COUNTIF(#REF!,"IS_DESTROYED"),"IS_DESTROYED=0 and ","") &amp;#REF! &amp; "={pid}" &amp; "', " &amp; "'【"&amp; $V281 &amp;"】已使用此筆資料，故不可刪除!!'" &amp; ",'" &amp; SUBSTITUTE("{'zh_TW': '" &amp;  "【"&amp; $V281 &amp;"】已使用此筆資料，不可刪除!!"  &amp; "' ,'en_US': '" &amp;  "Have used this information, it can not be deleted !!" &amp; "'  ,'zh_CN': '" &amp; "【"&amp; $V281 &amp;"】已使用此筆資料，不可刪除!!" &amp; "' }", CHAR(39),CHAR(34))   &amp; "');","")</f>
        <v/>
      </c>
    </row>
    <row r="282" spans="24:24">
      <c r="X282" s="13" t="str">
        <f>IF($E282="Y","INSERT INTO `sys_table_relation` (`TABLE_NAME`, `CHILD_TABLE_NAME`, `SQL_QUERY`, `ERROR_DESC` ,`ERROR_DESC_JSON`) VALUES ('" &amp;$C282 &amp; "', '" &amp; $U282 &amp; "', '" &amp; "select count(*) from "&amp; $U282 &amp;" where " &amp; IF(COUNTIF(#REF!,"IS_DESTROYED"),"IS_DESTROYED=0 and ","") &amp;#REF! &amp; "={pid}" &amp; "', " &amp; "'【"&amp; $V282 &amp;"】已使用此筆資料，故不可刪除!!'" &amp; ",'" &amp; SUBSTITUTE("{'zh_TW': '" &amp;  "【"&amp; $V282 &amp;"】已使用此筆資料，不可刪除!!"  &amp; "' ,'en_US': '" &amp;  "Have used this information, it can not be deleted !!" &amp; "'  ,'zh_CN': '" &amp; "【"&amp; $V282 &amp;"】已使用此筆資料，不可刪除!!" &amp; "' }", CHAR(39),CHAR(34))   &amp; "');","")</f>
        <v/>
      </c>
    </row>
  </sheetData>
  <phoneticPr fontId="5" type="noConversion"/>
  <pageMargins left="0.7" right="0.7" top="0.75" bottom="0.75" header="0.3" footer="0.3"/>
  <pageSetup paperSize="9" orientation="portrait" verticalDpi="0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D0CC488-A752-46A2-9799-8859AB0EDAB7}">
  <sheetPr codeName="工作表2"/>
  <dimension ref="A1:AE977"/>
  <sheetViews>
    <sheetView zoomScale="175" zoomScaleNormal="175" workbookViewId="0">
      <pane ySplit="1" topLeftCell="A92" activePane="bottomLeft" state="frozenSplit"/>
      <selection pane="bottomLeft" activeCell="E102" sqref="E102"/>
      <selection activeCell="C9" sqref="C9"/>
    </sheetView>
  </sheetViews>
  <sheetFormatPr defaultColWidth="11" defaultRowHeight="13.5"/>
  <cols>
    <col min="1" max="1" width="5.125" style="12" customWidth="1"/>
    <col min="2" max="2" width="8" style="12" bestFit="1" customWidth="1"/>
    <col min="3" max="3" width="9.625" style="12" customWidth="1"/>
    <col min="4" max="4" width="6.625" style="11" customWidth="1"/>
    <col min="5" max="5" width="5.5" style="11" customWidth="1"/>
    <col min="6" max="6" width="41" style="12" customWidth="1"/>
    <col min="7" max="7" width="37.125" style="12" customWidth="1"/>
    <col min="8" max="8" width="26.125" style="12" customWidth="1"/>
    <col min="9" max="9" width="13.5" style="11" bestFit="1" customWidth="1"/>
    <col min="10" max="16384" width="11" style="12"/>
  </cols>
  <sheetData>
    <row r="1" spans="1:31" s="10" customFormat="1">
      <c r="A1" s="42" t="s">
        <v>24</v>
      </c>
      <c r="B1" s="42" t="s">
        <v>25</v>
      </c>
      <c r="C1" s="42" t="s">
        <v>26</v>
      </c>
      <c r="D1" s="42" t="s">
        <v>27</v>
      </c>
      <c r="E1" s="42" t="s">
        <v>28</v>
      </c>
      <c r="F1" s="42" t="s">
        <v>29</v>
      </c>
      <c r="G1" s="42" t="s">
        <v>30</v>
      </c>
      <c r="H1" s="42" t="s">
        <v>31</v>
      </c>
      <c r="I1" s="42" t="s">
        <v>10</v>
      </c>
      <c r="AE1" s="10" t="str">
        <f t="shared" ref="AE1:AE6" si="0">IF($L1="Y","INSERT INTO `sys_table_relation` (`TABLE_NAME`, `CHILD_TABLE_NAME`, `SQL_QUERY`, `ERROR_DESC` ,`ERROR_DESC_JSON`) VALUES ('" &amp;$J1 &amp; "', '" &amp; $AB1 &amp; "', '" &amp; "select count(*) from "&amp; $AB1 &amp;" where " &amp; IF(COUNTIF(D:D,"IS_DESTROYED"),"IS_DESTROYED=0 and ","") &amp;   $D1 &amp; "={pid}" &amp; "', " &amp; "'【"&amp; $AC1 &amp;"】已使用此筆資料，故不可刪除!!'" &amp; ",'" &amp; SUBSTITUTE("{'zh_TW': '" &amp;  "【"&amp; $AC1 &amp;"】已使用此筆資料，不可刪除!!"  &amp; "' ,'en_US': '" &amp;  "Have used this information, it can not be deleted !!" &amp; "'  ,'zh_CN': '" &amp; "【"&amp; $AC1 &amp;"】已使用此筆資料，不可刪除!!" &amp; "' }", CHAR(39),CHAR(34))   &amp; "');","")</f>
        <v/>
      </c>
    </row>
    <row r="2" spans="1:31" s="11" customFormat="1" ht="15.75">
      <c r="A2" s="30">
        <f t="shared" ref="A2:A73" si="1">ROW()-1</f>
        <v>1</v>
      </c>
      <c r="B2" s="30" t="s">
        <v>32</v>
      </c>
      <c r="C2" s="30" t="s">
        <v>33</v>
      </c>
      <c r="D2" s="31">
        <v>200</v>
      </c>
      <c r="E2" s="32" t="str">
        <f t="shared" ref="E2:E8" si="2">HYPERLINK("#"&amp;D2&amp;"!A1","→")</f>
        <v>→</v>
      </c>
      <c r="F2" s="33" t="s">
        <v>34</v>
      </c>
      <c r="G2" s="34" t="s">
        <v>35</v>
      </c>
      <c r="H2" s="65"/>
      <c r="I2" s="44"/>
      <c r="AE2" s="11" t="str">
        <f t="shared" si="0"/>
        <v/>
      </c>
    </row>
    <row r="3" spans="1:31" s="11" customFormat="1" ht="15.75">
      <c r="A3" s="30">
        <f t="shared" si="1"/>
        <v>2</v>
      </c>
      <c r="B3" s="30" t="s">
        <v>32</v>
      </c>
      <c r="C3" s="30" t="s">
        <v>33</v>
      </c>
      <c r="D3" s="31">
        <v>210</v>
      </c>
      <c r="E3" s="32" t="str">
        <f t="shared" si="2"/>
        <v>→</v>
      </c>
      <c r="F3" s="33" t="s">
        <v>36</v>
      </c>
      <c r="G3" s="34" t="s">
        <v>37</v>
      </c>
      <c r="H3" s="65"/>
      <c r="I3" s="44"/>
      <c r="AE3" s="11" t="str">
        <f t="shared" si="0"/>
        <v/>
      </c>
    </row>
    <row r="4" spans="1:31" s="11" customFormat="1" ht="15.75">
      <c r="A4" s="30">
        <f t="shared" si="1"/>
        <v>3</v>
      </c>
      <c r="B4" s="30" t="s">
        <v>32</v>
      </c>
      <c r="C4" s="30" t="s">
        <v>33</v>
      </c>
      <c r="D4" s="31">
        <v>211</v>
      </c>
      <c r="E4" s="32" t="str">
        <f t="shared" si="2"/>
        <v>→</v>
      </c>
      <c r="F4" s="33" t="s">
        <v>38</v>
      </c>
      <c r="G4" s="34" t="s">
        <v>39</v>
      </c>
      <c r="H4" s="65"/>
      <c r="I4" s="44"/>
      <c r="AE4" s="11" t="str">
        <f t="shared" si="0"/>
        <v/>
      </c>
    </row>
    <row r="5" spans="1:31" s="55" customFormat="1" ht="15.75">
      <c r="A5" s="30">
        <f t="shared" si="1"/>
        <v>4</v>
      </c>
      <c r="B5" s="30" t="s">
        <v>32</v>
      </c>
      <c r="C5" s="30" t="s">
        <v>40</v>
      </c>
      <c r="D5" s="31">
        <v>310</v>
      </c>
      <c r="E5" s="32" t="str">
        <f t="shared" si="2"/>
        <v>→</v>
      </c>
      <c r="F5" s="33" t="s">
        <v>41</v>
      </c>
      <c r="G5" s="34" t="s">
        <v>42</v>
      </c>
      <c r="H5" s="34"/>
      <c r="I5" s="44"/>
      <c r="AE5" s="55" t="str">
        <f t="shared" si="0"/>
        <v/>
      </c>
    </row>
    <row r="6" spans="1:31" ht="15.75" customHeight="1">
      <c r="A6" s="30">
        <f t="shared" si="1"/>
        <v>5</v>
      </c>
      <c r="B6" s="30" t="s">
        <v>32</v>
      </c>
      <c r="C6" s="30" t="s">
        <v>40</v>
      </c>
      <c r="D6" s="31">
        <v>320</v>
      </c>
      <c r="E6" s="32" t="str">
        <f t="shared" si="2"/>
        <v>→</v>
      </c>
      <c r="F6" s="33" t="s">
        <v>43</v>
      </c>
      <c r="G6" s="34" t="s">
        <v>44</v>
      </c>
      <c r="H6" s="35"/>
      <c r="I6" s="44"/>
      <c r="AE6" s="12" t="str">
        <f t="shared" si="0"/>
        <v/>
      </c>
    </row>
    <row r="7" spans="1:31" ht="15.75" customHeight="1">
      <c r="A7" s="30">
        <f t="shared" si="1"/>
        <v>6</v>
      </c>
      <c r="B7" s="30" t="s">
        <v>32</v>
      </c>
      <c r="C7" s="30" t="s">
        <v>40</v>
      </c>
      <c r="D7" s="31">
        <v>321</v>
      </c>
      <c r="E7" s="32" t="str">
        <f>HYPERLINK("#"&amp;D7&amp;"!A1","→")</f>
        <v>→</v>
      </c>
      <c r="F7" s="33" t="s">
        <v>45</v>
      </c>
      <c r="G7" s="34" t="s">
        <v>46</v>
      </c>
      <c r="H7" s="35"/>
      <c r="I7" s="44"/>
    </row>
    <row r="8" spans="1:31" ht="15.75" customHeight="1">
      <c r="A8" s="30">
        <f t="shared" si="1"/>
        <v>7</v>
      </c>
      <c r="B8" s="30" t="s">
        <v>32</v>
      </c>
      <c r="C8" s="30" t="s">
        <v>40</v>
      </c>
      <c r="D8" s="31">
        <v>330</v>
      </c>
      <c r="E8" s="32" t="str">
        <f t="shared" si="2"/>
        <v>→</v>
      </c>
      <c r="F8" s="33" t="s">
        <v>47</v>
      </c>
      <c r="G8" s="34" t="s">
        <v>48</v>
      </c>
      <c r="H8" s="35"/>
      <c r="I8" s="44"/>
      <c r="AE8" s="12" t="str">
        <f t="shared" ref="AE8:AE39" si="3">IF($L8="Y","INSERT INTO `sys_table_relation` (`TABLE_NAME`, `CHILD_TABLE_NAME`, `SQL_QUERY`, `ERROR_DESC` ,`ERROR_DESC_JSON`) VALUES ('" &amp;$J8 &amp; "', '" &amp; $AB8 &amp; "', '" &amp; "select count(*) from "&amp; $AB8 &amp;" where " &amp; IF(COUNTIF(D:D,"IS_DESTROYED"),"IS_DESTROYED=0 and ","") &amp;   $D8 &amp; "={pid}" &amp; "', " &amp; "'【"&amp; $AC8 &amp;"】已使用此筆資料，故不可刪除!!'" &amp; ",'" &amp; SUBSTITUTE("{'zh_TW': '" &amp;  "【"&amp; $AC8 &amp;"】已使用此筆資料，不可刪除!!"  &amp; "' ,'en_US': '" &amp;  "Have used this information, it can not be deleted !!" &amp; "'  ,'zh_CN': '" &amp; "【"&amp; $AC8 &amp;"】已使用此筆資料，不可刪除!!" &amp; "' }", CHAR(39),CHAR(34))   &amp; "');","")</f>
        <v/>
      </c>
    </row>
    <row r="9" spans="1:31" ht="15.75">
      <c r="A9" s="30">
        <f t="shared" si="1"/>
        <v>8</v>
      </c>
      <c r="B9" s="30" t="s">
        <v>32</v>
      </c>
      <c r="C9" s="30" t="s">
        <v>49</v>
      </c>
      <c r="D9" s="31">
        <v>400</v>
      </c>
      <c r="E9" s="32" t="str">
        <f t="shared" ref="E9:E23" si="4">HYPERLINK("#"&amp;D9&amp;"!A1","→")</f>
        <v>→</v>
      </c>
      <c r="F9" s="33" t="s">
        <v>50</v>
      </c>
      <c r="G9" s="34" t="s">
        <v>51</v>
      </c>
      <c r="H9" s="35"/>
      <c r="I9" s="44"/>
      <c r="AE9" s="12" t="str">
        <f t="shared" si="3"/>
        <v/>
      </c>
    </row>
    <row r="10" spans="1:31" ht="15.75" customHeight="1">
      <c r="A10" s="30">
        <f t="shared" si="1"/>
        <v>9</v>
      </c>
      <c r="B10" s="30" t="s">
        <v>32</v>
      </c>
      <c r="C10" s="30" t="s">
        <v>49</v>
      </c>
      <c r="D10" s="31">
        <v>401</v>
      </c>
      <c r="E10" s="32" t="str">
        <f t="shared" si="4"/>
        <v>→</v>
      </c>
      <c r="F10" s="33" t="s">
        <v>52</v>
      </c>
      <c r="G10" s="34" t="s">
        <v>53</v>
      </c>
      <c r="H10" s="35"/>
      <c r="I10" s="44"/>
      <c r="AE10" s="12" t="str">
        <f t="shared" si="3"/>
        <v/>
      </c>
    </row>
    <row r="11" spans="1:31" ht="15.75" customHeight="1">
      <c r="A11" s="30">
        <f t="shared" si="1"/>
        <v>10</v>
      </c>
      <c r="B11" s="30" t="s">
        <v>32</v>
      </c>
      <c r="C11" s="30" t="s">
        <v>49</v>
      </c>
      <c r="D11" s="31">
        <v>402</v>
      </c>
      <c r="E11" s="32" t="str">
        <f t="shared" si="4"/>
        <v>→</v>
      </c>
      <c r="F11" s="33" t="s">
        <v>54</v>
      </c>
      <c r="G11" s="34" t="s">
        <v>55</v>
      </c>
      <c r="H11" s="35"/>
      <c r="I11" s="44"/>
      <c r="AE11" s="12" t="str">
        <f t="shared" si="3"/>
        <v/>
      </c>
    </row>
    <row r="12" spans="1:31" ht="15.75" customHeight="1">
      <c r="A12" s="30">
        <f t="shared" si="1"/>
        <v>11</v>
      </c>
      <c r="B12" s="30" t="s">
        <v>32</v>
      </c>
      <c r="C12" s="30" t="s">
        <v>49</v>
      </c>
      <c r="D12" s="31">
        <v>404</v>
      </c>
      <c r="E12" s="32" t="str">
        <f t="shared" si="4"/>
        <v>→</v>
      </c>
      <c r="F12" s="33" t="s">
        <v>56</v>
      </c>
      <c r="G12" s="34" t="s">
        <v>57</v>
      </c>
      <c r="H12" s="35"/>
      <c r="I12" s="44"/>
      <c r="AE12" s="12" t="str">
        <f t="shared" si="3"/>
        <v/>
      </c>
    </row>
    <row r="13" spans="1:31" ht="15.75">
      <c r="A13" s="30">
        <f t="shared" si="1"/>
        <v>12</v>
      </c>
      <c r="B13" s="30" t="s">
        <v>32</v>
      </c>
      <c r="C13" s="30" t="s">
        <v>49</v>
      </c>
      <c r="D13" s="31">
        <v>405</v>
      </c>
      <c r="E13" s="32" t="str">
        <f t="shared" si="4"/>
        <v>→</v>
      </c>
      <c r="F13" s="33" t="s">
        <v>58</v>
      </c>
      <c r="G13" s="34" t="s">
        <v>59</v>
      </c>
      <c r="H13" s="35"/>
      <c r="I13" s="44"/>
      <c r="AE13" s="12" t="str">
        <f t="shared" si="3"/>
        <v/>
      </c>
    </row>
    <row r="14" spans="1:31" ht="15.75" customHeight="1">
      <c r="A14" s="30">
        <f t="shared" si="1"/>
        <v>13</v>
      </c>
      <c r="B14" s="30" t="s">
        <v>32</v>
      </c>
      <c r="C14" s="30" t="s">
        <v>49</v>
      </c>
      <c r="D14" s="31">
        <v>406</v>
      </c>
      <c r="E14" s="32" t="str">
        <f t="shared" si="4"/>
        <v>→</v>
      </c>
      <c r="F14" s="33" t="s">
        <v>60</v>
      </c>
      <c r="G14" s="34" t="s">
        <v>61</v>
      </c>
      <c r="H14" s="35"/>
      <c r="I14" s="44"/>
      <c r="AE14" s="12" t="str">
        <f t="shared" si="3"/>
        <v/>
      </c>
    </row>
    <row r="15" spans="1:31" ht="15.75" customHeight="1">
      <c r="A15" s="30">
        <f t="shared" si="1"/>
        <v>14</v>
      </c>
      <c r="B15" s="30" t="s">
        <v>32</v>
      </c>
      <c r="C15" s="30" t="s">
        <v>49</v>
      </c>
      <c r="D15" s="31">
        <v>407</v>
      </c>
      <c r="E15" s="32" t="str">
        <f t="shared" si="4"/>
        <v>→</v>
      </c>
      <c r="F15" s="33" t="s">
        <v>62</v>
      </c>
      <c r="G15" s="34" t="s">
        <v>63</v>
      </c>
      <c r="H15" s="35"/>
      <c r="I15" s="44"/>
      <c r="AE15" s="12" t="str">
        <f t="shared" si="3"/>
        <v/>
      </c>
    </row>
    <row r="16" spans="1:31" ht="15.75" customHeight="1">
      <c r="A16" s="30">
        <f t="shared" si="1"/>
        <v>15</v>
      </c>
      <c r="B16" s="30" t="s">
        <v>32</v>
      </c>
      <c r="C16" s="30" t="s">
        <v>49</v>
      </c>
      <c r="D16" s="31">
        <v>408</v>
      </c>
      <c r="E16" s="32" t="str">
        <f t="shared" si="4"/>
        <v>→</v>
      </c>
      <c r="F16" s="33" t="s">
        <v>64</v>
      </c>
      <c r="G16" s="34" t="s">
        <v>65</v>
      </c>
      <c r="H16" s="35"/>
      <c r="I16" s="44"/>
      <c r="AE16" s="12" t="str">
        <f t="shared" si="3"/>
        <v/>
      </c>
    </row>
    <row r="17" spans="1:31" ht="15.75">
      <c r="A17" s="30">
        <f t="shared" si="1"/>
        <v>16</v>
      </c>
      <c r="B17" s="30" t="s">
        <v>32</v>
      </c>
      <c r="C17" s="30" t="s">
        <v>49</v>
      </c>
      <c r="D17" s="31">
        <v>409</v>
      </c>
      <c r="E17" s="32" t="str">
        <f t="shared" si="4"/>
        <v>→</v>
      </c>
      <c r="F17" s="33" t="s">
        <v>66</v>
      </c>
      <c r="G17" s="34" t="s">
        <v>67</v>
      </c>
      <c r="H17" s="35"/>
      <c r="I17" s="44"/>
      <c r="AE17" s="12" t="str">
        <f t="shared" si="3"/>
        <v/>
      </c>
    </row>
    <row r="18" spans="1:31" ht="15.75">
      <c r="A18" s="30">
        <f t="shared" si="1"/>
        <v>17</v>
      </c>
      <c r="B18" s="30" t="s">
        <v>32</v>
      </c>
      <c r="C18" s="30" t="s">
        <v>49</v>
      </c>
      <c r="D18" s="31">
        <v>410</v>
      </c>
      <c r="E18" s="32" t="str">
        <f t="shared" si="4"/>
        <v>→</v>
      </c>
      <c r="F18" s="33" t="s">
        <v>68</v>
      </c>
      <c r="G18" s="34" t="s">
        <v>69</v>
      </c>
      <c r="H18" s="35"/>
      <c r="I18" s="44"/>
      <c r="AE18" s="12" t="str">
        <f t="shared" si="3"/>
        <v/>
      </c>
    </row>
    <row r="19" spans="1:31" ht="15.75">
      <c r="A19" s="30">
        <f t="shared" si="1"/>
        <v>18</v>
      </c>
      <c r="B19" s="30" t="s">
        <v>32</v>
      </c>
      <c r="C19" s="30" t="s">
        <v>49</v>
      </c>
      <c r="D19" s="31">
        <v>411</v>
      </c>
      <c r="E19" s="32" t="str">
        <f t="shared" si="4"/>
        <v>→</v>
      </c>
      <c r="F19" s="33" t="s">
        <v>70</v>
      </c>
      <c r="G19" s="34" t="s">
        <v>71</v>
      </c>
      <c r="H19" s="35"/>
      <c r="I19" s="44"/>
      <c r="AE19" s="12" t="str">
        <f t="shared" si="3"/>
        <v/>
      </c>
    </row>
    <row r="20" spans="1:31" ht="15.75">
      <c r="A20" s="30">
        <f t="shared" si="1"/>
        <v>19</v>
      </c>
      <c r="B20" s="30" t="s">
        <v>32</v>
      </c>
      <c r="C20" s="30" t="s">
        <v>49</v>
      </c>
      <c r="D20" s="31">
        <v>412</v>
      </c>
      <c r="E20" s="32" t="str">
        <f t="shared" si="4"/>
        <v>→</v>
      </c>
      <c r="F20" s="38" t="s">
        <v>72</v>
      </c>
      <c r="G20" s="38" t="s">
        <v>73</v>
      </c>
      <c r="H20" s="35"/>
      <c r="I20" s="44"/>
      <c r="AE20" s="12" t="str">
        <f t="shared" si="3"/>
        <v/>
      </c>
    </row>
    <row r="21" spans="1:31" ht="15.75">
      <c r="A21" s="30">
        <f t="shared" si="1"/>
        <v>20</v>
      </c>
      <c r="B21" s="30" t="s">
        <v>32</v>
      </c>
      <c r="C21" s="30" t="s">
        <v>49</v>
      </c>
      <c r="D21" s="31">
        <v>413</v>
      </c>
      <c r="E21" s="32" t="str">
        <f t="shared" si="4"/>
        <v>→</v>
      </c>
      <c r="F21" s="38" t="s">
        <v>74</v>
      </c>
      <c r="G21" s="38" t="s">
        <v>75</v>
      </c>
      <c r="H21" s="35"/>
      <c r="I21" s="44"/>
      <c r="AE21" s="12" t="str">
        <f t="shared" si="3"/>
        <v/>
      </c>
    </row>
    <row r="22" spans="1:31" ht="15.75">
      <c r="A22" s="30">
        <f t="shared" si="1"/>
        <v>21</v>
      </c>
      <c r="B22" s="30" t="s">
        <v>32</v>
      </c>
      <c r="C22" s="30" t="s">
        <v>49</v>
      </c>
      <c r="D22" s="31">
        <v>414</v>
      </c>
      <c r="E22" s="32" t="str">
        <f t="shared" si="4"/>
        <v>→</v>
      </c>
      <c r="F22" s="36" t="s">
        <v>76</v>
      </c>
      <c r="G22" s="38" t="s">
        <v>77</v>
      </c>
      <c r="H22" s="35"/>
      <c r="I22" s="44"/>
      <c r="AE22" s="12" t="str">
        <f t="shared" si="3"/>
        <v/>
      </c>
    </row>
    <row r="23" spans="1:31" ht="15.75">
      <c r="A23" s="30">
        <f t="shared" si="1"/>
        <v>22</v>
      </c>
      <c r="B23" s="30" t="s">
        <v>32</v>
      </c>
      <c r="C23" s="30" t="s">
        <v>49</v>
      </c>
      <c r="D23" s="31">
        <v>415</v>
      </c>
      <c r="E23" s="32" t="str">
        <f t="shared" si="4"/>
        <v>→</v>
      </c>
      <c r="F23" s="36" t="s">
        <v>78</v>
      </c>
      <c r="G23" s="38" t="s">
        <v>79</v>
      </c>
      <c r="H23" s="35"/>
      <c r="I23" s="44"/>
      <c r="AE23" s="12" t="str">
        <f t="shared" si="3"/>
        <v/>
      </c>
    </row>
    <row r="24" spans="1:31" ht="15.75">
      <c r="A24" s="30">
        <f t="shared" si="1"/>
        <v>23</v>
      </c>
      <c r="B24" s="30" t="s">
        <v>32</v>
      </c>
      <c r="C24" s="30" t="s">
        <v>49</v>
      </c>
      <c r="D24" s="31">
        <v>416</v>
      </c>
      <c r="E24" s="32" t="str">
        <f t="shared" ref="E24:E39" si="5">HYPERLINK("#"&amp;D24&amp;"!A1","→")</f>
        <v>→</v>
      </c>
      <c r="F24" s="36" t="s">
        <v>80</v>
      </c>
      <c r="G24" s="38" t="s">
        <v>81</v>
      </c>
      <c r="H24" s="35"/>
      <c r="I24" s="44"/>
      <c r="AE24" s="12" t="str">
        <f t="shared" si="3"/>
        <v/>
      </c>
    </row>
    <row r="25" spans="1:31" ht="15.75">
      <c r="A25" s="30">
        <f t="shared" si="1"/>
        <v>24</v>
      </c>
      <c r="B25" s="30" t="s">
        <v>32</v>
      </c>
      <c r="C25" s="30" t="s">
        <v>49</v>
      </c>
      <c r="D25" s="31">
        <v>418</v>
      </c>
      <c r="E25" s="32" t="str">
        <f t="shared" si="5"/>
        <v>→</v>
      </c>
      <c r="F25" s="36" t="s">
        <v>82</v>
      </c>
      <c r="G25" s="38" t="s">
        <v>83</v>
      </c>
      <c r="H25" s="35"/>
      <c r="I25" s="44"/>
      <c r="AE25" s="12" t="str">
        <f t="shared" si="3"/>
        <v/>
      </c>
    </row>
    <row r="26" spans="1:31" ht="15.75">
      <c r="A26" s="30">
        <f t="shared" si="1"/>
        <v>25</v>
      </c>
      <c r="B26" s="30" t="s">
        <v>32</v>
      </c>
      <c r="C26" s="30" t="s">
        <v>49</v>
      </c>
      <c r="D26" s="31">
        <v>430</v>
      </c>
      <c r="E26" s="32" t="str">
        <f t="shared" si="5"/>
        <v>→</v>
      </c>
      <c r="F26" s="33" t="s">
        <v>84</v>
      </c>
      <c r="G26" s="34" t="s">
        <v>85</v>
      </c>
      <c r="H26" s="35"/>
      <c r="I26" s="44"/>
      <c r="AE26" s="12" t="str">
        <f t="shared" si="3"/>
        <v/>
      </c>
    </row>
    <row r="27" spans="1:31" ht="15.75">
      <c r="A27" s="30">
        <f t="shared" si="1"/>
        <v>26</v>
      </c>
      <c r="B27" s="30" t="s">
        <v>32</v>
      </c>
      <c r="C27" s="30" t="s">
        <v>49</v>
      </c>
      <c r="D27" s="31">
        <v>431</v>
      </c>
      <c r="E27" s="32" t="str">
        <f t="shared" si="5"/>
        <v>→</v>
      </c>
      <c r="F27" s="33" t="s">
        <v>86</v>
      </c>
      <c r="G27" s="34" t="s">
        <v>87</v>
      </c>
      <c r="H27" s="35"/>
      <c r="I27" s="44"/>
      <c r="AE27" s="12" t="str">
        <f t="shared" si="3"/>
        <v/>
      </c>
    </row>
    <row r="28" spans="1:31" ht="15.75">
      <c r="A28" s="30">
        <f t="shared" si="1"/>
        <v>27</v>
      </c>
      <c r="B28" s="30" t="s">
        <v>32</v>
      </c>
      <c r="C28" s="30" t="s">
        <v>49</v>
      </c>
      <c r="D28" s="31">
        <v>432</v>
      </c>
      <c r="E28" s="32" t="str">
        <f t="shared" si="5"/>
        <v>→</v>
      </c>
      <c r="F28" s="33" t="s">
        <v>88</v>
      </c>
      <c r="G28" s="34" t="s">
        <v>89</v>
      </c>
      <c r="H28" s="35"/>
      <c r="I28" s="44"/>
      <c r="AE28" s="12" t="str">
        <f t="shared" si="3"/>
        <v/>
      </c>
    </row>
    <row r="29" spans="1:31" s="118" customFormat="1" ht="15.75">
      <c r="A29" s="30">
        <f t="shared" si="1"/>
        <v>28</v>
      </c>
      <c r="B29" s="30" t="s">
        <v>32</v>
      </c>
      <c r="C29" s="30" t="s">
        <v>49</v>
      </c>
      <c r="D29" s="31">
        <v>440</v>
      </c>
      <c r="E29" s="32" t="str">
        <f t="shared" si="5"/>
        <v>→</v>
      </c>
      <c r="F29" s="34" t="s">
        <v>90</v>
      </c>
      <c r="G29" s="34" t="s">
        <v>91</v>
      </c>
      <c r="H29" s="35"/>
      <c r="I29" s="44"/>
      <c r="AE29" s="118" t="str">
        <f t="shared" si="3"/>
        <v/>
      </c>
    </row>
    <row r="30" spans="1:31" s="118" customFormat="1" ht="15.75">
      <c r="A30" s="30">
        <f t="shared" si="1"/>
        <v>29</v>
      </c>
      <c r="B30" s="30" t="s">
        <v>32</v>
      </c>
      <c r="C30" s="30" t="s">
        <v>49</v>
      </c>
      <c r="D30" s="31">
        <v>441</v>
      </c>
      <c r="E30" s="32" t="str">
        <f t="shared" si="5"/>
        <v>→</v>
      </c>
      <c r="F30" s="34" t="s">
        <v>92</v>
      </c>
      <c r="G30" s="34" t="s">
        <v>93</v>
      </c>
      <c r="H30" s="35"/>
      <c r="I30" s="44"/>
      <c r="AE30" s="118" t="str">
        <f t="shared" si="3"/>
        <v/>
      </c>
    </row>
    <row r="31" spans="1:31" s="118" customFormat="1" ht="15.75">
      <c r="A31" s="30">
        <f t="shared" si="1"/>
        <v>30</v>
      </c>
      <c r="B31" s="30" t="s">
        <v>32</v>
      </c>
      <c r="C31" s="30" t="s">
        <v>49</v>
      </c>
      <c r="D31" s="31">
        <v>442</v>
      </c>
      <c r="E31" s="32" t="str">
        <f t="shared" si="5"/>
        <v>→</v>
      </c>
      <c r="F31" s="34" t="s">
        <v>94</v>
      </c>
      <c r="G31" s="34" t="s">
        <v>95</v>
      </c>
      <c r="H31" s="35"/>
      <c r="I31" s="44"/>
      <c r="AE31" s="118" t="str">
        <f t="shared" si="3"/>
        <v/>
      </c>
    </row>
    <row r="32" spans="1:31" ht="15.75">
      <c r="A32" s="30">
        <f t="shared" si="1"/>
        <v>31</v>
      </c>
      <c r="B32" s="30" t="s">
        <v>32</v>
      </c>
      <c r="C32" s="30" t="s">
        <v>49</v>
      </c>
      <c r="D32" s="31">
        <v>450</v>
      </c>
      <c r="E32" s="32" t="str">
        <f t="shared" si="5"/>
        <v>→</v>
      </c>
      <c r="F32" s="34" t="s">
        <v>96</v>
      </c>
      <c r="G32" s="34" t="s">
        <v>97</v>
      </c>
      <c r="H32" s="35"/>
      <c r="I32" s="44"/>
      <c r="AE32" s="12" t="str">
        <f t="shared" si="3"/>
        <v/>
      </c>
    </row>
    <row r="33" spans="1:31" ht="15.75">
      <c r="A33" s="30">
        <v>37</v>
      </c>
      <c r="B33" s="30" t="s">
        <v>32</v>
      </c>
      <c r="C33" s="30" t="s">
        <v>49</v>
      </c>
      <c r="D33" s="31">
        <v>460</v>
      </c>
      <c r="E33" s="32" t="str">
        <f t="shared" si="5"/>
        <v>→</v>
      </c>
      <c r="F33" s="180" t="s">
        <v>98</v>
      </c>
      <c r="G33" s="34" t="s">
        <v>99</v>
      </c>
      <c r="H33" s="35"/>
      <c r="I33" s="44"/>
      <c r="AE33" s="12" t="str">
        <f t="shared" si="3"/>
        <v/>
      </c>
    </row>
    <row r="34" spans="1:31" ht="15.75">
      <c r="A34" s="30">
        <f t="shared" si="1"/>
        <v>33</v>
      </c>
      <c r="B34" s="30" t="s">
        <v>32</v>
      </c>
      <c r="C34" s="30" t="s">
        <v>100</v>
      </c>
      <c r="D34" s="31">
        <v>500</v>
      </c>
      <c r="E34" s="32" t="str">
        <f t="shared" si="5"/>
        <v>→</v>
      </c>
      <c r="F34" s="33" t="s">
        <v>101</v>
      </c>
      <c r="G34" s="34" t="s">
        <v>102</v>
      </c>
      <c r="H34" s="35"/>
      <c r="I34" s="44"/>
      <c r="AE34" s="12" t="str">
        <f t="shared" si="3"/>
        <v/>
      </c>
    </row>
    <row r="35" spans="1:31" s="11" customFormat="1" ht="15.75">
      <c r="A35" s="30">
        <f t="shared" si="1"/>
        <v>34</v>
      </c>
      <c r="B35" s="30" t="s">
        <v>32</v>
      </c>
      <c r="C35" s="30" t="s">
        <v>100</v>
      </c>
      <c r="D35" s="31">
        <v>501</v>
      </c>
      <c r="E35" s="32" t="str">
        <f t="shared" si="5"/>
        <v>→</v>
      </c>
      <c r="F35" s="33" t="s">
        <v>103</v>
      </c>
      <c r="G35" s="34" t="s">
        <v>104</v>
      </c>
      <c r="H35" s="35"/>
      <c r="I35" s="44"/>
      <c r="AE35" s="11" t="str">
        <f t="shared" si="3"/>
        <v/>
      </c>
    </row>
    <row r="36" spans="1:31" s="11" customFormat="1" ht="15.75">
      <c r="A36" s="30">
        <f t="shared" si="1"/>
        <v>35</v>
      </c>
      <c r="B36" s="30" t="s">
        <v>32</v>
      </c>
      <c r="C36" s="30" t="s">
        <v>100</v>
      </c>
      <c r="D36" s="31">
        <v>502</v>
      </c>
      <c r="E36" s="32" t="str">
        <f t="shared" si="5"/>
        <v>→</v>
      </c>
      <c r="F36" s="33" t="s">
        <v>105</v>
      </c>
      <c r="G36" s="34" t="s">
        <v>106</v>
      </c>
      <c r="H36" s="36"/>
      <c r="I36" s="44"/>
      <c r="AE36" s="11" t="str">
        <f t="shared" si="3"/>
        <v/>
      </c>
    </row>
    <row r="37" spans="1:31" s="11" customFormat="1" ht="15.75">
      <c r="A37" s="30">
        <f t="shared" si="1"/>
        <v>36</v>
      </c>
      <c r="B37" s="30" t="s">
        <v>32</v>
      </c>
      <c r="C37" s="30" t="s">
        <v>100</v>
      </c>
      <c r="D37" s="31">
        <v>503</v>
      </c>
      <c r="E37" s="32" t="str">
        <f t="shared" si="5"/>
        <v>→</v>
      </c>
      <c r="F37" s="33" t="s">
        <v>107</v>
      </c>
      <c r="G37" s="34" t="s">
        <v>108</v>
      </c>
      <c r="H37" s="35"/>
      <c r="I37" s="44"/>
      <c r="AE37" s="11" t="str">
        <f t="shared" si="3"/>
        <v/>
      </c>
    </row>
    <row r="38" spans="1:31" s="11" customFormat="1" ht="15.75">
      <c r="A38" s="30">
        <f t="shared" si="1"/>
        <v>37</v>
      </c>
      <c r="B38" s="30" t="s">
        <v>32</v>
      </c>
      <c r="C38" s="30" t="s">
        <v>100</v>
      </c>
      <c r="D38" s="31">
        <v>504</v>
      </c>
      <c r="E38" s="32" t="str">
        <f t="shared" si="5"/>
        <v>→</v>
      </c>
      <c r="F38" s="33" t="s">
        <v>109</v>
      </c>
      <c r="G38" s="34" t="s">
        <v>110</v>
      </c>
      <c r="H38" s="35"/>
      <c r="I38" s="44"/>
      <c r="AE38" s="11" t="str">
        <f t="shared" si="3"/>
        <v/>
      </c>
    </row>
    <row r="39" spans="1:31" s="11" customFormat="1" ht="15.75">
      <c r="A39" s="30">
        <f t="shared" si="1"/>
        <v>38</v>
      </c>
      <c r="B39" s="30" t="s">
        <v>32</v>
      </c>
      <c r="C39" s="30" t="s">
        <v>100</v>
      </c>
      <c r="D39" s="31">
        <v>505</v>
      </c>
      <c r="E39" s="32" t="str">
        <f t="shared" si="5"/>
        <v>→</v>
      </c>
      <c r="F39" s="33" t="s">
        <v>111</v>
      </c>
      <c r="G39" s="34" t="s">
        <v>112</v>
      </c>
      <c r="H39" s="35"/>
      <c r="I39" s="44"/>
      <c r="AE39" s="11" t="str">
        <f t="shared" si="3"/>
        <v/>
      </c>
    </row>
    <row r="40" spans="1:31" s="11" customFormat="1" ht="15.75">
      <c r="A40" s="30">
        <f t="shared" si="1"/>
        <v>39</v>
      </c>
      <c r="B40" s="30" t="s">
        <v>32</v>
      </c>
      <c r="C40" s="30" t="s">
        <v>100</v>
      </c>
      <c r="D40" s="31">
        <v>510</v>
      </c>
      <c r="E40" s="32" t="str">
        <f t="shared" ref="E40:E51" si="6">HYPERLINK("#"&amp;D40&amp;"!A1","→")</f>
        <v>→</v>
      </c>
      <c r="F40" s="33" t="s">
        <v>113</v>
      </c>
      <c r="G40" s="34" t="s">
        <v>114</v>
      </c>
      <c r="H40" s="35"/>
      <c r="I40" s="44"/>
      <c r="AE40" s="11" t="str">
        <f t="shared" ref="AE40:AE67" si="7">IF($L40="Y","INSERT INTO `sys_table_relation` (`TABLE_NAME`, `CHILD_TABLE_NAME`, `SQL_QUERY`, `ERROR_DESC` ,`ERROR_DESC_JSON`) VALUES ('" &amp;$J40 &amp; "', '" &amp; $AB40 &amp; "', '" &amp; "select count(*) from "&amp; $AB40 &amp;" where " &amp; IF(COUNTIF(D:D,"IS_DESTROYED"),"IS_DESTROYED=0 and ","") &amp;   $D40 &amp; "={pid}" &amp; "', " &amp; "'【"&amp; $AC40 &amp;"】已使用此筆資料，故不可刪除!!'" &amp; ",'" &amp; SUBSTITUTE("{'zh_TW': '" &amp;  "【"&amp; $AC40 &amp;"】已使用此筆資料，不可刪除!!"  &amp; "' ,'en_US': '" &amp;  "Have used this information, it can not be deleted !!" &amp; "'  ,'zh_CN': '" &amp; "【"&amp; $AC40 &amp;"】已使用此筆資料，不可刪除!!" &amp; "' }", CHAR(39),CHAR(34))   &amp; "');","")</f>
        <v/>
      </c>
    </row>
    <row r="41" spans="1:31" ht="15.75">
      <c r="A41" s="30">
        <f t="shared" si="1"/>
        <v>40</v>
      </c>
      <c r="B41" s="30" t="s">
        <v>32</v>
      </c>
      <c r="C41" s="30" t="s">
        <v>100</v>
      </c>
      <c r="D41" s="31">
        <v>520</v>
      </c>
      <c r="E41" s="32" t="str">
        <f t="shared" si="6"/>
        <v>→</v>
      </c>
      <c r="F41" s="39" t="s">
        <v>115</v>
      </c>
      <c r="G41" s="38" t="s">
        <v>116</v>
      </c>
      <c r="H41" s="35"/>
      <c r="I41" s="44"/>
      <c r="AE41" s="12" t="str">
        <f t="shared" si="7"/>
        <v/>
      </c>
    </row>
    <row r="42" spans="1:31" ht="15.75" customHeight="1">
      <c r="A42" s="30">
        <f t="shared" si="1"/>
        <v>41</v>
      </c>
      <c r="B42" s="30" t="s">
        <v>32</v>
      </c>
      <c r="C42" s="30" t="s">
        <v>100</v>
      </c>
      <c r="D42" s="31">
        <v>521</v>
      </c>
      <c r="E42" s="32" t="str">
        <f t="shared" si="6"/>
        <v>→</v>
      </c>
      <c r="F42" s="39" t="s">
        <v>117</v>
      </c>
      <c r="G42" s="38" t="s">
        <v>118</v>
      </c>
      <c r="H42" s="35"/>
      <c r="I42" s="44"/>
      <c r="AE42" s="12" t="str">
        <f t="shared" si="7"/>
        <v/>
      </c>
    </row>
    <row r="43" spans="1:31" ht="15.75">
      <c r="A43" s="30">
        <f t="shared" si="1"/>
        <v>42</v>
      </c>
      <c r="B43" s="30" t="s">
        <v>32</v>
      </c>
      <c r="C43" s="30" t="s">
        <v>100</v>
      </c>
      <c r="D43" s="31">
        <v>522</v>
      </c>
      <c r="E43" s="32" t="str">
        <f t="shared" si="6"/>
        <v>→</v>
      </c>
      <c r="F43" s="39" t="s">
        <v>119</v>
      </c>
      <c r="G43" s="38" t="s">
        <v>120</v>
      </c>
      <c r="H43" s="35"/>
      <c r="I43" s="44"/>
      <c r="AE43" s="12" t="str">
        <f t="shared" si="7"/>
        <v/>
      </c>
    </row>
    <row r="44" spans="1:31" ht="15.75">
      <c r="A44" s="30">
        <f t="shared" si="1"/>
        <v>43</v>
      </c>
      <c r="B44" s="30" t="s">
        <v>32</v>
      </c>
      <c r="C44" s="30" t="s">
        <v>100</v>
      </c>
      <c r="D44" s="31">
        <v>530</v>
      </c>
      <c r="E44" s="32" t="str">
        <f t="shared" si="6"/>
        <v>→</v>
      </c>
      <c r="F44" s="39" t="s">
        <v>121</v>
      </c>
      <c r="G44" s="38" t="s">
        <v>122</v>
      </c>
      <c r="H44" s="35"/>
      <c r="I44" s="44"/>
      <c r="AE44" s="12" t="str">
        <f t="shared" si="7"/>
        <v/>
      </c>
    </row>
    <row r="45" spans="1:31" ht="15.75">
      <c r="A45" s="30">
        <f t="shared" si="1"/>
        <v>44</v>
      </c>
      <c r="B45" s="30" t="s">
        <v>32</v>
      </c>
      <c r="C45" s="30" t="s">
        <v>100</v>
      </c>
      <c r="D45" s="31">
        <v>531</v>
      </c>
      <c r="E45" s="32" t="str">
        <f t="shared" si="6"/>
        <v>→</v>
      </c>
      <c r="F45" s="39" t="s">
        <v>123</v>
      </c>
      <c r="G45" s="38" t="s">
        <v>124</v>
      </c>
      <c r="H45" s="35"/>
      <c r="I45" s="44"/>
      <c r="AE45" s="12" t="str">
        <f t="shared" si="7"/>
        <v/>
      </c>
    </row>
    <row r="46" spans="1:31" s="11" customFormat="1" ht="15.75">
      <c r="A46" s="30">
        <f t="shared" si="1"/>
        <v>45</v>
      </c>
      <c r="B46" s="30" t="s">
        <v>32</v>
      </c>
      <c r="C46" s="30" t="s">
        <v>100</v>
      </c>
      <c r="D46" s="31">
        <v>535</v>
      </c>
      <c r="E46" s="32" t="str">
        <f>HYPERLINK("#"&amp;D46&amp;"!A1","→")</f>
        <v>→</v>
      </c>
      <c r="F46" s="33" t="s">
        <v>125</v>
      </c>
      <c r="G46" s="34" t="s">
        <v>126</v>
      </c>
      <c r="H46" s="35"/>
      <c r="I46" s="44"/>
      <c r="AE46" s="11" t="str">
        <f t="shared" si="7"/>
        <v/>
      </c>
    </row>
    <row r="47" spans="1:31" s="11" customFormat="1" ht="15.75">
      <c r="A47" s="30">
        <f t="shared" si="1"/>
        <v>46</v>
      </c>
      <c r="B47" s="30" t="s">
        <v>32</v>
      </c>
      <c r="C47" s="30" t="s">
        <v>100</v>
      </c>
      <c r="D47" s="31">
        <v>540</v>
      </c>
      <c r="E47" s="32" t="str">
        <f>HYPERLINK("#"&amp;D47&amp;"!A1","→")</f>
        <v>→</v>
      </c>
      <c r="F47" s="33" t="s">
        <v>127</v>
      </c>
      <c r="G47" s="34" t="s">
        <v>128</v>
      </c>
      <c r="H47" s="35"/>
      <c r="I47" s="44"/>
      <c r="AE47" s="11" t="str">
        <f t="shared" si="7"/>
        <v/>
      </c>
    </row>
    <row r="48" spans="1:31" s="11" customFormat="1" ht="15.75">
      <c r="A48" s="30">
        <f t="shared" si="1"/>
        <v>47</v>
      </c>
      <c r="B48" s="30" t="s">
        <v>32</v>
      </c>
      <c r="C48" s="30" t="s">
        <v>100</v>
      </c>
      <c r="D48" s="31">
        <v>541</v>
      </c>
      <c r="E48" s="32" t="str">
        <f>HYPERLINK("#"&amp;D48&amp;"!A1","→")</f>
        <v>→</v>
      </c>
      <c r="F48" s="33" t="s">
        <v>129</v>
      </c>
      <c r="G48" s="34" t="s">
        <v>130</v>
      </c>
      <c r="H48" s="35"/>
      <c r="I48" s="44"/>
      <c r="AE48" s="11" t="str">
        <f t="shared" si="7"/>
        <v/>
      </c>
    </row>
    <row r="49" spans="1:31" s="11" customFormat="1" ht="15.75">
      <c r="A49" s="30">
        <f t="shared" si="1"/>
        <v>48</v>
      </c>
      <c r="B49" s="30" t="s">
        <v>32</v>
      </c>
      <c r="C49" s="30" t="s">
        <v>100</v>
      </c>
      <c r="D49" s="31">
        <v>542</v>
      </c>
      <c r="E49" s="32" t="str">
        <f t="shared" si="6"/>
        <v>→</v>
      </c>
      <c r="F49" s="33" t="s">
        <v>131</v>
      </c>
      <c r="G49" s="34" t="s">
        <v>132</v>
      </c>
      <c r="H49" s="35"/>
      <c r="I49" s="44"/>
      <c r="AE49" s="11" t="str">
        <f t="shared" si="7"/>
        <v/>
      </c>
    </row>
    <row r="50" spans="1:31" s="11" customFormat="1" ht="15.75">
      <c r="A50" s="30">
        <f t="shared" si="1"/>
        <v>49</v>
      </c>
      <c r="B50" s="30" t="s">
        <v>32</v>
      </c>
      <c r="C50" s="30" t="s">
        <v>100</v>
      </c>
      <c r="D50" s="31">
        <v>550</v>
      </c>
      <c r="E50" s="32" t="str">
        <f t="shared" si="6"/>
        <v>→</v>
      </c>
      <c r="F50" s="33" t="s">
        <v>133</v>
      </c>
      <c r="G50" s="34" t="s">
        <v>134</v>
      </c>
      <c r="H50" s="35"/>
      <c r="I50" s="44"/>
      <c r="AE50" s="11" t="str">
        <f t="shared" si="7"/>
        <v/>
      </c>
    </row>
    <row r="51" spans="1:31" s="11" customFormat="1" ht="15.75">
      <c r="A51" s="30">
        <f t="shared" si="1"/>
        <v>50</v>
      </c>
      <c r="B51" s="30" t="s">
        <v>32</v>
      </c>
      <c r="C51" s="30" t="s">
        <v>100</v>
      </c>
      <c r="D51" s="31">
        <v>560</v>
      </c>
      <c r="E51" s="32" t="str">
        <f t="shared" si="6"/>
        <v>→</v>
      </c>
      <c r="F51" s="33" t="s">
        <v>135</v>
      </c>
      <c r="G51" s="34" t="s">
        <v>136</v>
      </c>
      <c r="H51" s="35"/>
      <c r="I51" s="44"/>
      <c r="AE51" s="11" t="str">
        <f t="shared" si="7"/>
        <v/>
      </c>
    </row>
    <row r="52" spans="1:31" s="11" customFormat="1" ht="15.75">
      <c r="A52" s="30">
        <f t="shared" si="1"/>
        <v>51</v>
      </c>
      <c r="B52" s="30" t="s">
        <v>32</v>
      </c>
      <c r="C52" s="30" t="s">
        <v>100</v>
      </c>
      <c r="D52" s="31">
        <v>561</v>
      </c>
      <c r="E52" s="32" t="str">
        <f>HYPERLINK("#"&amp;D52&amp;"!A1","→")</f>
        <v>→</v>
      </c>
      <c r="F52" s="33" t="s">
        <v>137</v>
      </c>
      <c r="G52" s="34" t="s">
        <v>138</v>
      </c>
      <c r="H52" s="35"/>
      <c r="I52" s="44"/>
      <c r="AE52" s="11" t="str">
        <f t="shared" si="7"/>
        <v/>
      </c>
    </row>
    <row r="53" spans="1:31" s="11" customFormat="1" ht="15.75">
      <c r="A53" s="30">
        <f t="shared" si="1"/>
        <v>52</v>
      </c>
      <c r="B53" s="30" t="s">
        <v>32</v>
      </c>
      <c r="C53" s="30" t="s">
        <v>100</v>
      </c>
      <c r="D53" s="31">
        <v>562</v>
      </c>
      <c r="E53" s="32" t="str">
        <f>HYPERLINK("#"&amp;D53&amp;"!A1","→")</f>
        <v>→</v>
      </c>
      <c r="F53" s="33" t="s">
        <v>139</v>
      </c>
      <c r="G53" s="34" t="s">
        <v>140</v>
      </c>
      <c r="H53" s="35"/>
      <c r="I53" s="44"/>
      <c r="AE53" s="11" t="str">
        <f t="shared" si="7"/>
        <v/>
      </c>
    </row>
    <row r="54" spans="1:31" s="11" customFormat="1" ht="15.75">
      <c r="A54" s="30">
        <f t="shared" si="1"/>
        <v>53</v>
      </c>
      <c r="B54" s="30" t="s">
        <v>32</v>
      </c>
      <c r="C54" s="30" t="s">
        <v>100</v>
      </c>
      <c r="D54" s="31">
        <v>563</v>
      </c>
      <c r="E54" s="32" t="str">
        <f>HYPERLINK("#"&amp;D54&amp;"!A1","→")</f>
        <v>→</v>
      </c>
      <c r="F54" s="33" t="s">
        <v>141</v>
      </c>
      <c r="G54" s="34" t="s">
        <v>142</v>
      </c>
      <c r="H54" s="35"/>
      <c r="I54" s="44"/>
      <c r="AE54" s="11" t="str">
        <f t="shared" si="7"/>
        <v/>
      </c>
    </row>
    <row r="55" spans="1:31" s="11" customFormat="1" ht="15.75">
      <c r="A55" s="30">
        <f t="shared" si="1"/>
        <v>54</v>
      </c>
      <c r="B55" s="30" t="s">
        <v>32</v>
      </c>
      <c r="C55" s="30" t="s">
        <v>143</v>
      </c>
      <c r="D55" s="31">
        <v>600</v>
      </c>
      <c r="E55" s="32" t="str">
        <f t="shared" ref="E55:E61" si="8">HYPERLINK("#"&amp;D55&amp;"!A1","→")</f>
        <v>→</v>
      </c>
      <c r="F55" s="36" t="s">
        <v>144</v>
      </c>
      <c r="G55" s="36" t="s">
        <v>145</v>
      </c>
      <c r="H55" s="35"/>
      <c r="I55" s="44"/>
      <c r="AE55" s="11" t="str">
        <f t="shared" si="7"/>
        <v/>
      </c>
    </row>
    <row r="56" spans="1:31" s="11" customFormat="1" ht="15.75">
      <c r="A56" s="30">
        <f t="shared" si="1"/>
        <v>55</v>
      </c>
      <c r="B56" s="30" t="s">
        <v>32</v>
      </c>
      <c r="C56" s="30" t="s">
        <v>143</v>
      </c>
      <c r="D56" s="31">
        <v>601</v>
      </c>
      <c r="E56" s="32" t="str">
        <f t="shared" si="8"/>
        <v>→</v>
      </c>
      <c r="F56" s="36" t="s">
        <v>146</v>
      </c>
      <c r="G56" s="36" t="s">
        <v>147</v>
      </c>
      <c r="H56" s="36"/>
      <c r="I56" s="44"/>
      <c r="AE56" s="11" t="str">
        <f t="shared" si="7"/>
        <v/>
      </c>
    </row>
    <row r="57" spans="1:31" s="11" customFormat="1" ht="15.75">
      <c r="A57" s="30">
        <f t="shared" si="1"/>
        <v>56</v>
      </c>
      <c r="B57" s="30" t="s">
        <v>32</v>
      </c>
      <c r="C57" s="30" t="s">
        <v>143</v>
      </c>
      <c r="D57" s="31">
        <v>602</v>
      </c>
      <c r="E57" s="32" t="str">
        <f t="shared" si="8"/>
        <v>→</v>
      </c>
      <c r="F57" s="36" t="s">
        <v>148</v>
      </c>
      <c r="G57" s="36" t="s">
        <v>149</v>
      </c>
      <c r="H57" s="35"/>
      <c r="I57" s="44"/>
      <c r="AE57" s="11" t="str">
        <f t="shared" si="7"/>
        <v/>
      </c>
    </row>
    <row r="58" spans="1:31" s="11" customFormat="1" ht="15.75">
      <c r="A58" s="30">
        <f t="shared" si="1"/>
        <v>57</v>
      </c>
      <c r="B58" s="30" t="s">
        <v>32</v>
      </c>
      <c r="C58" s="30" t="s">
        <v>143</v>
      </c>
      <c r="D58" s="31">
        <v>610</v>
      </c>
      <c r="E58" s="32" t="str">
        <f t="shared" si="8"/>
        <v>→</v>
      </c>
      <c r="F58" s="36" t="s">
        <v>150</v>
      </c>
      <c r="G58" s="36" t="s">
        <v>151</v>
      </c>
      <c r="H58" s="35"/>
      <c r="I58" s="44"/>
      <c r="AE58" s="11" t="str">
        <f t="shared" si="7"/>
        <v/>
      </c>
    </row>
    <row r="59" spans="1:31" s="11" customFormat="1" ht="15.75">
      <c r="A59" s="30">
        <f t="shared" si="1"/>
        <v>58</v>
      </c>
      <c r="B59" s="30" t="s">
        <v>32</v>
      </c>
      <c r="C59" s="30" t="s">
        <v>143</v>
      </c>
      <c r="D59" s="31">
        <v>620</v>
      </c>
      <c r="E59" s="32" t="str">
        <f t="shared" si="8"/>
        <v>→</v>
      </c>
      <c r="F59" s="136" t="s">
        <v>152</v>
      </c>
      <c r="G59" s="136" t="s">
        <v>153</v>
      </c>
      <c r="H59" s="35"/>
      <c r="I59" s="44"/>
      <c r="AE59" s="11" t="str">
        <f t="shared" si="7"/>
        <v/>
      </c>
    </row>
    <row r="60" spans="1:31" s="11" customFormat="1" ht="15.75">
      <c r="A60" s="30">
        <f t="shared" si="1"/>
        <v>59</v>
      </c>
      <c r="B60" s="30" t="s">
        <v>32</v>
      </c>
      <c r="C60" s="30" t="s">
        <v>143</v>
      </c>
      <c r="D60" s="31">
        <v>621</v>
      </c>
      <c r="E60" s="32" t="str">
        <f t="shared" si="8"/>
        <v>→</v>
      </c>
      <c r="F60" s="136" t="s">
        <v>154</v>
      </c>
      <c r="G60" s="136" t="s">
        <v>155</v>
      </c>
      <c r="H60" s="35"/>
      <c r="I60" s="44"/>
      <c r="AE60" s="11" t="str">
        <f t="shared" si="7"/>
        <v/>
      </c>
    </row>
    <row r="61" spans="1:31" s="11" customFormat="1" ht="15.75">
      <c r="A61" s="30">
        <f t="shared" si="1"/>
        <v>60</v>
      </c>
      <c r="B61" s="30" t="s">
        <v>32</v>
      </c>
      <c r="C61" s="30" t="s">
        <v>143</v>
      </c>
      <c r="D61" s="31">
        <v>622</v>
      </c>
      <c r="E61" s="32" t="str">
        <f t="shared" si="8"/>
        <v>→</v>
      </c>
      <c r="F61" s="136" t="s">
        <v>156</v>
      </c>
      <c r="G61" s="136" t="s">
        <v>157</v>
      </c>
      <c r="H61" s="35"/>
      <c r="I61" s="44"/>
      <c r="AE61" s="11" t="str">
        <f t="shared" si="7"/>
        <v/>
      </c>
    </row>
    <row r="62" spans="1:31" s="11" customFormat="1" ht="15.75">
      <c r="A62" s="30">
        <f t="shared" si="1"/>
        <v>61</v>
      </c>
      <c r="B62" s="30" t="s">
        <v>32</v>
      </c>
      <c r="C62" s="30" t="s">
        <v>143</v>
      </c>
      <c r="D62" s="31">
        <v>630</v>
      </c>
      <c r="E62" s="32" t="str">
        <f t="shared" ref="E62:E70" si="9">HYPERLINK("#"&amp;D62&amp;"!A1","→")</f>
        <v>→</v>
      </c>
      <c r="F62" s="37" t="s">
        <v>158</v>
      </c>
      <c r="G62" s="36" t="s">
        <v>159</v>
      </c>
      <c r="H62" s="35"/>
      <c r="I62" s="44"/>
      <c r="AE62" s="11" t="str">
        <f t="shared" si="7"/>
        <v/>
      </c>
    </row>
    <row r="63" spans="1:31" s="11" customFormat="1" ht="15.75">
      <c r="A63" s="30">
        <f t="shared" si="1"/>
        <v>62</v>
      </c>
      <c r="B63" s="30" t="s">
        <v>32</v>
      </c>
      <c r="C63" s="30" t="s">
        <v>143</v>
      </c>
      <c r="D63" s="31">
        <v>631</v>
      </c>
      <c r="E63" s="32" t="str">
        <f t="shared" si="9"/>
        <v>→</v>
      </c>
      <c r="F63" s="37" t="s">
        <v>160</v>
      </c>
      <c r="G63" s="36" t="s">
        <v>161</v>
      </c>
      <c r="H63" s="35"/>
      <c r="I63" s="44"/>
      <c r="AE63" s="11" t="str">
        <f t="shared" si="7"/>
        <v/>
      </c>
    </row>
    <row r="64" spans="1:31" s="11" customFormat="1" ht="15.75">
      <c r="A64" s="30">
        <f t="shared" si="1"/>
        <v>63</v>
      </c>
      <c r="B64" s="30" t="s">
        <v>32</v>
      </c>
      <c r="C64" s="30" t="s">
        <v>143</v>
      </c>
      <c r="D64" s="31">
        <v>640</v>
      </c>
      <c r="E64" s="32" t="str">
        <f t="shared" si="9"/>
        <v>→</v>
      </c>
      <c r="F64" s="172" t="s">
        <v>162</v>
      </c>
      <c r="G64" s="38" t="s">
        <v>163</v>
      </c>
      <c r="H64" s="35"/>
      <c r="I64" s="44"/>
      <c r="AE64" s="11" t="str">
        <f t="shared" si="7"/>
        <v/>
      </c>
    </row>
    <row r="65" spans="1:31" s="11" customFormat="1" ht="15.75">
      <c r="A65" s="30">
        <f t="shared" si="1"/>
        <v>64</v>
      </c>
      <c r="B65" s="30" t="s">
        <v>32</v>
      </c>
      <c r="C65" s="30" t="s">
        <v>143</v>
      </c>
      <c r="D65" s="31">
        <v>641</v>
      </c>
      <c r="E65" s="32" t="str">
        <f t="shared" si="9"/>
        <v>→</v>
      </c>
      <c r="F65" s="172" t="s">
        <v>164</v>
      </c>
      <c r="G65" s="38" t="s">
        <v>165</v>
      </c>
      <c r="H65" s="35"/>
      <c r="I65" s="44"/>
      <c r="AE65" s="11" t="str">
        <f t="shared" si="7"/>
        <v/>
      </c>
    </row>
    <row r="66" spans="1:31" s="11" customFormat="1" ht="15.75">
      <c r="A66" s="30">
        <f t="shared" si="1"/>
        <v>65</v>
      </c>
      <c r="B66" s="30" t="s">
        <v>32</v>
      </c>
      <c r="C66" s="30" t="s">
        <v>143</v>
      </c>
      <c r="D66" s="31">
        <v>642</v>
      </c>
      <c r="E66" s="32" t="str">
        <f t="shared" si="9"/>
        <v>→</v>
      </c>
      <c r="F66" s="172" t="s">
        <v>166</v>
      </c>
      <c r="G66" s="38" t="s">
        <v>167</v>
      </c>
      <c r="H66" s="35"/>
      <c r="I66" s="44"/>
      <c r="AE66" s="11" t="str">
        <f t="shared" si="7"/>
        <v/>
      </c>
    </row>
    <row r="67" spans="1:31" s="11" customFormat="1" ht="15.75">
      <c r="A67" s="30">
        <f t="shared" si="1"/>
        <v>66</v>
      </c>
      <c r="B67" s="30" t="s">
        <v>32</v>
      </c>
      <c r="C67" s="30" t="s">
        <v>143</v>
      </c>
      <c r="D67" s="31">
        <v>643</v>
      </c>
      <c r="E67" s="32" t="str">
        <f t="shared" si="9"/>
        <v>→</v>
      </c>
      <c r="F67" s="172" t="s">
        <v>168</v>
      </c>
      <c r="G67" s="38" t="s">
        <v>169</v>
      </c>
      <c r="H67" s="35"/>
      <c r="I67" s="44"/>
      <c r="AE67" s="11" t="str">
        <f t="shared" si="7"/>
        <v/>
      </c>
    </row>
    <row r="68" spans="1:31" s="11" customFormat="1" ht="15.75">
      <c r="A68" s="30">
        <f t="shared" ref="A68:A114" si="10">ROW()-1</f>
        <v>67</v>
      </c>
      <c r="B68" s="30" t="s">
        <v>32</v>
      </c>
      <c r="C68" s="30" t="s">
        <v>170</v>
      </c>
      <c r="D68" s="31">
        <v>800</v>
      </c>
      <c r="E68" s="32" t="str">
        <f>HYPERLINK("#"&amp;D68&amp;"!A1","→")</f>
        <v>→</v>
      </c>
      <c r="F68" s="33" t="s">
        <v>171</v>
      </c>
      <c r="G68" s="34" t="s">
        <v>172</v>
      </c>
      <c r="H68" s="35"/>
      <c r="I68" s="44"/>
    </row>
    <row r="69" spans="1:31" ht="15.75" customHeight="1">
      <c r="A69" s="30">
        <f t="shared" si="1"/>
        <v>68</v>
      </c>
      <c r="B69" s="30" t="s">
        <v>32</v>
      </c>
      <c r="C69" s="30" t="s">
        <v>173</v>
      </c>
      <c r="D69" s="31">
        <v>690</v>
      </c>
      <c r="E69" s="32" t="str">
        <f t="shared" si="9"/>
        <v>→</v>
      </c>
      <c r="F69" s="33" t="s">
        <v>174</v>
      </c>
      <c r="G69" s="34" t="s">
        <v>175</v>
      </c>
      <c r="H69" s="35"/>
      <c r="I69" s="44"/>
      <c r="AE69" s="12" t="str">
        <f t="shared" ref="AE69:AE86" si="11">IF($L69="Y","INSERT INTO `sys_table_relation` (`TABLE_NAME`, `CHILD_TABLE_NAME`, `SQL_QUERY`, `ERROR_DESC` ,`ERROR_DESC_JSON`) VALUES ('" &amp;$J69 &amp; "', '" &amp; $AB69 &amp; "', '" &amp; "select count(*) from "&amp; $AB69 &amp;" where " &amp; IF(COUNTIF(D:D,"IS_DESTROYED"),"IS_DESTROYED=0 and ","") &amp;   $D69 &amp; "={pid}" &amp; "', " &amp; "'【"&amp; $AC69 &amp;"】已使用此筆資料，故不可刪除!!'" &amp; ",'" &amp; SUBSTITUTE("{'zh_TW': '" &amp;  "【"&amp; $AC69 &amp;"】已使用此筆資料，不可刪除!!"  &amp; "' ,'en_US': '" &amp;  "Have used this information, it can not be deleted !!" &amp; "'  ,'zh_CN': '" &amp; "【"&amp; $AC69 &amp;"】已使用此筆資料，不可刪除!!" &amp; "' }", CHAR(39),CHAR(34))   &amp; "');","")</f>
        <v/>
      </c>
    </row>
    <row r="70" spans="1:31" ht="15.75" customHeight="1">
      <c r="A70" s="30">
        <v>69</v>
      </c>
      <c r="B70" s="30" t="s">
        <v>32</v>
      </c>
      <c r="C70" s="30" t="s">
        <v>173</v>
      </c>
      <c r="D70" s="31">
        <v>691</v>
      </c>
      <c r="E70" s="32" t="str">
        <f t="shared" si="9"/>
        <v>→</v>
      </c>
      <c r="F70" s="33" t="s">
        <v>176</v>
      </c>
      <c r="G70" s="34" t="s">
        <v>177</v>
      </c>
      <c r="H70" s="35"/>
      <c r="I70" s="44"/>
      <c r="AE70" s="12" t="str">
        <f t="shared" si="11"/>
        <v/>
      </c>
    </row>
    <row r="71" spans="1:31" s="11" customFormat="1" ht="15.75">
      <c r="A71" s="30">
        <f t="shared" si="1"/>
        <v>70</v>
      </c>
      <c r="B71" s="30" t="s">
        <v>32</v>
      </c>
      <c r="C71" s="30" t="s">
        <v>178</v>
      </c>
      <c r="D71" s="31">
        <v>711</v>
      </c>
      <c r="E71" s="32" t="str">
        <f t="shared" ref="E71:E81" si="12">HYPERLINK("#"&amp;D71&amp;"!A1","→")</f>
        <v>→</v>
      </c>
      <c r="F71" s="33" t="s">
        <v>179</v>
      </c>
      <c r="G71" s="34" t="s">
        <v>180</v>
      </c>
      <c r="H71" s="35"/>
      <c r="I71" s="44"/>
      <c r="AE71" s="11" t="str">
        <f t="shared" si="11"/>
        <v/>
      </c>
    </row>
    <row r="72" spans="1:31" s="11" customFormat="1" ht="15.75">
      <c r="A72" s="30">
        <f t="shared" si="1"/>
        <v>71</v>
      </c>
      <c r="B72" s="30" t="s">
        <v>32</v>
      </c>
      <c r="C72" s="30" t="s">
        <v>178</v>
      </c>
      <c r="D72" s="31">
        <v>712</v>
      </c>
      <c r="E72" s="32" t="str">
        <f t="shared" si="12"/>
        <v>→</v>
      </c>
      <c r="F72" s="33" t="s">
        <v>181</v>
      </c>
      <c r="G72" s="34" t="s">
        <v>182</v>
      </c>
      <c r="H72" s="35"/>
      <c r="I72" s="44"/>
      <c r="AE72" s="11" t="str">
        <f t="shared" si="11"/>
        <v/>
      </c>
    </row>
    <row r="73" spans="1:31" s="11" customFormat="1" ht="15.75">
      <c r="A73" s="30">
        <f t="shared" si="1"/>
        <v>72</v>
      </c>
      <c r="B73" s="30" t="s">
        <v>32</v>
      </c>
      <c r="C73" s="30" t="s">
        <v>178</v>
      </c>
      <c r="D73" s="31">
        <v>713</v>
      </c>
      <c r="E73" s="32" t="str">
        <f t="shared" si="12"/>
        <v>→</v>
      </c>
      <c r="F73" s="33" t="s">
        <v>183</v>
      </c>
      <c r="G73" s="34" t="s">
        <v>184</v>
      </c>
      <c r="H73" s="35"/>
      <c r="I73" s="44"/>
      <c r="AE73" s="11" t="str">
        <f t="shared" si="11"/>
        <v/>
      </c>
    </row>
    <row r="74" spans="1:31" s="11" customFormat="1" ht="15.75">
      <c r="A74" s="30">
        <f t="shared" si="10"/>
        <v>73</v>
      </c>
      <c r="B74" s="30" t="s">
        <v>32</v>
      </c>
      <c r="C74" s="30" t="s">
        <v>178</v>
      </c>
      <c r="D74" s="31">
        <v>714</v>
      </c>
      <c r="E74" s="32" t="str">
        <f t="shared" si="12"/>
        <v>→</v>
      </c>
      <c r="F74" s="33" t="s">
        <v>185</v>
      </c>
      <c r="G74" s="34" t="s">
        <v>186</v>
      </c>
      <c r="H74" s="35"/>
      <c r="I74" s="44"/>
      <c r="AE74" s="11" t="str">
        <f t="shared" si="11"/>
        <v/>
      </c>
    </row>
    <row r="75" spans="1:31" s="11" customFormat="1" ht="15.75">
      <c r="A75" s="30">
        <f t="shared" si="10"/>
        <v>74</v>
      </c>
      <c r="B75" s="30" t="s">
        <v>32</v>
      </c>
      <c r="C75" s="30" t="s">
        <v>178</v>
      </c>
      <c r="D75" s="31">
        <v>715</v>
      </c>
      <c r="E75" s="32" t="str">
        <f t="shared" si="12"/>
        <v>→</v>
      </c>
      <c r="F75" s="34" t="s">
        <v>187</v>
      </c>
      <c r="G75" s="34" t="s">
        <v>188</v>
      </c>
      <c r="H75" s="35"/>
      <c r="I75" s="44"/>
      <c r="AE75" s="11" t="str">
        <f t="shared" si="11"/>
        <v/>
      </c>
    </row>
    <row r="76" spans="1:31" s="11" customFormat="1" ht="15.75">
      <c r="A76" s="30">
        <f t="shared" si="10"/>
        <v>75</v>
      </c>
      <c r="B76" s="30" t="s">
        <v>32</v>
      </c>
      <c r="C76" s="30" t="s">
        <v>178</v>
      </c>
      <c r="D76" s="31">
        <v>716</v>
      </c>
      <c r="E76" s="32" t="str">
        <f t="shared" si="12"/>
        <v>→</v>
      </c>
      <c r="F76" s="33" t="s">
        <v>189</v>
      </c>
      <c r="G76" s="34" t="s">
        <v>190</v>
      </c>
      <c r="H76" s="35"/>
      <c r="I76" s="44"/>
      <c r="AE76" s="11" t="str">
        <f t="shared" si="11"/>
        <v/>
      </c>
    </row>
    <row r="77" spans="1:31" s="11" customFormat="1" ht="15.75">
      <c r="A77" s="30">
        <f t="shared" si="10"/>
        <v>76</v>
      </c>
      <c r="B77" s="30" t="s">
        <v>32</v>
      </c>
      <c r="C77" s="30" t="s">
        <v>178</v>
      </c>
      <c r="D77" s="31">
        <v>717</v>
      </c>
      <c r="E77" s="32" t="str">
        <f t="shared" si="12"/>
        <v>→</v>
      </c>
      <c r="F77" s="33" t="s">
        <v>191</v>
      </c>
      <c r="G77" s="34" t="s">
        <v>192</v>
      </c>
      <c r="H77" s="35"/>
      <c r="I77" s="44"/>
      <c r="AE77" s="11" t="str">
        <f t="shared" si="11"/>
        <v/>
      </c>
    </row>
    <row r="78" spans="1:31" s="11" customFormat="1" ht="15.75">
      <c r="A78" s="30">
        <f t="shared" si="10"/>
        <v>77</v>
      </c>
      <c r="B78" s="30" t="s">
        <v>32</v>
      </c>
      <c r="C78" s="30" t="s">
        <v>178</v>
      </c>
      <c r="D78" s="31">
        <v>718</v>
      </c>
      <c r="E78" s="32" t="str">
        <f t="shared" si="12"/>
        <v>→</v>
      </c>
      <c r="F78" s="33" t="s">
        <v>193</v>
      </c>
      <c r="G78" s="34" t="s">
        <v>194</v>
      </c>
      <c r="H78" s="35"/>
      <c r="I78" s="44"/>
      <c r="AE78" s="11" t="str">
        <f t="shared" si="11"/>
        <v/>
      </c>
    </row>
    <row r="79" spans="1:31" ht="15.75" customHeight="1">
      <c r="A79" s="30">
        <f t="shared" si="10"/>
        <v>78</v>
      </c>
      <c r="B79" s="30" t="s">
        <v>32</v>
      </c>
      <c r="C79" s="30" t="s">
        <v>178</v>
      </c>
      <c r="D79" s="31">
        <v>719</v>
      </c>
      <c r="E79" s="32" t="str">
        <f>HYPERLINK("#"&amp;D79&amp;"!A1","→")</f>
        <v>→</v>
      </c>
      <c r="F79" s="33" t="s">
        <v>195</v>
      </c>
      <c r="G79" s="34" t="s">
        <v>196</v>
      </c>
      <c r="H79" s="35"/>
      <c r="I79" s="44"/>
      <c r="AE79" s="12" t="str">
        <f t="shared" si="11"/>
        <v/>
      </c>
    </row>
    <row r="80" spans="1:31" s="11" customFormat="1" ht="15.75">
      <c r="A80" s="30">
        <f t="shared" si="10"/>
        <v>79</v>
      </c>
      <c r="B80" s="30" t="s">
        <v>32</v>
      </c>
      <c r="C80" s="30" t="s">
        <v>178</v>
      </c>
      <c r="D80" s="31">
        <v>720</v>
      </c>
      <c r="E80" s="32" t="str">
        <f t="shared" si="12"/>
        <v>→</v>
      </c>
      <c r="F80" s="33" t="s">
        <v>197</v>
      </c>
      <c r="G80" s="34" t="s">
        <v>198</v>
      </c>
      <c r="H80" s="35"/>
      <c r="I80" s="44"/>
      <c r="AE80" s="11" t="str">
        <f t="shared" si="11"/>
        <v/>
      </c>
    </row>
    <row r="81" spans="1:31" s="11" customFormat="1" ht="15.75">
      <c r="A81" s="30">
        <f t="shared" si="10"/>
        <v>80</v>
      </c>
      <c r="B81" s="30" t="s">
        <v>32</v>
      </c>
      <c r="C81" s="30" t="s">
        <v>178</v>
      </c>
      <c r="D81" s="31">
        <v>721</v>
      </c>
      <c r="E81" s="32" t="str">
        <f t="shared" si="12"/>
        <v>→</v>
      </c>
      <c r="F81" s="33" t="s">
        <v>199</v>
      </c>
      <c r="G81" s="34" t="s">
        <v>200</v>
      </c>
      <c r="H81" s="35"/>
      <c r="I81" s="44"/>
      <c r="AE81" s="11" t="str">
        <f t="shared" si="11"/>
        <v/>
      </c>
    </row>
    <row r="82" spans="1:31" s="11" customFormat="1" ht="15.75">
      <c r="A82" s="30">
        <f t="shared" si="10"/>
        <v>81</v>
      </c>
      <c r="B82" s="30" t="s">
        <v>32</v>
      </c>
      <c r="C82" s="30" t="s">
        <v>201</v>
      </c>
      <c r="D82" s="31">
        <v>730</v>
      </c>
      <c r="E82" s="32" t="str">
        <f t="shared" ref="E82:E91" si="13">HYPERLINK("#"&amp;D82&amp;"!A1","→")</f>
        <v>→</v>
      </c>
      <c r="F82" s="33" t="s">
        <v>202</v>
      </c>
      <c r="G82" s="34" t="s">
        <v>203</v>
      </c>
      <c r="H82" s="35"/>
      <c r="I82" s="44"/>
      <c r="AE82" s="11" t="str">
        <f t="shared" si="11"/>
        <v/>
      </c>
    </row>
    <row r="83" spans="1:31" s="11" customFormat="1" ht="15.75">
      <c r="A83" s="30">
        <f t="shared" si="10"/>
        <v>82</v>
      </c>
      <c r="B83" s="30" t="s">
        <v>32</v>
      </c>
      <c r="C83" s="30" t="s">
        <v>201</v>
      </c>
      <c r="D83" s="31">
        <v>731</v>
      </c>
      <c r="E83" s="32" t="str">
        <f t="shared" si="13"/>
        <v>→</v>
      </c>
      <c r="F83" s="33" t="s">
        <v>204</v>
      </c>
      <c r="G83" s="34" t="s">
        <v>205</v>
      </c>
      <c r="H83" s="35"/>
      <c r="I83" s="44"/>
      <c r="AE83" s="11" t="str">
        <f t="shared" si="11"/>
        <v/>
      </c>
    </row>
    <row r="84" spans="1:31" ht="15.75" customHeight="1">
      <c r="A84" s="30">
        <f t="shared" si="10"/>
        <v>83</v>
      </c>
      <c r="B84" s="30" t="s">
        <v>32</v>
      </c>
      <c r="C84" s="30" t="s">
        <v>201</v>
      </c>
      <c r="D84" s="31">
        <v>732</v>
      </c>
      <c r="E84" s="32" t="str">
        <f t="shared" si="13"/>
        <v>→</v>
      </c>
      <c r="F84" s="33" t="s">
        <v>206</v>
      </c>
      <c r="G84" s="34" t="s">
        <v>207</v>
      </c>
      <c r="H84" s="35"/>
      <c r="I84" s="44"/>
      <c r="AE84" s="12" t="str">
        <f t="shared" si="11"/>
        <v/>
      </c>
    </row>
    <row r="85" spans="1:31" s="11" customFormat="1" ht="15.75">
      <c r="A85" s="30">
        <f t="shared" si="10"/>
        <v>84</v>
      </c>
      <c r="B85" s="30" t="s">
        <v>32</v>
      </c>
      <c r="C85" s="30" t="s">
        <v>201</v>
      </c>
      <c r="D85" s="31">
        <v>733</v>
      </c>
      <c r="E85" s="32" t="str">
        <f t="shared" si="13"/>
        <v>→</v>
      </c>
      <c r="F85" s="33" t="s">
        <v>208</v>
      </c>
      <c r="G85" s="34" t="s">
        <v>209</v>
      </c>
      <c r="H85" s="35"/>
      <c r="I85" s="44"/>
      <c r="AE85" s="11" t="str">
        <f t="shared" si="11"/>
        <v/>
      </c>
    </row>
    <row r="86" spans="1:31" s="11" customFormat="1" ht="15.75">
      <c r="A86" s="30">
        <f t="shared" si="10"/>
        <v>85</v>
      </c>
      <c r="B86" s="30" t="s">
        <v>32</v>
      </c>
      <c r="C86" s="30" t="s">
        <v>201</v>
      </c>
      <c r="D86" s="31">
        <v>734</v>
      </c>
      <c r="E86" s="32" t="str">
        <f t="shared" si="13"/>
        <v>→</v>
      </c>
      <c r="F86" s="33" t="s">
        <v>210</v>
      </c>
      <c r="G86" s="34" t="s">
        <v>211</v>
      </c>
      <c r="H86" s="35"/>
      <c r="I86" s="44"/>
      <c r="AE86" s="11" t="str">
        <f t="shared" si="11"/>
        <v/>
      </c>
    </row>
    <row r="87" spans="1:31" s="11" customFormat="1" ht="15.75">
      <c r="A87" s="30">
        <f t="shared" si="10"/>
        <v>86</v>
      </c>
      <c r="B87" s="30" t="s">
        <v>32</v>
      </c>
      <c r="C87" s="30" t="s">
        <v>201</v>
      </c>
      <c r="D87" s="31">
        <v>735</v>
      </c>
      <c r="E87" s="32" t="str">
        <f>HYPERLINK("#"&amp;D87&amp;"!A1","→")</f>
        <v>→</v>
      </c>
      <c r="F87" s="33" t="s">
        <v>212</v>
      </c>
      <c r="G87" s="34" t="s">
        <v>213</v>
      </c>
      <c r="H87" s="35"/>
      <c r="I87" s="44"/>
    </row>
    <row r="88" spans="1:31" s="11" customFormat="1" ht="15.75">
      <c r="A88" s="30">
        <f t="shared" si="10"/>
        <v>87</v>
      </c>
      <c r="B88" s="30" t="s">
        <v>32</v>
      </c>
      <c r="C88" s="30" t="s">
        <v>214</v>
      </c>
      <c r="D88" s="31">
        <v>740</v>
      </c>
      <c r="E88" s="32" t="str">
        <f t="shared" si="13"/>
        <v>→</v>
      </c>
      <c r="F88" s="33" t="s">
        <v>215</v>
      </c>
      <c r="G88" s="34" t="s">
        <v>216</v>
      </c>
      <c r="H88" s="35"/>
      <c r="I88" s="44"/>
      <c r="AE88" s="11" t="str">
        <f t="shared" ref="AE88:AE104" si="14">IF($L88="Y","INSERT INTO `sys_table_relation` (`TABLE_NAME`, `CHILD_TABLE_NAME`, `SQL_QUERY`, `ERROR_DESC` ,`ERROR_DESC_JSON`) VALUES ('" &amp;$J88 &amp; "', '" &amp; $AB88 &amp; "', '" &amp; "select count(*) from "&amp; $AB88 &amp;" where " &amp; IF(COUNTIF(D:D,"IS_DESTROYED"),"IS_DESTROYED=0 and ","") &amp;   $D88 &amp; "={pid}" &amp; "', " &amp; "'【"&amp; $AC88 &amp;"】已使用此筆資料，故不可刪除!!'" &amp; ",'" &amp; SUBSTITUTE("{'zh_TW': '" &amp;  "【"&amp; $AC88 &amp;"】已使用此筆資料，不可刪除!!"  &amp; "' ,'en_US': '" &amp;  "Have used this information, it can not be deleted !!" &amp; "'  ,'zh_CN': '" &amp; "【"&amp; $AC88 &amp;"】已使用此筆資料，不可刪除!!" &amp; "' }", CHAR(39),CHAR(34))   &amp; "');","")</f>
        <v/>
      </c>
    </row>
    <row r="89" spans="1:31" s="11" customFormat="1" ht="15.75">
      <c r="A89" s="30">
        <f t="shared" si="10"/>
        <v>88</v>
      </c>
      <c r="B89" s="30" t="s">
        <v>32</v>
      </c>
      <c r="C89" s="30" t="s">
        <v>214</v>
      </c>
      <c r="D89" s="31">
        <v>741</v>
      </c>
      <c r="E89" s="32" t="str">
        <f t="shared" si="13"/>
        <v>→</v>
      </c>
      <c r="F89" s="33" t="s">
        <v>217</v>
      </c>
      <c r="G89" s="34" t="s">
        <v>218</v>
      </c>
      <c r="H89" s="35"/>
      <c r="I89" s="44"/>
      <c r="AE89" s="11" t="str">
        <f t="shared" si="14"/>
        <v/>
      </c>
    </row>
    <row r="90" spans="1:31" s="11" customFormat="1" ht="15.75">
      <c r="A90" s="30">
        <f t="shared" si="10"/>
        <v>89</v>
      </c>
      <c r="B90" s="30" t="s">
        <v>32</v>
      </c>
      <c r="C90" s="30" t="s">
        <v>214</v>
      </c>
      <c r="D90" s="31">
        <v>742</v>
      </c>
      <c r="E90" s="32" t="str">
        <f t="shared" si="13"/>
        <v>→</v>
      </c>
      <c r="F90" s="33" t="s">
        <v>219</v>
      </c>
      <c r="G90" s="34" t="s">
        <v>220</v>
      </c>
      <c r="H90" s="35"/>
      <c r="I90" s="44"/>
      <c r="AE90" s="11" t="str">
        <f t="shared" si="14"/>
        <v/>
      </c>
    </row>
    <row r="91" spans="1:31" s="11" customFormat="1" ht="15.75">
      <c r="A91" s="30">
        <f t="shared" si="10"/>
        <v>90</v>
      </c>
      <c r="B91" s="30" t="s">
        <v>32</v>
      </c>
      <c r="C91" s="30" t="s">
        <v>214</v>
      </c>
      <c r="D91" s="31">
        <v>743</v>
      </c>
      <c r="E91" s="32" t="str">
        <f t="shared" si="13"/>
        <v>→</v>
      </c>
      <c r="F91" s="33" t="s">
        <v>221</v>
      </c>
      <c r="G91" s="34" t="s">
        <v>222</v>
      </c>
      <c r="H91" s="35"/>
      <c r="I91" s="44"/>
      <c r="AE91" s="11" t="str">
        <f t="shared" si="14"/>
        <v/>
      </c>
    </row>
    <row r="92" spans="1:31" s="11" customFormat="1" ht="15.75">
      <c r="A92" s="30">
        <f t="shared" si="10"/>
        <v>91</v>
      </c>
      <c r="B92" s="30" t="s">
        <v>32</v>
      </c>
      <c r="C92" s="30" t="s">
        <v>223</v>
      </c>
      <c r="D92" s="31">
        <v>750</v>
      </c>
      <c r="E92" s="32" t="str">
        <f t="shared" ref="E92:E99" si="15">HYPERLINK("#"&amp;D92&amp;"!A1","→")</f>
        <v>→</v>
      </c>
      <c r="F92" s="33" t="s">
        <v>224</v>
      </c>
      <c r="G92" s="34" t="s">
        <v>225</v>
      </c>
      <c r="H92" s="35"/>
      <c r="I92" s="44"/>
      <c r="AE92" s="11" t="str">
        <f t="shared" si="14"/>
        <v/>
      </c>
    </row>
    <row r="93" spans="1:31" s="11" customFormat="1" ht="15.75">
      <c r="A93" s="30">
        <f t="shared" si="10"/>
        <v>92</v>
      </c>
      <c r="B93" s="30" t="s">
        <v>32</v>
      </c>
      <c r="C93" s="30" t="s">
        <v>226</v>
      </c>
      <c r="D93" s="31">
        <v>760</v>
      </c>
      <c r="E93" s="32" t="str">
        <f t="shared" si="15"/>
        <v>→</v>
      </c>
      <c r="F93" s="33" t="s">
        <v>227</v>
      </c>
      <c r="G93" s="34" t="s">
        <v>228</v>
      </c>
      <c r="H93" s="35"/>
      <c r="I93" s="44"/>
      <c r="AE93" s="11" t="str">
        <f t="shared" si="14"/>
        <v/>
      </c>
    </row>
    <row r="94" spans="1:31" s="11" customFormat="1" ht="15.75">
      <c r="A94" s="30">
        <f t="shared" si="10"/>
        <v>93</v>
      </c>
      <c r="B94" s="30" t="s">
        <v>32</v>
      </c>
      <c r="C94" s="30" t="s">
        <v>226</v>
      </c>
      <c r="D94" s="31">
        <v>761</v>
      </c>
      <c r="E94" s="32" t="str">
        <f t="shared" si="15"/>
        <v>→</v>
      </c>
      <c r="F94" s="33" t="s">
        <v>229</v>
      </c>
      <c r="G94" s="34" t="s">
        <v>230</v>
      </c>
      <c r="H94" s="35"/>
      <c r="I94" s="44"/>
      <c r="AE94" s="11" t="str">
        <f t="shared" si="14"/>
        <v/>
      </c>
    </row>
    <row r="95" spans="1:31" s="11" customFormat="1" ht="15.75">
      <c r="A95" s="30">
        <f t="shared" si="10"/>
        <v>94</v>
      </c>
      <c r="B95" s="30" t="s">
        <v>32</v>
      </c>
      <c r="C95" s="30" t="s">
        <v>226</v>
      </c>
      <c r="D95" s="31">
        <v>762</v>
      </c>
      <c r="E95" s="32" t="str">
        <f t="shared" si="15"/>
        <v>→</v>
      </c>
      <c r="F95" s="33" t="s">
        <v>231</v>
      </c>
      <c r="G95" s="34" t="s">
        <v>232</v>
      </c>
      <c r="H95" s="35"/>
      <c r="I95" s="44"/>
      <c r="AE95" s="11" t="str">
        <f t="shared" si="14"/>
        <v/>
      </c>
    </row>
    <row r="96" spans="1:31" s="11" customFormat="1" ht="15.75">
      <c r="A96" s="30">
        <f t="shared" si="10"/>
        <v>95</v>
      </c>
      <c r="B96" s="30" t="s">
        <v>32</v>
      </c>
      <c r="C96" s="30" t="s">
        <v>226</v>
      </c>
      <c r="D96" s="31">
        <v>763</v>
      </c>
      <c r="E96" s="32" t="str">
        <f t="shared" si="15"/>
        <v>→</v>
      </c>
      <c r="F96" s="33" t="s">
        <v>233</v>
      </c>
      <c r="G96" s="34" t="s">
        <v>234</v>
      </c>
      <c r="H96" s="35"/>
      <c r="I96" s="44"/>
      <c r="AE96" s="11" t="str">
        <f t="shared" si="14"/>
        <v/>
      </c>
    </row>
    <row r="97" spans="1:31" s="11" customFormat="1" ht="15.75">
      <c r="A97" s="30">
        <f t="shared" si="10"/>
        <v>96</v>
      </c>
      <c r="B97" s="30" t="s">
        <v>32</v>
      </c>
      <c r="C97" s="30" t="s">
        <v>235</v>
      </c>
      <c r="D97" s="31">
        <v>770</v>
      </c>
      <c r="E97" s="32" t="str">
        <f t="shared" si="15"/>
        <v>→</v>
      </c>
      <c r="F97" s="33" t="s">
        <v>236</v>
      </c>
      <c r="G97" s="34" t="s">
        <v>237</v>
      </c>
      <c r="H97" s="35"/>
      <c r="I97" s="44"/>
      <c r="AE97" s="11" t="str">
        <f t="shared" si="14"/>
        <v/>
      </c>
    </row>
    <row r="98" spans="1:31" s="11" customFormat="1" ht="15.75">
      <c r="A98" s="30">
        <f t="shared" si="10"/>
        <v>97</v>
      </c>
      <c r="B98" s="30" t="s">
        <v>32</v>
      </c>
      <c r="C98" s="30" t="s">
        <v>235</v>
      </c>
      <c r="D98" s="31">
        <v>771</v>
      </c>
      <c r="E98" s="32" t="str">
        <f t="shared" si="15"/>
        <v>→</v>
      </c>
      <c r="F98" s="33" t="s">
        <v>238</v>
      </c>
      <c r="G98" s="34" t="s">
        <v>239</v>
      </c>
      <c r="H98" s="35"/>
      <c r="I98" s="44"/>
      <c r="AE98" s="11" t="str">
        <f t="shared" si="14"/>
        <v/>
      </c>
    </row>
    <row r="99" spans="1:31" s="11" customFormat="1" ht="15.75">
      <c r="A99" s="30">
        <f t="shared" si="10"/>
        <v>98</v>
      </c>
      <c r="B99" s="30" t="s">
        <v>32</v>
      </c>
      <c r="C99" s="30" t="s">
        <v>235</v>
      </c>
      <c r="D99" s="31">
        <v>772</v>
      </c>
      <c r="E99" s="32" t="str">
        <f t="shared" si="15"/>
        <v>→</v>
      </c>
      <c r="F99" s="33" t="s">
        <v>240</v>
      </c>
      <c r="G99" s="34" t="s">
        <v>241</v>
      </c>
      <c r="H99" s="35"/>
      <c r="I99" s="44"/>
      <c r="AE99" s="11" t="str">
        <f t="shared" si="14"/>
        <v/>
      </c>
    </row>
    <row r="100" spans="1:31" s="11" customFormat="1" ht="15.75">
      <c r="A100" s="30">
        <f t="shared" si="10"/>
        <v>99</v>
      </c>
      <c r="B100" s="30" t="s">
        <v>32</v>
      </c>
      <c r="C100" s="30" t="s">
        <v>242</v>
      </c>
      <c r="D100" s="31">
        <v>790</v>
      </c>
      <c r="E100" s="32" t="str">
        <f>HYPERLINK("#"&amp;D100&amp;"!A1","→")</f>
        <v>→</v>
      </c>
      <c r="F100" s="33" t="s">
        <v>243</v>
      </c>
      <c r="G100" s="34" t="s">
        <v>244</v>
      </c>
      <c r="H100" s="35"/>
      <c r="I100" s="44"/>
      <c r="AE100" s="11" t="str">
        <f t="shared" si="14"/>
        <v/>
      </c>
    </row>
    <row r="101" spans="1:31" s="11" customFormat="1" ht="15.75">
      <c r="A101" s="30">
        <f t="shared" si="10"/>
        <v>100</v>
      </c>
      <c r="B101" s="30" t="s">
        <v>32</v>
      </c>
      <c r="C101" s="30" t="s">
        <v>242</v>
      </c>
      <c r="D101" s="31">
        <v>791</v>
      </c>
      <c r="E101" s="32" t="str">
        <f>HYPERLINK("#"&amp;D101&amp;"!A1","→")</f>
        <v>→</v>
      </c>
      <c r="F101" s="33" t="s">
        <v>245</v>
      </c>
      <c r="G101" s="34" t="s">
        <v>246</v>
      </c>
      <c r="H101" s="35"/>
      <c r="I101" s="44"/>
      <c r="AE101" s="11" t="str">
        <f t="shared" si="14"/>
        <v/>
      </c>
    </row>
    <row r="102" spans="1:31" s="11" customFormat="1" ht="15.75">
      <c r="A102" s="30">
        <f t="shared" si="10"/>
        <v>101</v>
      </c>
      <c r="B102" s="30" t="s">
        <v>32</v>
      </c>
      <c r="C102" s="30" t="s">
        <v>242</v>
      </c>
      <c r="D102" s="31">
        <v>792</v>
      </c>
      <c r="E102" s="32" t="str">
        <f>HYPERLINK("#"&amp;D102&amp;"!A1","→")</f>
        <v>→</v>
      </c>
      <c r="F102" s="33" t="s">
        <v>247</v>
      </c>
      <c r="G102" s="34" t="s">
        <v>248</v>
      </c>
      <c r="H102" s="35"/>
      <c r="I102" s="44"/>
      <c r="AE102" s="11" t="str">
        <f t="shared" si="14"/>
        <v/>
      </c>
    </row>
    <row r="103" spans="1:31" s="11" customFormat="1" ht="15.75">
      <c r="A103" s="30">
        <f t="shared" si="10"/>
        <v>102</v>
      </c>
      <c r="B103" s="30" t="s">
        <v>32</v>
      </c>
      <c r="C103" s="30" t="s">
        <v>242</v>
      </c>
      <c r="D103" s="31">
        <v>793</v>
      </c>
      <c r="E103" s="32" t="str">
        <f>HYPERLINK("#"&amp;D103&amp;"!A1","→")</f>
        <v>→</v>
      </c>
      <c r="F103" s="33" t="s">
        <v>249</v>
      </c>
      <c r="G103" s="34" t="s">
        <v>250</v>
      </c>
      <c r="H103" s="35"/>
      <c r="I103" s="44"/>
      <c r="AE103" s="11" t="str">
        <f t="shared" si="14"/>
        <v/>
      </c>
    </row>
    <row r="104" spans="1:31" s="11" customFormat="1" ht="15.75">
      <c r="A104" s="30">
        <f t="shared" si="10"/>
        <v>103</v>
      </c>
      <c r="B104" s="30" t="s">
        <v>32</v>
      </c>
      <c r="C104" s="30" t="s">
        <v>242</v>
      </c>
      <c r="D104" s="31">
        <v>794</v>
      </c>
      <c r="E104" s="32" t="str">
        <f>HYPERLINK("#"&amp;D104&amp;"!A1","→")</f>
        <v>→</v>
      </c>
      <c r="F104" s="33" t="s">
        <v>251</v>
      </c>
      <c r="G104" s="34" t="s">
        <v>252</v>
      </c>
      <c r="H104" s="35"/>
      <c r="I104" s="44"/>
      <c r="AE104" s="11" t="str">
        <f t="shared" si="14"/>
        <v/>
      </c>
    </row>
    <row r="105" spans="1:31" s="11" customFormat="1" ht="15.75">
      <c r="A105" s="30">
        <f t="shared" si="10"/>
        <v>104</v>
      </c>
      <c r="B105" s="30" t="s">
        <v>32</v>
      </c>
      <c r="C105" s="30" t="s">
        <v>253</v>
      </c>
      <c r="D105" s="31">
        <v>810</v>
      </c>
      <c r="E105" s="32" t="str">
        <f t="shared" ref="E105:E111" si="16">HYPERLINK("#"&amp;D105&amp;"!A1","→")</f>
        <v>→</v>
      </c>
      <c r="F105" s="33" t="s">
        <v>254</v>
      </c>
      <c r="G105" s="34" t="s">
        <v>255</v>
      </c>
      <c r="H105" s="35"/>
      <c r="I105" s="44"/>
    </row>
    <row r="106" spans="1:31" s="11" customFormat="1" ht="15.75">
      <c r="A106" s="30">
        <f t="shared" si="10"/>
        <v>105</v>
      </c>
      <c r="B106" s="30" t="s">
        <v>32</v>
      </c>
      <c r="C106" s="30" t="s">
        <v>253</v>
      </c>
      <c r="D106" s="31">
        <v>811</v>
      </c>
      <c r="E106" s="32" t="str">
        <f t="shared" si="16"/>
        <v>→</v>
      </c>
      <c r="F106" s="33" t="s">
        <v>256</v>
      </c>
      <c r="G106" s="34" t="s">
        <v>257</v>
      </c>
      <c r="H106" s="35"/>
      <c r="I106" s="44"/>
    </row>
    <row r="107" spans="1:31" s="11" customFormat="1" ht="15.75">
      <c r="A107" s="30">
        <f t="shared" si="10"/>
        <v>106</v>
      </c>
      <c r="B107" s="30" t="s">
        <v>32</v>
      </c>
      <c r="C107" s="30" t="s">
        <v>253</v>
      </c>
      <c r="D107" s="31">
        <v>812</v>
      </c>
      <c r="E107" s="32" t="str">
        <f t="shared" si="16"/>
        <v>→</v>
      </c>
      <c r="F107" s="33" t="s">
        <v>258</v>
      </c>
      <c r="G107" s="34" t="s">
        <v>259</v>
      </c>
      <c r="H107" s="35"/>
      <c r="I107" s="44"/>
    </row>
    <row r="108" spans="1:31" s="11" customFormat="1" ht="15.75">
      <c r="A108" s="30">
        <f t="shared" si="10"/>
        <v>107</v>
      </c>
      <c r="B108" s="30" t="s">
        <v>32</v>
      </c>
      <c r="C108" s="30" t="s">
        <v>253</v>
      </c>
      <c r="D108" s="31">
        <v>813</v>
      </c>
      <c r="E108" s="32" t="str">
        <f t="shared" si="16"/>
        <v>→</v>
      </c>
      <c r="F108" s="33" t="s">
        <v>260</v>
      </c>
      <c r="G108" s="34" t="s">
        <v>261</v>
      </c>
      <c r="H108" s="35"/>
      <c r="I108" s="44"/>
    </row>
    <row r="109" spans="1:31" s="11" customFormat="1" ht="15.75">
      <c r="A109" s="30">
        <f t="shared" si="10"/>
        <v>108</v>
      </c>
      <c r="B109" s="30" t="s">
        <v>32</v>
      </c>
      <c r="C109" s="30" t="s">
        <v>253</v>
      </c>
      <c r="D109" s="31">
        <v>814</v>
      </c>
      <c r="E109" s="32" t="str">
        <f t="shared" si="16"/>
        <v>→</v>
      </c>
      <c r="F109" s="33" t="s">
        <v>262</v>
      </c>
      <c r="G109" s="34" t="s">
        <v>263</v>
      </c>
      <c r="H109" s="35"/>
      <c r="I109" s="44"/>
    </row>
    <row r="110" spans="1:31" s="55" customFormat="1" ht="15.75">
      <c r="A110" s="198">
        <f t="shared" si="10"/>
        <v>109</v>
      </c>
      <c r="B110" s="198" t="s">
        <v>32</v>
      </c>
      <c r="C110" s="198" t="s">
        <v>253</v>
      </c>
      <c r="D110" s="199">
        <v>815</v>
      </c>
      <c r="E110" s="200" t="str">
        <f t="shared" si="16"/>
        <v>→</v>
      </c>
      <c r="F110" s="230" t="s">
        <v>264</v>
      </c>
      <c r="G110" s="231" t="s">
        <v>265</v>
      </c>
      <c r="H110" s="201"/>
      <c r="I110" s="202"/>
    </row>
    <row r="111" spans="1:31" s="11" customFormat="1" ht="15.75">
      <c r="A111" s="30">
        <f t="shared" si="10"/>
        <v>110</v>
      </c>
      <c r="B111" s="30" t="s">
        <v>32</v>
      </c>
      <c r="C111" s="30" t="s">
        <v>253</v>
      </c>
      <c r="D111" s="31">
        <v>816</v>
      </c>
      <c r="E111" s="32" t="str">
        <f t="shared" si="16"/>
        <v>→</v>
      </c>
      <c r="F111" s="33" t="s">
        <v>266</v>
      </c>
      <c r="G111" s="34" t="s">
        <v>267</v>
      </c>
      <c r="H111" s="35"/>
      <c r="I111" s="44"/>
    </row>
    <row r="112" spans="1:31" s="11" customFormat="1" ht="15.75">
      <c r="A112" s="30">
        <f t="shared" si="10"/>
        <v>111</v>
      </c>
      <c r="B112" s="30" t="s">
        <v>32</v>
      </c>
      <c r="C112" s="30" t="s">
        <v>268</v>
      </c>
      <c r="D112" s="31">
        <v>900</v>
      </c>
      <c r="E112" s="32" t="str">
        <f>HYPERLINK("#"&amp;D112&amp;"!A1","→")</f>
        <v>→</v>
      </c>
      <c r="F112" s="33" t="s">
        <v>269</v>
      </c>
      <c r="G112" s="34" t="s">
        <v>270</v>
      </c>
      <c r="H112" s="35"/>
      <c r="I112" s="44"/>
    </row>
    <row r="113" spans="1:31" s="11" customFormat="1" ht="15.75">
      <c r="A113" s="30">
        <f t="shared" si="10"/>
        <v>112</v>
      </c>
      <c r="B113" s="30" t="s">
        <v>32</v>
      </c>
      <c r="C113" s="30" t="s">
        <v>268</v>
      </c>
      <c r="D113" s="31">
        <v>901</v>
      </c>
      <c r="E113" s="32" t="str">
        <f>HYPERLINK("#"&amp;D113&amp;"!A1","→")</f>
        <v>→</v>
      </c>
      <c r="F113" s="33" t="s">
        <v>271</v>
      </c>
      <c r="G113" s="34" t="s">
        <v>272</v>
      </c>
      <c r="H113" s="35"/>
      <c r="I113" s="44"/>
    </row>
    <row r="114" spans="1:31" s="55" customFormat="1" ht="15.75">
      <c r="A114" s="30">
        <f t="shared" si="10"/>
        <v>113</v>
      </c>
      <c r="B114" s="30" t="s">
        <v>32</v>
      </c>
      <c r="C114" s="30" t="s">
        <v>268</v>
      </c>
      <c r="D114" s="31">
        <v>902</v>
      </c>
      <c r="E114" s="32" t="str">
        <f>HYPERLINK("#"&amp;D114&amp;"!A1","→")</f>
        <v>→</v>
      </c>
      <c r="F114" s="33" t="s">
        <v>273</v>
      </c>
      <c r="G114" s="34" t="s">
        <v>274</v>
      </c>
      <c r="H114" s="35"/>
      <c r="I114" s="44"/>
    </row>
    <row r="115" spans="1:31" ht="16.5">
      <c r="A115" s="40"/>
      <c r="B115" s="40"/>
      <c r="C115" s="40"/>
      <c r="D115" s="41"/>
      <c r="E115" s="41"/>
      <c r="F115" s="139"/>
      <c r="G115" s="40"/>
      <c r="H115" s="40"/>
      <c r="I115" s="41"/>
      <c r="AE115" s="12" t="str">
        <f t="shared" ref="AE115:AE146" si="17">IF($L115="Y","INSERT INTO `sys_table_relation` (`TABLE_NAME`, `CHILD_TABLE_NAME`, `SQL_QUERY`, `ERROR_DESC` ,`ERROR_DESC_JSON`) VALUES ('" &amp;$J115 &amp; "', '" &amp; $AB115 &amp; "', '" &amp; "select count(*) from "&amp; $AB115 &amp;" where " &amp; IF(COUNTIF(D:D,"IS_DESTROYED"),"IS_DESTROYED=0 and ","") &amp;   $D115 &amp; "={pid}" &amp; "', " &amp; "'【"&amp; $AC115 &amp;"】已使用此筆資料，故不可刪除!!'" &amp; ",'" &amp; SUBSTITUTE("{'zh_TW': '" &amp;  "【"&amp; $AC115 &amp;"】已使用此筆資料，不可刪除!!"  &amp; "' ,'en_US': '" &amp;  "Have used this information, it can not be deleted !!" &amp; "'  ,'zh_CN': '" &amp; "【"&amp; $AC115 &amp;"】已使用此筆資料，不可刪除!!" &amp; "' }", CHAR(39),CHAR(34))   &amp; "');","")</f>
        <v/>
      </c>
    </row>
    <row r="116" spans="1:31">
      <c r="A116" s="40"/>
      <c r="B116" s="40"/>
      <c r="C116" s="40"/>
      <c r="D116" s="41"/>
      <c r="E116" s="41"/>
      <c r="F116" s="40"/>
      <c r="G116" s="40"/>
      <c r="H116" s="40"/>
      <c r="I116" s="41"/>
      <c r="AE116" s="12" t="str">
        <f t="shared" si="17"/>
        <v/>
      </c>
    </row>
    <row r="117" spans="1:31">
      <c r="A117" s="40"/>
      <c r="B117" s="40"/>
      <c r="C117" s="40"/>
      <c r="D117" s="41"/>
      <c r="E117" s="41"/>
      <c r="F117" s="40"/>
      <c r="G117" s="40"/>
      <c r="H117" s="40"/>
      <c r="I117" s="41"/>
      <c r="AE117" s="12" t="str">
        <f t="shared" si="17"/>
        <v/>
      </c>
    </row>
    <row r="118" spans="1:31">
      <c r="A118" s="40"/>
      <c r="B118" s="40"/>
      <c r="C118" s="40"/>
      <c r="D118" s="41"/>
      <c r="E118" s="41"/>
      <c r="F118" s="40"/>
      <c r="G118" s="40"/>
      <c r="H118" s="40"/>
      <c r="I118" s="41"/>
      <c r="AE118" s="12" t="str">
        <f t="shared" si="17"/>
        <v/>
      </c>
    </row>
    <row r="119" spans="1:31">
      <c r="A119" s="40"/>
      <c r="B119" s="40"/>
      <c r="C119" s="40"/>
      <c r="D119" s="41"/>
      <c r="E119" s="41"/>
      <c r="F119" s="40"/>
      <c r="G119" s="40"/>
      <c r="H119" s="40"/>
      <c r="I119" s="41"/>
      <c r="AE119" s="12" t="str">
        <f t="shared" si="17"/>
        <v/>
      </c>
    </row>
    <row r="120" spans="1:31">
      <c r="A120" s="40"/>
      <c r="B120" s="40"/>
      <c r="C120" s="40"/>
      <c r="D120" s="41"/>
      <c r="E120" s="41"/>
      <c r="F120" s="40"/>
      <c r="G120" s="40"/>
      <c r="H120" s="40"/>
      <c r="I120" s="41"/>
      <c r="AE120" s="12" t="str">
        <f t="shared" si="17"/>
        <v/>
      </c>
    </row>
    <row r="121" spans="1:31">
      <c r="A121" s="40"/>
      <c r="B121" s="40"/>
      <c r="C121" s="40"/>
      <c r="D121" s="41"/>
      <c r="E121" s="41"/>
      <c r="F121" s="40"/>
      <c r="G121" s="40"/>
      <c r="H121" s="40"/>
      <c r="I121" s="41"/>
      <c r="AE121" s="12" t="str">
        <f t="shared" si="17"/>
        <v/>
      </c>
    </row>
    <row r="122" spans="1:31">
      <c r="A122" s="40"/>
      <c r="B122" s="40"/>
      <c r="C122" s="40"/>
      <c r="D122" s="41"/>
      <c r="E122" s="41"/>
      <c r="F122" s="40"/>
      <c r="G122" s="40"/>
      <c r="H122" s="40"/>
      <c r="I122" s="41"/>
      <c r="AE122" s="12" t="str">
        <f t="shared" si="17"/>
        <v/>
      </c>
    </row>
    <row r="123" spans="1:31">
      <c r="A123" s="40"/>
      <c r="B123" s="40"/>
      <c r="C123" s="40"/>
      <c r="D123" s="41"/>
      <c r="E123" s="41"/>
      <c r="F123" s="40"/>
      <c r="G123" s="40"/>
      <c r="H123" s="40"/>
      <c r="I123" s="41"/>
      <c r="AE123" s="12" t="str">
        <f t="shared" si="17"/>
        <v/>
      </c>
    </row>
    <row r="124" spans="1:31">
      <c r="A124" s="40"/>
      <c r="B124" s="40"/>
      <c r="C124" s="40"/>
      <c r="D124" s="41"/>
      <c r="E124" s="41"/>
      <c r="F124" s="40"/>
      <c r="G124" s="40"/>
      <c r="H124" s="40"/>
      <c r="I124" s="41"/>
      <c r="AE124" s="12" t="str">
        <f t="shared" si="17"/>
        <v/>
      </c>
    </row>
    <row r="125" spans="1:31">
      <c r="A125" s="40"/>
      <c r="B125" s="40"/>
      <c r="C125" s="40"/>
      <c r="D125" s="41"/>
      <c r="E125" s="41"/>
      <c r="F125" s="40"/>
      <c r="G125" s="40"/>
      <c r="H125" s="40"/>
      <c r="I125" s="41"/>
      <c r="AE125" s="12" t="str">
        <f t="shared" si="17"/>
        <v/>
      </c>
    </row>
    <row r="126" spans="1:31">
      <c r="A126" s="40"/>
      <c r="B126" s="40"/>
      <c r="C126" s="40"/>
      <c r="D126" s="41"/>
      <c r="E126" s="41"/>
      <c r="F126" s="40"/>
      <c r="G126" s="40"/>
      <c r="H126" s="40"/>
      <c r="I126" s="41"/>
      <c r="AE126" s="12" t="str">
        <f t="shared" si="17"/>
        <v/>
      </c>
    </row>
    <row r="127" spans="1:31">
      <c r="A127" s="40"/>
      <c r="B127" s="40"/>
      <c r="C127" s="40"/>
      <c r="D127" s="41"/>
      <c r="E127" s="41"/>
      <c r="F127" s="40"/>
      <c r="G127" s="40"/>
      <c r="H127" s="40"/>
      <c r="I127" s="41"/>
      <c r="AE127" s="12" t="str">
        <f t="shared" si="17"/>
        <v/>
      </c>
    </row>
    <row r="128" spans="1:31">
      <c r="A128" s="40"/>
      <c r="B128" s="40"/>
      <c r="C128" s="40"/>
      <c r="D128" s="41"/>
      <c r="E128" s="41"/>
      <c r="F128" s="40"/>
      <c r="G128" s="40"/>
      <c r="H128" s="40"/>
      <c r="I128" s="41"/>
      <c r="AE128" s="12" t="str">
        <f t="shared" si="17"/>
        <v/>
      </c>
    </row>
    <row r="129" spans="1:31">
      <c r="A129" s="40"/>
      <c r="B129" s="40"/>
      <c r="C129" s="40"/>
      <c r="D129" s="41"/>
      <c r="E129" s="41"/>
      <c r="F129" s="40"/>
      <c r="G129" s="40"/>
      <c r="H129" s="40"/>
      <c r="I129" s="41"/>
      <c r="AE129" s="12" t="str">
        <f t="shared" si="17"/>
        <v/>
      </c>
    </row>
    <row r="130" spans="1:31">
      <c r="A130" s="40"/>
      <c r="B130" s="40"/>
      <c r="C130" s="40"/>
      <c r="D130" s="41"/>
      <c r="E130" s="41"/>
      <c r="F130" s="40"/>
      <c r="G130" s="40"/>
      <c r="H130" s="40"/>
      <c r="I130" s="41"/>
      <c r="AE130" s="12" t="str">
        <f t="shared" si="17"/>
        <v/>
      </c>
    </row>
    <row r="131" spans="1:31">
      <c r="A131" s="40"/>
      <c r="B131" s="40"/>
      <c r="C131" s="40"/>
      <c r="D131" s="41"/>
      <c r="E131" s="41"/>
      <c r="F131" s="40"/>
      <c r="G131" s="40"/>
      <c r="H131" s="40"/>
      <c r="I131" s="41"/>
      <c r="AE131" s="12" t="str">
        <f t="shared" si="17"/>
        <v/>
      </c>
    </row>
    <row r="132" spans="1:31">
      <c r="A132" s="40"/>
      <c r="B132" s="40"/>
      <c r="C132" s="40"/>
      <c r="D132" s="41"/>
      <c r="E132" s="41"/>
      <c r="F132" s="40"/>
      <c r="G132" s="40"/>
      <c r="H132" s="40"/>
      <c r="I132" s="41"/>
      <c r="AE132" s="12" t="str">
        <f t="shared" si="17"/>
        <v/>
      </c>
    </row>
    <row r="133" spans="1:31">
      <c r="A133" s="40"/>
      <c r="B133" s="40"/>
      <c r="C133" s="40"/>
      <c r="D133" s="41"/>
      <c r="E133" s="41"/>
      <c r="F133" s="40"/>
      <c r="G133" s="40"/>
      <c r="H133" s="40"/>
      <c r="I133" s="41"/>
      <c r="AE133" s="12" t="str">
        <f t="shared" si="17"/>
        <v/>
      </c>
    </row>
    <row r="134" spans="1:31">
      <c r="A134" s="40"/>
      <c r="B134" s="40"/>
      <c r="C134" s="40"/>
      <c r="D134" s="41"/>
      <c r="E134" s="41"/>
      <c r="F134" s="40"/>
      <c r="G134" s="40"/>
      <c r="H134" s="40"/>
      <c r="I134" s="41"/>
      <c r="AE134" s="12" t="str">
        <f t="shared" si="17"/>
        <v/>
      </c>
    </row>
    <row r="135" spans="1:31">
      <c r="A135" s="40"/>
      <c r="B135" s="40"/>
      <c r="C135" s="40"/>
      <c r="D135" s="41"/>
      <c r="E135" s="41"/>
      <c r="F135" s="40"/>
      <c r="G135" s="40"/>
      <c r="H135" s="40"/>
      <c r="I135" s="41"/>
      <c r="AE135" s="12" t="str">
        <f t="shared" si="17"/>
        <v/>
      </c>
    </row>
    <row r="136" spans="1:31">
      <c r="A136" s="40"/>
      <c r="B136" s="40"/>
      <c r="C136" s="40"/>
      <c r="D136" s="41"/>
      <c r="E136" s="41"/>
      <c r="F136" s="40"/>
      <c r="G136" s="40"/>
      <c r="H136" s="40"/>
      <c r="I136" s="41"/>
      <c r="AE136" s="12" t="str">
        <f t="shared" si="17"/>
        <v/>
      </c>
    </row>
    <row r="137" spans="1:31">
      <c r="A137" s="40"/>
      <c r="B137" s="40"/>
      <c r="C137" s="40"/>
      <c r="D137" s="41"/>
      <c r="E137" s="41"/>
      <c r="F137" s="40"/>
      <c r="G137" s="40"/>
      <c r="H137" s="40"/>
      <c r="I137" s="41"/>
      <c r="AE137" s="12" t="str">
        <f t="shared" si="17"/>
        <v/>
      </c>
    </row>
    <row r="138" spans="1:31">
      <c r="A138" s="40"/>
      <c r="B138" s="40"/>
      <c r="C138" s="40"/>
      <c r="D138" s="41"/>
      <c r="E138" s="41"/>
      <c r="F138" s="40"/>
      <c r="G138" s="40"/>
      <c r="H138" s="40"/>
      <c r="I138" s="41"/>
      <c r="AE138" s="12" t="str">
        <f t="shared" si="17"/>
        <v/>
      </c>
    </row>
    <row r="139" spans="1:31">
      <c r="A139" s="40"/>
      <c r="B139" s="40"/>
      <c r="C139" s="40"/>
      <c r="D139" s="41"/>
      <c r="E139" s="41"/>
      <c r="F139" s="40"/>
      <c r="G139" s="40"/>
      <c r="H139" s="40"/>
      <c r="I139" s="41"/>
      <c r="AE139" s="12" t="str">
        <f t="shared" si="17"/>
        <v/>
      </c>
    </row>
    <row r="140" spans="1:31">
      <c r="A140" s="40"/>
      <c r="B140" s="40"/>
      <c r="C140" s="40"/>
      <c r="D140" s="41"/>
      <c r="E140" s="41"/>
      <c r="F140" s="40"/>
      <c r="G140" s="40"/>
      <c r="H140" s="40"/>
      <c r="I140" s="41"/>
      <c r="AE140" s="12" t="str">
        <f t="shared" si="17"/>
        <v/>
      </c>
    </row>
    <row r="141" spans="1:31">
      <c r="A141" s="40"/>
      <c r="B141" s="40"/>
      <c r="C141" s="40"/>
      <c r="D141" s="41"/>
      <c r="E141" s="41"/>
      <c r="F141" s="40"/>
      <c r="G141" s="40"/>
      <c r="H141" s="40"/>
      <c r="I141" s="41"/>
      <c r="AE141" s="12" t="str">
        <f t="shared" si="17"/>
        <v/>
      </c>
    </row>
    <row r="142" spans="1:31">
      <c r="A142" s="40"/>
      <c r="B142" s="40"/>
      <c r="C142" s="40"/>
      <c r="D142" s="41"/>
      <c r="E142" s="41"/>
      <c r="F142" s="40"/>
      <c r="G142" s="40"/>
      <c r="H142" s="40"/>
      <c r="I142" s="41"/>
      <c r="AE142" s="12" t="str">
        <f t="shared" si="17"/>
        <v/>
      </c>
    </row>
    <row r="143" spans="1:31">
      <c r="A143" s="40"/>
      <c r="B143" s="40"/>
      <c r="C143" s="40"/>
      <c r="D143" s="41"/>
      <c r="E143" s="41"/>
      <c r="F143" s="40"/>
      <c r="G143" s="40"/>
      <c r="H143" s="40"/>
      <c r="I143" s="41"/>
      <c r="AE143" s="12" t="str">
        <f t="shared" si="17"/>
        <v/>
      </c>
    </row>
    <row r="144" spans="1:31">
      <c r="A144" s="40"/>
      <c r="B144" s="40"/>
      <c r="C144" s="40"/>
      <c r="D144" s="41"/>
      <c r="E144" s="41"/>
      <c r="F144" s="40"/>
      <c r="G144" s="40"/>
      <c r="H144" s="40"/>
      <c r="I144" s="41"/>
      <c r="AE144" s="12" t="str">
        <f t="shared" si="17"/>
        <v/>
      </c>
    </row>
    <row r="145" spans="1:31">
      <c r="A145" s="40"/>
      <c r="B145" s="40"/>
      <c r="C145" s="40"/>
      <c r="D145" s="41"/>
      <c r="E145" s="41"/>
      <c r="F145" s="40"/>
      <c r="G145" s="40"/>
      <c r="H145" s="40"/>
      <c r="I145" s="41"/>
      <c r="AE145" s="12" t="str">
        <f t="shared" si="17"/>
        <v/>
      </c>
    </row>
    <row r="146" spans="1:31">
      <c r="A146" s="40"/>
      <c r="B146" s="40"/>
      <c r="C146" s="40"/>
      <c r="D146" s="41"/>
      <c r="E146" s="41"/>
      <c r="F146" s="40"/>
      <c r="G146" s="40"/>
      <c r="H146" s="40"/>
      <c r="I146" s="41"/>
      <c r="AE146" s="12" t="str">
        <f t="shared" si="17"/>
        <v/>
      </c>
    </row>
    <row r="147" spans="1:31">
      <c r="A147" s="40"/>
      <c r="B147" s="40"/>
      <c r="C147" s="40"/>
      <c r="D147" s="41"/>
      <c r="E147" s="41"/>
      <c r="F147" s="40"/>
      <c r="G147" s="40"/>
      <c r="H147" s="40"/>
      <c r="I147" s="41"/>
      <c r="AE147" s="12" t="str">
        <f t="shared" ref="AE147:AE178" si="18">IF($L147="Y","INSERT INTO `sys_table_relation` (`TABLE_NAME`, `CHILD_TABLE_NAME`, `SQL_QUERY`, `ERROR_DESC` ,`ERROR_DESC_JSON`) VALUES ('" &amp;$J147 &amp; "', '" &amp; $AB147 &amp; "', '" &amp; "select count(*) from "&amp; $AB147 &amp;" where " &amp; IF(COUNTIF(D:D,"IS_DESTROYED"),"IS_DESTROYED=0 and ","") &amp;   $D147 &amp; "={pid}" &amp; "', " &amp; "'【"&amp; $AC147 &amp;"】已使用此筆資料，故不可刪除!!'" &amp; ",'" &amp; SUBSTITUTE("{'zh_TW': '" &amp;  "【"&amp; $AC147 &amp;"】已使用此筆資料，不可刪除!!"  &amp; "' ,'en_US': '" &amp;  "Have used this information, it can not be deleted !!" &amp; "'  ,'zh_CN': '" &amp; "【"&amp; $AC147 &amp;"】已使用此筆資料，不可刪除!!" &amp; "' }", CHAR(39),CHAR(34))   &amp; "');","")</f>
        <v/>
      </c>
    </row>
    <row r="148" spans="1:31">
      <c r="A148" s="40"/>
      <c r="B148" s="40"/>
      <c r="C148" s="40"/>
      <c r="D148" s="41"/>
      <c r="E148" s="41"/>
      <c r="F148" s="40"/>
      <c r="G148" s="40"/>
      <c r="H148" s="40"/>
      <c r="I148" s="41"/>
      <c r="AE148" s="12" t="str">
        <f t="shared" si="18"/>
        <v/>
      </c>
    </row>
    <row r="149" spans="1:31">
      <c r="A149" s="40"/>
      <c r="B149" s="40"/>
      <c r="C149" s="40"/>
      <c r="D149" s="41"/>
      <c r="E149" s="41"/>
      <c r="F149" s="40"/>
      <c r="G149" s="40"/>
      <c r="H149" s="40"/>
      <c r="I149" s="41"/>
      <c r="AE149" s="12" t="str">
        <f t="shared" si="18"/>
        <v/>
      </c>
    </row>
    <row r="150" spans="1:31">
      <c r="A150" s="40"/>
      <c r="B150" s="40"/>
      <c r="C150" s="40"/>
      <c r="D150" s="41"/>
      <c r="E150" s="41"/>
      <c r="F150" s="40"/>
      <c r="G150" s="40"/>
      <c r="H150" s="40"/>
      <c r="I150" s="41"/>
      <c r="AE150" s="12" t="str">
        <f t="shared" si="18"/>
        <v/>
      </c>
    </row>
    <row r="151" spans="1:31">
      <c r="A151" s="40"/>
      <c r="B151" s="40"/>
      <c r="C151" s="40"/>
      <c r="D151" s="41"/>
      <c r="E151" s="41"/>
      <c r="F151" s="40"/>
      <c r="G151" s="40"/>
      <c r="H151" s="40"/>
      <c r="I151" s="41"/>
      <c r="AE151" s="12" t="str">
        <f t="shared" si="18"/>
        <v/>
      </c>
    </row>
    <row r="152" spans="1:31">
      <c r="A152" s="40"/>
      <c r="B152" s="40"/>
      <c r="C152" s="40"/>
      <c r="D152" s="41"/>
      <c r="E152" s="41"/>
      <c r="F152" s="40"/>
      <c r="G152" s="40"/>
      <c r="H152" s="40"/>
      <c r="I152" s="41"/>
      <c r="AE152" s="12" t="str">
        <f t="shared" si="18"/>
        <v/>
      </c>
    </row>
    <row r="153" spans="1:31">
      <c r="A153" s="40"/>
      <c r="B153" s="40"/>
      <c r="C153" s="40"/>
      <c r="D153" s="41"/>
      <c r="E153" s="41"/>
      <c r="F153" s="40"/>
      <c r="G153" s="40"/>
      <c r="H153" s="40"/>
      <c r="I153" s="41"/>
      <c r="AE153" s="12" t="str">
        <f t="shared" si="18"/>
        <v/>
      </c>
    </row>
    <row r="154" spans="1:31">
      <c r="A154" s="40"/>
      <c r="B154" s="40"/>
      <c r="C154" s="40"/>
      <c r="D154" s="41"/>
      <c r="E154" s="41"/>
      <c r="F154" s="40"/>
      <c r="G154" s="40"/>
      <c r="H154" s="40"/>
      <c r="I154" s="41"/>
      <c r="AE154" s="12" t="str">
        <f t="shared" si="18"/>
        <v/>
      </c>
    </row>
    <row r="155" spans="1:31">
      <c r="A155" s="40"/>
      <c r="B155" s="40"/>
      <c r="C155" s="40"/>
      <c r="D155" s="41"/>
      <c r="E155" s="41"/>
      <c r="F155" s="40"/>
      <c r="G155" s="40"/>
      <c r="H155" s="40"/>
      <c r="I155" s="41"/>
      <c r="AE155" s="12" t="str">
        <f t="shared" si="18"/>
        <v/>
      </c>
    </row>
    <row r="156" spans="1:31">
      <c r="A156" s="40"/>
      <c r="B156" s="40"/>
      <c r="C156" s="40"/>
      <c r="D156" s="41"/>
      <c r="E156" s="41"/>
      <c r="F156" s="40"/>
      <c r="G156" s="40"/>
      <c r="H156" s="40"/>
      <c r="I156" s="41"/>
      <c r="AE156" s="12" t="str">
        <f t="shared" si="18"/>
        <v/>
      </c>
    </row>
    <row r="157" spans="1:31">
      <c r="A157" s="40"/>
      <c r="B157" s="40"/>
      <c r="C157" s="40"/>
      <c r="D157" s="41"/>
      <c r="E157" s="41"/>
      <c r="F157" s="40"/>
      <c r="G157" s="40"/>
      <c r="H157" s="40"/>
      <c r="I157" s="41"/>
      <c r="AE157" s="12" t="str">
        <f t="shared" si="18"/>
        <v/>
      </c>
    </row>
    <row r="158" spans="1:31">
      <c r="A158" s="40"/>
      <c r="B158" s="40"/>
      <c r="C158" s="40"/>
      <c r="D158" s="41"/>
      <c r="E158" s="41"/>
      <c r="F158" s="40"/>
      <c r="G158" s="40"/>
      <c r="H158" s="40"/>
      <c r="I158" s="41"/>
      <c r="AE158" s="12" t="str">
        <f t="shared" si="18"/>
        <v/>
      </c>
    </row>
    <row r="159" spans="1:31">
      <c r="A159" s="40"/>
      <c r="B159" s="40"/>
      <c r="C159" s="40"/>
      <c r="D159" s="41"/>
      <c r="E159" s="41"/>
      <c r="F159" s="40"/>
      <c r="G159" s="40"/>
      <c r="H159" s="40"/>
      <c r="I159" s="41"/>
      <c r="AE159" s="12" t="str">
        <f t="shared" si="18"/>
        <v/>
      </c>
    </row>
    <row r="160" spans="1:31">
      <c r="A160" s="40"/>
      <c r="B160" s="40"/>
      <c r="C160" s="40"/>
      <c r="D160" s="41"/>
      <c r="E160" s="41"/>
      <c r="F160" s="40"/>
      <c r="G160" s="40"/>
      <c r="H160" s="40"/>
      <c r="I160" s="41"/>
      <c r="AE160" s="12" t="str">
        <f t="shared" si="18"/>
        <v/>
      </c>
    </row>
    <row r="161" spans="1:31">
      <c r="A161" s="40"/>
      <c r="B161" s="40"/>
      <c r="C161" s="40"/>
      <c r="D161" s="41"/>
      <c r="E161" s="41"/>
      <c r="F161" s="40"/>
      <c r="G161" s="40"/>
      <c r="H161" s="40"/>
      <c r="I161" s="41"/>
      <c r="AE161" s="12" t="str">
        <f t="shared" si="18"/>
        <v/>
      </c>
    </row>
    <row r="162" spans="1:31">
      <c r="A162" s="40"/>
      <c r="B162" s="40"/>
      <c r="C162" s="40"/>
      <c r="D162" s="41"/>
      <c r="E162" s="41"/>
      <c r="F162" s="40"/>
      <c r="G162" s="40"/>
      <c r="H162" s="40"/>
      <c r="I162" s="41"/>
      <c r="AE162" s="12" t="str">
        <f t="shared" si="18"/>
        <v/>
      </c>
    </row>
    <row r="163" spans="1:31">
      <c r="A163" s="40"/>
      <c r="B163" s="40"/>
      <c r="C163" s="40"/>
      <c r="D163" s="41"/>
      <c r="E163" s="41"/>
      <c r="F163" s="40"/>
      <c r="G163" s="40"/>
      <c r="H163" s="40"/>
      <c r="I163" s="41"/>
      <c r="AE163" s="12" t="str">
        <f t="shared" si="18"/>
        <v/>
      </c>
    </row>
    <row r="164" spans="1:31">
      <c r="A164" s="40"/>
      <c r="B164" s="40"/>
      <c r="C164" s="40"/>
      <c r="D164" s="41"/>
      <c r="E164" s="41"/>
      <c r="F164" s="40"/>
      <c r="G164" s="40"/>
      <c r="H164" s="40"/>
      <c r="I164" s="41"/>
      <c r="AE164" s="12" t="str">
        <f t="shared" si="18"/>
        <v/>
      </c>
    </row>
    <row r="165" spans="1:31">
      <c r="A165" s="40"/>
      <c r="B165" s="40"/>
      <c r="C165" s="40"/>
      <c r="D165" s="41"/>
      <c r="E165" s="41"/>
      <c r="F165" s="40"/>
      <c r="G165" s="40"/>
      <c r="H165" s="40"/>
      <c r="I165" s="41"/>
      <c r="AE165" s="12" t="str">
        <f t="shared" si="18"/>
        <v/>
      </c>
    </row>
    <row r="166" spans="1:31">
      <c r="A166" s="40"/>
      <c r="B166" s="40"/>
      <c r="C166" s="40"/>
      <c r="D166" s="41"/>
      <c r="E166" s="41"/>
      <c r="F166" s="40"/>
      <c r="G166" s="40"/>
      <c r="H166" s="40"/>
      <c r="I166" s="41"/>
      <c r="AE166" s="12" t="str">
        <f t="shared" si="18"/>
        <v/>
      </c>
    </row>
    <row r="167" spans="1:31">
      <c r="A167" s="40"/>
      <c r="B167" s="40"/>
      <c r="C167" s="40"/>
      <c r="D167" s="41"/>
      <c r="E167" s="41"/>
      <c r="F167" s="40"/>
      <c r="G167" s="40"/>
      <c r="H167" s="40"/>
      <c r="I167" s="41"/>
      <c r="AE167" s="12" t="str">
        <f t="shared" si="18"/>
        <v/>
      </c>
    </row>
    <row r="168" spans="1:31">
      <c r="A168" s="40"/>
      <c r="B168" s="40"/>
      <c r="C168" s="40"/>
      <c r="D168" s="41"/>
      <c r="E168" s="41"/>
      <c r="F168" s="40"/>
      <c r="G168" s="40"/>
      <c r="H168" s="40"/>
      <c r="I168" s="41"/>
      <c r="AE168" s="12" t="str">
        <f t="shared" si="18"/>
        <v/>
      </c>
    </row>
    <row r="169" spans="1:31">
      <c r="A169" s="40"/>
      <c r="B169" s="40"/>
      <c r="C169" s="40"/>
      <c r="D169" s="41"/>
      <c r="E169" s="41"/>
      <c r="F169" s="40"/>
      <c r="G169" s="40"/>
      <c r="H169" s="40"/>
      <c r="I169" s="41"/>
      <c r="AE169" s="12" t="str">
        <f t="shared" si="18"/>
        <v/>
      </c>
    </row>
    <row r="170" spans="1:31">
      <c r="A170" s="40"/>
      <c r="B170" s="40"/>
      <c r="C170" s="40"/>
      <c r="D170" s="41"/>
      <c r="E170" s="41"/>
      <c r="F170" s="40"/>
      <c r="G170" s="40"/>
      <c r="H170" s="40"/>
      <c r="I170" s="41"/>
      <c r="AE170" s="12" t="str">
        <f t="shared" si="18"/>
        <v/>
      </c>
    </row>
    <row r="171" spans="1:31">
      <c r="A171" s="40"/>
      <c r="B171" s="40"/>
      <c r="C171" s="40"/>
      <c r="D171" s="41"/>
      <c r="E171" s="41"/>
      <c r="F171" s="40"/>
      <c r="G171" s="40"/>
      <c r="H171" s="40"/>
      <c r="I171" s="41"/>
      <c r="AE171" s="12" t="str">
        <f t="shared" si="18"/>
        <v/>
      </c>
    </row>
    <row r="172" spans="1:31">
      <c r="A172" s="40"/>
      <c r="B172" s="40"/>
      <c r="C172" s="40"/>
      <c r="D172" s="41"/>
      <c r="E172" s="41"/>
      <c r="F172" s="40"/>
      <c r="G172" s="40"/>
      <c r="H172" s="40"/>
      <c r="I172" s="41"/>
      <c r="AE172" s="12" t="str">
        <f t="shared" si="18"/>
        <v/>
      </c>
    </row>
    <row r="173" spans="1:31">
      <c r="A173" s="40"/>
      <c r="B173" s="40"/>
      <c r="C173" s="40"/>
      <c r="D173" s="41"/>
      <c r="E173" s="41"/>
      <c r="F173" s="40"/>
      <c r="G173" s="40"/>
      <c r="H173" s="40"/>
      <c r="I173" s="41"/>
      <c r="AE173" s="12" t="str">
        <f t="shared" si="18"/>
        <v/>
      </c>
    </row>
    <row r="174" spans="1:31">
      <c r="A174" s="40"/>
      <c r="B174" s="40"/>
      <c r="C174" s="40"/>
      <c r="D174" s="41"/>
      <c r="E174" s="41"/>
      <c r="F174" s="40"/>
      <c r="G174" s="40"/>
      <c r="H174" s="40"/>
      <c r="I174" s="41"/>
      <c r="AE174" s="12" t="str">
        <f t="shared" si="18"/>
        <v/>
      </c>
    </row>
    <row r="175" spans="1:31">
      <c r="A175" s="40"/>
      <c r="B175" s="40"/>
      <c r="C175" s="40"/>
      <c r="D175" s="41"/>
      <c r="E175" s="41"/>
      <c r="F175" s="40"/>
      <c r="G175" s="40"/>
      <c r="H175" s="40"/>
      <c r="I175" s="41"/>
      <c r="AE175" s="12" t="str">
        <f t="shared" si="18"/>
        <v/>
      </c>
    </row>
    <row r="176" spans="1:31">
      <c r="A176" s="40"/>
      <c r="B176" s="40"/>
      <c r="C176" s="40"/>
      <c r="D176" s="41"/>
      <c r="E176" s="41"/>
      <c r="F176" s="40"/>
      <c r="G176" s="40"/>
      <c r="H176" s="40"/>
      <c r="I176" s="41"/>
      <c r="AE176" s="12" t="str">
        <f t="shared" si="18"/>
        <v/>
      </c>
    </row>
    <row r="177" spans="1:31">
      <c r="A177" s="40"/>
      <c r="B177" s="40"/>
      <c r="C177" s="40"/>
      <c r="D177" s="41"/>
      <c r="E177" s="41"/>
      <c r="F177" s="40"/>
      <c r="G177" s="40"/>
      <c r="H177" s="40"/>
      <c r="I177" s="41"/>
      <c r="AE177" s="12" t="str">
        <f t="shared" si="18"/>
        <v/>
      </c>
    </row>
    <row r="178" spans="1:31">
      <c r="A178" s="40"/>
      <c r="B178" s="40"/>
      <c r="C178" s="40"/>
      <c r="D178" s="41"/>
      <c r="E178" s="41"/>
      <c r="F178" s="40"/>
      <c r="G178" s="40"/>
      <c r="H178" s="40"/>
      <c r="I178" s="41"/>
      <c r="AE178" s="12" t="str">
        <f t="shared" si="18"/>
        <v/>
      </c>
    </row>
    <row r="179" spans="1:31">
      <c r="A179" s="40"/>
      <c r="B179" s="40"/>
      <c r="C179" s="40"/>
      <c r="D179" s="41"/>
      <c r="E179" s="41"/>
      <c r="F179" s="40"/>
      <c r="G179" s="40"/>
      <c r="H179" s="40"/>
      <c r="I179" s="41"/>
      <c r="AE179" s="12" t="str">
        <f t="shared" ref="AE179:AE210" si="19">IF($L179="Y","INSERT INTO `sys_table_relation` (`TABLE_NAME`, `CHILD_TABLE_NAME`, `SQL_QUERY`, `ERROR_DESC` ,`ERROR_DESC_JSON`) VALUES ('" &amp;$J179 &amp; "', '" &amp; $AB179 &amp; "', '" &amp; "select count(*) from "&amp; $AB179 &amp;" where " &amp; IF(COUNTIF(D:D,"IS_DESTROYED"),"IS_DESTROYED=0 and ","") &amp;   $D179 &amp; "={pid}" &amp; "', " &amp; "'【"&amp; $AC179 &amp;"】已使用此筆資料，故不可刪除!!'" &amp; ",'" &amp; SUBSTITUTE("{'zh_TW': '" &amp;  "【"&amp; $AC179 &amp;"】已使用此筆資料，不可刪除!!"  &amp; "' ,'en_US': '" &amp;  "Have used this information, it can not be deleted !!" &amp; "'  ,'zh_CN': '" &amp; "【"&amp; $AC179 &amp;"】已使用此筆資料，不可刪除!!" &amp; "' }", CHAR(39),CHAR(34))   &amp; "');","")</f>
        <v/>
      </c>
    </row>
    <row r="180" spans="1:31">
      <c r="A180" s="40"/>
      <c r="B180" s="40"/>
      <c r="C180" s="40"/>
      <c r="D180" s="41"/>
      <c r="E180" s="41"/>
      <c r="F180" s="40"/>
      <c r="G180" s="40"/>
      <c r="H180" s="40"/>
      <c r="I180" s="41"/>
      <c r="AE180" s="12" t="str">
        <f t="shared" si="19"/>
        <v/>
      </c>
    </row>
    <row r="181" spans="1:31">
      <c r="A181" s="40"/>
      <c r="B181" s="40"/>
      <c r="C181" s="40"/>
      <c r="D181" s="41"/>
      <c r="E181" s="41"/>
      <c r="F181" s="40"/>
      <c r="G181" s="40"/>
      <c r="H181" s="40"/>
      <c r="I181" s="41"/>
      <c r="AE181" s="12" t="str">
        <f t="shared" si="19"/>
        <v/>
      </c>
    </row>
    <row r="182" spans="1:31">
      <c r="A182" s="40"/>
      <c r="B182" s="40"/>
      <c r="C182" s="40"/>
      <c r="D182" s="41"/>
      <c r="E182" s="41"/>
      <c r="F182" s="40"/>
      <c r="G182" s="40"/>
      <c r="H182" s="40"/>
      <c r="I182" s="41"/>
      <c r="AE182" s="12" t="str">
        <f t="shared" si="19"/>
        <v/>
      </c>
    </row>
    <row r="183" spans="1:31">
      <c r="A183" s="40"/>
      <c r="B183" s="40"/>
      <c r="C183" s="40"/>
      <c r="D183" s="41"/>
      <c r="E183" s="41"/>
      <c r="F183" s="40"/>
      <c r="G183" s="40"/>
      <c r="H183" s="40"/>
      <c r="I183" s="41"/>
      <c r="AE183" s="12" t="str">
        <f t="shared" si="19"/>
        <v/>
      </c>
    </row>
    <row r="184" spans="1:31">
      <c r="A184" s="40"/>
      <c r="B184" s="40"/>
      <c r="C184" s="40"/>
      <c r="D184" s="41"/>
      <c r="E184" s="41"/>
      <c r="F184" s="40"/>
      <c r="G184" s="40"/>
      <c r="H184" s="40"/>
      <c r="I184" s="41"/>
      <c r="AE184" s="12" t="str">
        <f t="shared" si="19"/>
        <v/>
      </c>
    </row>
    <row r="185" spans="1:31">
      <c r="A185" s="40"/>
      <c r="B185" s="40"/>
      <c r="C185" s="40"/>
      <c r="D185" s="41"/>
      <c r="E185" s="41"/>
      <c r="F185" s="40"/>
      <c r="G185" s="40"/>
      <c r="H185" s="40"/>
      <c r="I185" s="41"/>
      <c r="AE185" s="12" t="str">
        <f t="shared" si="19"/>
        <v/>
      </c>
    </row>
    <row r="186" spans="1:31">
      <c r="A186" s="40"/>
      <c r="B186" s="40"/>
      <c r="C186" s="40"/>
      <c r="D186" s="41"/>
      <c r="E186" s="41"/>
      <c r="F186" s="40"/>
      <c r="G186" s="40"/>
      <c r="H186" s="40"/>
      <c r="I186" s="41"/>
      <c r="AE186" s="12" t="str">
        <f t="shared" si="19"/>
        <v/>
      </c>
    </row>
    <row r="187" spans="1:31">
      <c r="A187" s="40"/>
      <c r="B187" s="40"/>
      <c r="C187" s="40"/>
      <c r="D187" s="41"/>
      <c r="E187" s="41"/>
      <c r="F187" s="40"/>
      <c r="G187" s="40"/>
      <c r="H187" s="40"/>
      <c r="I187" s="41"/>
      <c r="AE187" s="12" t="str">
        <f t="shared" si="19"/>
        <v/>
      </c>
    </row>
    <row r="188" spans="1:31">
      <c r="A188" s="40"/>
      <c r="B188" s="40"/>
      <c r="C188" s="40"/>
      <c r="D188" s="41"/>
      <c r="E188" s="41"/>
      <c r="F188" s="40"/>
      <c r="G188" s="40"/>
      <c r="H188" s="40"/>
      <c r="I188" s="41"/>
      <c r="AE188" s="12" t="str">
        <f t="shared" si="19"/>
        <v/>
      </c>
    </row>
    <row r="189" spans="1:31">
      <c r="A189" s="40"/>
      <c r="B189" s="40"/>
      <c r="C189" s="40"/>
      <c r="D189" s="41"/>
      <c r="E189" s="41"/>
      <c r="F189" s="40"/>
      <c r="G189" s="40"/>
      <c r="H189" s="40"/>
      <c r="I189" s="41"/>
      <c r="AE189" s="12" t="str">
        <f t="shared" si="19"/>
        <v/>
      </c>
    </row>
    <row r="190" spans="1:31">
      <c r="A190" s="40"/>
      <c r="B190" s="40"/>
      <c r="C190" s="40"/>
      <c r="D190" s="41"/>
      <c r="E190" s="41"/>
      <c r="F190" s="40"/>
      <c r="G190" s="40"/>
      <c r="H190" s="40"/>
      <c r="I190" s="41"/>
      <c r="AE190" s="12" t="str">
        <f t="shared" si="19"/>
        <v/>
      </c>
    </row>
    <row r="191" spans="1:31">
      <c r="A191" s="40"/>
      <c r="B191" s="40"/>
      <c r="C191" s="40"/>
      <c r="D191" s="41"/>
      <c r="F191" s="40"/>
      <c r="G191" s="40"/>
      <c r="H191" s="40"/>
      <c r="I191" s="41"/>
      <c r="AE191" s="12" t="str">
        <f t="shared" si="19"/>
        <v/>
      </c>
    </row>
    <row r="192" spans="1:31">
      <c r="A192" s="40"/>
      <c r="B192" s="40"/>
      <c r="C192" s="40"/>
      <c r="D192" s="41"/>
      <c r="F192" s="40"/>
      <c r="G192" s="40"/>
      <c r="H192" s="40"/>
      <c r="I192" s="41"/>
      <c r="AE192" s="12" t="str">
        <f t="shared" si="19"/>
        <v/>
      </c>
    </row>
    <row r="193" spans="1:31">
      <c r="A193" s="40"/>
      <c r="B193" s="40"/>
      <c r="C193" s="40"/>
      <c r="D193" s="41"/>
      <c r="F193" s="40"/>
      <c r="G193" s="40"/>
      <c r="H193" s="40"/>
      <c r="I193" s="41"/>
      <c r="AE193" s="12" t="str">
        <f t="shared" si="19"/>
        <v/>
      </c>
    </row>
    <row r="194" spans="1:31">
      <c r="A194" s="40"/>
      <c r="B194" s="40"/>
      <c r="C194" s="40"/>
      <c r="D194" s="41"/>
      <c r="F194" s="40"/>
      <c r="G194" s="40"/>
      <c r="H194" s="40"/>
      <c r="I194" s="41"/>
      <c r="AE194" s="12" t="str">
        <f t="shared" si="19"/>
        <v/>
      </c>
    </row>
    <row r="195" spans="1:31">
      <c r="A195" s="40"/>
      <c r="B195" s="40"/>
      <c r="C195" s="40"/>
      <c r="D195" s="41"/>
      <c r="F195" s="40"/>
      <c r="G195" s="40"/>
      <c r="H195" s="40"/>
      <c r="I195" s="41"/>
      <c r="AE195" s="12" t="str">
        <f t="shared" si="19"/>
        <v/>
      </c>
    </row>
    <row r="196" spans="1:31">
      <c r="A196" s="40"/>
      <c r="B196" s="40"/>
      <c r="C196" s="40"/>
      <c r="D196" s="41"/>
      <c r="F196" s="40"/>
      <c r="G196" s="40"/>
      <c r="H196" s="40"/>
      <c r="I196" s="41"/>
      <c r="AE196" s="12" t="str">
        <f t="shared" si="19"/>
        <v/>
      </c>
    </row>
    <row r="197" spans="1:31">
      <c r="A197" s="40"/>
      <c r="B197" s="40"/>
      <c r="C197" s="40"/>
      <c r="D197" s="41"/>
      <c r="F197" s="40"/>
      <c r="G197" s="40"/>
      <c r="H197" s="40"/>
      <c r="I197" s="41"/>
      <c r="AE197" s="12" t="str">
        <f t="shared" si="19"/>
        <v/>
      </c>
    </row>
    <row r="198" spans="1:31">
      <c r="A198" s="40"/>
      <c r="B198" s="40"/>
      <c r="C198" s="40"/>
      <c r="D198" s="41"/>
      <c r="F198" s="40"/>
      <c r="G198" s="40"/>
      <c r="H198" s="40"/>
      <c r="I198" s="41"/>
      <c r="AE198" s="12" t="str">
        <f t="shared" si="19"/>
        <v/>
      </c>
    </row>
    <row r="199" spans="1:31">
      <c r="A199" s="40"/>
      <c r="B199" s="40"/>
      <c r="C199" s="40"/>
      <c r="D199" s="41"/>
      <c r="F199" s="40"/>
      <c r="G199" s="40"/>
      <c r="H199" s="40"/>
      <c r="I199" s="41"/>
      <c r="AE199" s="12" t="str">
        <f t="shared" si="19"/>
        <v/>
      </c>
    </row>
    <row r="200" spans="1:31">
      <c r="A200" s="40"/>
      <c r="B200" s="40"/>
      <c r="C200" s="40"/>
      <c r="D200" s="41"/>
      <c r="F200" s="40"/>
      <c r="G200" s="40"/>
      <c r="H200" s="40"/>
      <c r="I200" s="41"/>
      <c r="AE200" s="12" t="str">
        <f t="shared" si="19"/>
        <v/>
      </c>
    </row>
    <row r="201" spans="1:31">
      <c r="A201" s="40"/>
      <c r="B201" s="40"/>
      <c r="C201" s="40"/>
      <c r="D201" s="41"/>
      <c r="F201" s="40"/>
      <c r="G201" s="40"/>
      <c r="H201" s="40"/>
      <c r="I201" s="41"/>
      <c r="AE201" s="12" t="str">
        <f t="shared" si="19"/>
        <v/>
      </c>
    </row>
    <row r="202" spans="1:31">
      <c r="A202" s="40"/>
      <c r="B202" s="40"/>
      <c r="C202" s="40"/>
      <c r="D202" s="41"/>
      <c r="F202" s="40"/>
      <c r="G202" s="40"/>
      <c r="H202" s="40"/>
      <c r="I202" s="41"/>
      <c r="AE202" s="12" t="str">
        <f t="shared" si="19"/>
        <v/>
      </c>
    </row>
    <row r="203" spans="1:31">
      <c r="A203" s="40"/>
      <c r="B203" s="40"/>
      <c r="C203" s="40"/>
      <c r="D203" s="41"/>
      <c r="F203" s="40"/>
      <c r="G203" s="40"/>
      <c r="H203" s="40"/>
      <c r="I203" s="41"/>
      <c r="AE203" s="12" t="str">
        <f t="shared" si="19"/>
        <v/>
      </c>
    </row>
    <row r="204" spans="1:31">
      <c r="A204" s="40"/>
      <c r="B204" s="40"/>
      <c r="C204" s="40"/>
      <c r="D204" s="41"/>
      <c r="F204" s="40"/>
      <c r="G204" s="40"/>
      <c r="H204" s="40"/>
      <c r="I204" s="41"/>
      <c r="AE204" s="12" t="str">
        <f t="shared" si="19"/>
        <v/>
      </c>
    </row>
    <row r="205" spans="1:31">
      <c r="A205" s="40"/>
      <c r="B205" s="40"/>
      <c r="C205" s="40"/>
      <c r="D205" s="41"/>
      <c r="F205" s="40"/>
      <c r="G205" s="40"/>
      <c r="H205" s="40"/>
      <c r="I205" s="41"/>
      <c r="AE205" s="12" t="str">
        <f t="shared" si="19"/>
        <v/>
      </c>
    </row>
    <row r="206" spans="1:31">
      <c r="A206" s="40"/>
      <c r="B206" s="40"/>
      <c r="C206" s="40"/>
      <c r="D206" s="41"/>
      <c r="F206" s="40"/>
      <c r="G206" s="40"/>
      <c r="H206" s="40"/>
      <c r="I206" s="41"/>
      <c r="AE206" s="12" t="str">
        <f t="shared" si="19"/>
        <v/>
      </c>
    </row>
    <row r="207" spans="1:31">
      <c r="A207" s="40"/>
      <c r="B207" s="40"/>
      <c r="C207" s="40"/>
      <c r="D207" s="41"/>
      <c r="F207" s="40"/>
      <c r="G207" s="40"/>
      <c r="H207" s="40"/>
      <c r="I207" s="41"/>
      <c r="AE207" s="12" t="str">
        <f t="shared" si="19"/>
        <v/>
      </c>
    </row>
    <row r="208" spans="1:31">
      <c r="A208" s="40"/>
      <c r="B208" s="40"/>
      <c r="C208" s="40"/>
      <c r="D208" s="41"/>
      <c r="F208" s="40"/>
      <c r="G208" s="40"/>
      <c r="H208" s="40"/>
      <c r="I208" s="41"/>
      <c r="AE208" s="12" t="str">
        <f t="shared" si="19"/>
        <v/>
      </c>
    </row>
    <row r="209" spans="1:31">
      <c r="A209" s="40"/>
      <c r="B209" s="40"/>
      <c r="C209" s="40"/>
      <c r="D209" s="41"/>
      <c r="F209" s="40"/>
      <c r="G209" s="40"/>
      <c r="H209" s="40"/>
      <c r="I209" s="41"/>
      <c r="AE209" s="12" t="str">
        <f t="shared" si="19"/>
        <v/>
      </c>
    </row>
    <row r="210" spans="1:31">
      <c r="A210" s="40"/>
      <c r="B210" s="40"/>
      <c r="C210" s="40"/>
      <c r="D210" s="41"/>
      <c r="F210" s="40"/>
      <c r="G210" s="40"/>
      <c r="H210" s="40"/>
      <c r="I210" s="41"/>
      <c r="AE210" s="12" t="str">
        <f t="shared" si="19"/>
        <v/>
      </c>
    </row>
    <row r="211" spans="1:31">
      <c r="A211" s="40"/>
      <c r="B211" s="40"/>
      <c r="C211" s="40"/>
      <c r="D211" s="41"/>
      <c r="F211" s="40"/>
      <c r="G211" s="40"/>
      <c r="H211" s="40"/>
      <c r="I211" s="41"/>
      <c r="AE211" s="12" t="str">
        <f t="shared" ref="AE211:AE242" si="20">IF($L211="Y","INSERT INTO `sys_table_relation` (`TABLE_NAME`, `CHILD_TABLE_NAME`, `SQL_QUERY`, `ERROR_DESC` ,`ERROR_DESC_JSON`) VALUES ('" &amp;$J211 &amp; "', '" &amp; $AB211 &amp; "', '" &amp; "select count(*) from "&amp; $AB211 &amp;" where " &amp; IF(COUNTIF(D:D,"IS_DESTROYED"),"IS_DESTROYED=0 and ","") &amp;   $D211 &amp; "={pid}" &amp; "', " &amp; "'【"&amp; $AC211 &amp;"】已使用此筆資料，故不可刪除!!'" &amp; ",'" &amp; SUBSTITUTE("{'zh_TW': '" &amp;  "【"&amp; $AC211 &amp;"】已使用此筆資料，不可刪除!!"  &amp; "' ,'en_US': '" &amp;  "Have used this information, it can not be deleted !!" &amp; "'  ,'zh_CN': '" &amp; "【"&amp; $AC211 &amp;"】已使用此筆資料，不可刪除!!" &amp; "' }", CHAR(39),CHAR(34))   &amp; "');","")</f>
        <v/>
      </c>
    </row>
    <row r="212" spans="1:31">
      <c r="A212" s="40"/>
      <c r="B212" s="40"/>
      <c r="C212" s="40"/>
      <c r="D212" s="41"/>
      <c r="F212" s="40"/>
      <c r="G212" s="40"/>
      <c r="H212" s="40"/>
      <c r="I212" s="41"/>
      <c r="AE212" s="12" t="str">
        <f t="shared" si="20"/>
        <v/>
      </c>
    </row>
    <row r="213" spans="1:31">
      <c r="A213" s="40"/>
      <c r="B213" s="40"/>
      <c r="C213" s="40"/>
      <c r="D213" s="41"/>
      <c r="F213" s="40"/>
      <c r="G213" s="40"/>
      <c r="H213" s="40"/>
      <c r="I213" s="41"/>
      <c r="AE213" s="12" t="str">
        <f t="shared" si="20"/>
        <v/>
      </c>
    </row>
    <row r="214" spans="1:31">
      <c r="A214" s="40"/>
      <c r="B214" s="40"/>
      <c r="C214" s="40"/>
      <c r="D214" s="41"/>
      <c r="F214" s="40"/>
      <c r="G214" s="40"/>
      <c r="H214" s="40"/>
      <c r="I214" s="41"/>
      <c r="AE214" s="12" t="str">
        <f t="shared" si="20"/>
        <v/>
      </c>
    </row>
    <row r="215" spans="1:31">
      <c r="A215" s="40"/>
      <c r="B215" s="40"/>
      <c r="C215" s="40"/>
      <c r="D215" s="41"/>
      <c r="F215" s="40"/>
      <c r="G215" s="40"/>
      <c r="H215" s="40"/>
      <c r="I215" s="41"/>
      <c r="AE215" s="12" t="str">
        <f t="shared" si="20"/>
        <v/>
      </c>
    </row>
    <row r="216" spans="1:31">
      <c r="A216" s="40"/>
      <c r="B216" s="40"/>
      <c r="C216" s="40"/>
      <c r="D216" s="41"/>
      <c r="F216" s="40"/>
      <c r="G216" s="40"/>
      <c r="H216" s="40"/>
      <c r="I216" s="41"/>
      <c r="AE216" s="12" t="str">
        <f t="shared" si="20"/>
        <v/>
      </c>
    </row>
    <row r="217" spans="1:31">
      <c r="A217" s="40"/>
      <c r="B217" s="40"/>
      <c r="C217" s="40"/>
      <c r="D217" s="41"/>
      <c r="F217" s="40"/>
      <c r="G217" s="40"/>
      <c r="H217" s="40"/>
      <c r="I217" s="41"/>
      <c r="AE217" s="12" t="str">
        <f t="shared" si="20"/>
        <v/>
      </c>
    </row>
    <row r="218" spans="1:31">
      <c r="A218" s="40"/>
      <c r="B218" s="40"/>
      <c r="C218" s="40"/>
      <c r="D218" s="41"/>
      <c r="F218" s="40"/>
      <c r="G218" s="40"/>
      <c r="H218" s="40"/>
      <c r="I218" s="41"/>
      <c r="AE218" s="12" t="str">
        <f t="shared" si="20"/>
        <v/>
      </c>
    </row>
    <row r="219" spans="1:31">
      <c r="A219" s="40"/>
      <c r="B219" s="40"/>
      <c r="C219" s="40"/>
      <c r="D219" s="41"/>
      <c r="F219" s="40"/>
      <c r="G219" s="40"/>
      <c r="H219" s="40"/>
      <c r="I219" s="41"/>
      <c r="AE219" s="12" t="str">
        <f t="shared" si="20"/>
        <v/>
      </c>
    </row>
    <row r="220" spans="1:31">
      <c r="A220" s="40"/>
      <c r="B220" s="40"/>
      <c r="C220" s="40"/>
      <c r="D220" s="41"/>
      <c r="F220" s="40"/>
      <c r="G220" s="40"/>
      <c r="H220" s="40"/>
      <c r="I220" s="41"/>
      <c r="AE220" s="12" t="str">
        <f t="shared" si="20"/>
        <v/>
      </c>
    </row>
    <row r="221" spans="1:31">
      <c r="A221" s="40"/>
      <c r="B221" s="40"/>
      <c r="C221" s="40"/>
      <c r="D221" s="41"/>
      <c r="F221" s="40"/>
      <c r="G221" s="40"/>
      <c r="H221" s="40"/>
      <c r="I221" s="41"/>
      <c r="AE221" s="12" t="str">
        <f t="shared" si="20"/>
        <v/>
      </c>
    </row>
    <row r="222" spans="1:31">
      <c r="A222" s="40"/>
      <c r="B222" s="40"/>
      <c r="C222" s="40"/>
      <c r="D222" s="41"/>
      <c r="F222" s="40"/>
      <c r="G222" s="40"/>
      <c r="H222" s="40"/>
      <c r="I222" s="41"/>
      <c r="AE222" s="12" t="str">
        <f t="shared" si="20"/>
        <v/>
      </c>
    </row>
    <row r="223" spans="1:31">
      <c r="A223" s="40"/>
      <c r="B223" s="40"/>
      <c r="C223" s="40"/>
      <c r="D223" s="41"/>
      <c r="F223" s="40"/>
      <c r="G223" s="40"/>
      <c r="H223" s="40"/>
      <c r="I223" s="41"/>
      <c r="AE223" s="12" t="str">
        <f t="shared" si="20"/>
        <v/>
      </c>
    </row>
    <row r="224" spans="1:31">
      <c r="A224" s="40"/>
      <c r="B224" s="40"/>
      <c r="C224" s="40"/>
      <c r="D224" s="41"/>
      <c r="F224" s="40"/>
      <c r="G224" s="40"/>
      <c r="H224" s="40"/>
      <c r="I224" s="41"/>
      <c r="AE224" s="12" t="str">
        <f t="shared" si="20"/>
        <v/>
      </c>
    </row>
    <row r="225" spans="1:31">
      <c r="A225" s="40"/>
      <c r="B225" s="40"/>
      <c r="C225" s="40"/>
      <c r="D225" s="41"/>
      <c r="F225" s="40"/>
      <c r="G225" s="40"/>
      <c r="H225" s="40"/>
      <c r="I225" s="41"/>
      <c r="AE225" s="12" t="str">
        <f t="shared" si="20"/>
        <v/>
      </c>
    </row>
    <row r="226" spans="1:31">
      <c r="A226" s="40"/>
      <c r="B226" s="40"/>
      <c r="C226" s="40"/>
      <c r="D226" s="41"/>
      <c r="F226" s="40"/>
      <c r="G226" s="40"/>
      <c r="H226" s="40"/>
      <c r="I226" s="41"/>
      <c r="AE226" s="12" t="str">
        <f t="shared" si="20"/>
        <v/>
      </c>
    </row>
    <row r="227" spans="1:31">
      <c r="A227" s="40"/>
      <c r="B227" s="40"/>
      <c r="C227" s="40"/>
      <c r="D227" s="41"/>
      <c r="F227" s="40"/>
      <c r="G227" s="40"/>
      <c r="H227" s="40"/>
      <c r="I227" s="41"/>
      <c r="AE227" s="12" t="str">
        <f t="shared" si="20"/>
        <v/>
      </c>
    </row>
    <row r="228" spans="1:31">
      <c r="A228" s="40"/>
      <c r="B228" s="40"/>
      <c r="C228" s="40"/>
      <c r="D228" s="41"/>
      <c r="F228" s="40"/>
      <c r="G228" s="40"/>
      <c r="H228" s="40"/>
      <c r="I228" s="41"/>
      <c r="AE228" s="12" t="str">
        <f t="shared" si="20"/>
        <v/>
      </c>
    </row>
    <row r="229" spans="1:31">
      <c r="A229" s="40"/>
      <c r="B229" s="40"/>
      <c r="C229" s="40"/>
      <c r="D229" s="41"/>
      <c r="F229" s="40"/>
      <c r="G229" s="40"/>
      <c r="H229" s="40"/>
      <c r="I229" s="41"/>
      <c r="AE229" s="12" t="str">
        <f t="shared" si="20"/>
        <v/>
      </c>
    </row>
    <row r="230" spans="1:31">
      <c r="A230" s="40"/>
      <c r="B230" s="40"/>
      <c r="C230" s="40"/>
      <c r="D230" s="41"/>
      <c r="F230" s="40"/>
      <c r="G230" s="40"/>
      <c r="H230" s="40"/>
      <c r="I230" s="41"/>
      <c r="AE230" s="12" t="str">
        <f t="shared" si="20"/>
        <v/>
      </c>
    </row>
    <row r="231" spans="1:31">
      <c r="A231" s="40"/>
      <c r="B231" s="40"/>
      <c r="C231" s="40"/>
      <c r="D231" s="41"/>
      <c r="F231" s="40"/>
      <c r="G231" s="40"/>
      <c r="H231" s="40"/>
      <c r="I231" s="41"/>
      <c r="AE231" s="12" t="str">
        <f t="shared" si="20"/>
        <v/>
      </c>
    </row>
    <row r="232" spans="1:31">
      <c r="A232" s="40"/>
      <c r="B232" s="40"/>
      <c r="C232" s="40"/>
      <c r="D232" s="41"/>
      <c r="F232" s="40"/>
      <c r="G232" s="40"/>
      <c r="H232" s="40"/>
      <c r="I232" s="41"/>
      <c r="AE232" s="12" t="str">
        <f t="shared" si="20"/>
        <v/>
      </c>
    </row>
    <row r="233" spans="1:31">
      <c r="A233" s="40"/>
      <c r="B233" s="40"/>
      <c r="C233" s="40"/>
      <c r="D233" s="41"/>
      <c r="F233" s="40"/>
      <c r="G233" s="40"/>
      <c r="H233" s="40"/>
      <c r="I233" s="41"/>
      <c r="AE233" s="12" t="str">
        <f t="shared" si="20"/>
        <v/>
      </c>
    </row>
    <row r="234" spans="1:31">
      <c r="A234" s="40"/>
      <c r="B234" s="40"/>
      <c r="C234" s="40"/>
      <c r="D234" s="41"/>
      <c r="F234" s="40"/>
      <c r="G234" s="40"/>
      <c r="H234" s="40"/>
      <c r="I234" s="41"/>
      <c r="AE234" s="12" t="str">
        <f t="shared" si="20"/>
        <v/>
      </c>
    </row>
    <row r="235" spans="1:31">
      <c r="A235" s="40"/>
      <c r="B235" s="40"/>
      <c r="C235" s="40"/>
      <c r="D235" s="41"/>
      <c r="F235" s="40"/>
      <c r="G235" s="40"/>
      <c r="H235" s="40"/>
      <c r="I235" s="41"/>
      <c r="AE235" s="12" t="str">
        <f t="shared" si="20"/>
        <v/>
      </c>
    </row>
    <row r="236" spans="1:31">
      <c r="A236" s="40"/>
      <c r="B236" s="40"/>
      <c r="C236" s="40"/>
      <c r="D236" s="41"/>
      <c r="F236" s="40"/>
      <c r="G236" s="40"/>
      <c r="H236" s="40"/>
      <c r="I236" s="41"/>
      <c r="AE236" s="12" t="str">
        <f t="shared" si="20"/>
        <v/>
      </c>
    </row>
    <row r="237" spans="1:31">
      <c r="A237" s="40"/>
      <c r="B237" s="40"/>
      <c r="C237" s="40"/>
      <c r="D237" s="41"/>
      <c r="F237" s="40"/>
      <c r="G237" s="40"/>
      <c r="H237" s="40"/>
      <c r="I237" s="41"/>
      <c r="AE237" s="12" t="str">
        <f t="shared" si="20"/>
        <v/>
      </c>
    </row>
    <row r="238" spans="1:31">
      <c r="AE238" s="12" t="str">
        <f t="shared" si="20"/>
        <v/>
      </c>
    </row>
    <row r="239" spans="1:31">
      <c r="AE239" s="12" t="str">
        <f t="shared" si="20"/>
        <v/>
      </c>
    </row>
    <row r="240" spans="1:31">
      <c r="AE240" s="12" t="str">
        <f t="shared" si="20"/>
        <v/>
      </c>
    </row>
    <row r="241" spans="31:31">
      <c r="AE241" s="12" t="str">
        <f t="shared" si="20"/>
        <v/>
      </c>
    </row>
    <row r="242" spans="31:31">
      <c r="AE242" s="12" t="str">
        <f t="shared" si="20"/>
        <v/>
      </c>
    </row>
    <row r="243" spans="31:31">
      <c r="AE243" s="12" t="str">
        <f t="shared" ref="AE243:AE274" si="21">IF($L243="Y","INSERT INTO `sys_table_relation` (`TABLE_NAME`, `CHILD_TABLE_NAME`, `SQL_QUERY`, `ERROR_DESC` ,`ERROR_DESC_JSON`) VALUES ('" &amp;$J243 &amp; "', '" &amp; $AB243 &amp; "', '" &amp; "select count(*) from "&amp; $AB243 &amp;" where " &amp; IF(COUNTIF(D:D,"IS_DESTROYED"),"IS_DESTROYED=0 and ","") &amp;   $D243 &amp; "={pid}" &amp; "', " &amp; "'【"&amp; $AC243 &amp;"】已使用此筆資料，故不可刪除!!'" &amp; ",'" &amp; SUBSTITUTE("{'zh_TW': '" &amp;  "【"&amp; $AC243 &amp;"】已使用此筆資料，不可刪除!!"  &amp; "' ,'en_US': '" &amp;  "Have used this information, it can not be deleted !!" &amp; "'  ,'zh_CN': '" &amp; "【"&amp; $AC243 &amp;"】已使用此筆資料，不可刪除!!" &amp; "' }", CHAR(39),CHAR(34))   &amp; "');","")</f>
        <v/>
      </c>
    </row>
    <row r="244" spans="31:31">
      <c r="AE244" s="12" t="str">
        <f t="shared" si="21"/>
        <v/>
      </c>
    </row>
    <row r="245" spans="31:31">
      <c r="AE245" s="12" t="str">
        <f t="shared" si="21"/>
        <v/>
      </c>
    </row>
    <row r="246" spans="31:31">
      <c r="AE246" s="12" t="str">
        <f t="shared" si="21"/>
        <v/>
      </c>
    </row>
    <row r="247" spans="31:31">
      <c r="AE247" s="12" t="str">
        <f t="shared" si="21"/>
        <v/>
      </c>
    </row>
    <row r="248" spans="31:31">
      <c r="AE248" s="12" t="str">
        <f t="shared" si="21"/>
        <v/>
      </c>
    </row>
    <row r="249" spans="31:31">
      <c r="AE249" s="12" t="str">
        <f t="shared" si="21"/>
        <v/>
      </c>
    </row>
    <row r="250" spans="31:31">
      <c r="AE250" s="12" t="str">
        <f t="shared" si="21"/>
        <v/>
      </c>
    </row>
    <row r="251" spans="31:31">
      <c r="AE251" s="12" t="str">
        <f t="shared" si="21"/>
        <v/>
      </c>
    </row>
    <row r="252" spans="31:31">
      <c r="AE252" s="12" t="str">
        <f t="shared" si="21"/>
        <v/>
      </c>
    </row>
    <row r="253" spans="31:31">
      <c r="AE253" s="12" t="str">
        <f t="shared" si="21"/>
        <v/>
      </c>
    </row>
    <row r="254" spans="31:31">
      <c r="AE254" s="12" t="str">
        <f t="shared" si="21"/>
        <v/>
      </c>
    </row>
    <row r="255" spans="31:31">
      <c r="AE255" s="12" t="str">
        <f t="shared" si="21"/>
        <v/>
      </c>
    </row>
    <row r="256" spans="31:31">
      <c r="AE256" s="12" t="str">
        <f t="shared" si="21"/>
        <v/>
      </c>
    </row>
    <row r="257" spans="31:31">
      <c r="AE257" s="12" t="str">
        <f t="shared" si="21"/>
        <v/>
      </c>
    </row>
    <row r="258" spans="31:31">
      <c r="AE258" s="12" t="str">
        <f t="shared" si="21"/>
        <v/>
      </c>
    </row>
    <row r="259" spans="31:31">
      <c r="AE259" s="12" t="str">
        <f t="shared" si="21"/>
        <v/>
      </c>
    </row>
    <row r="260" spans="31:31">
      <c r="AE260" s="12" t="str">
        <f t="shared" si="21"/>
        <v/>
      </c>
    </row>
    <row r="261" spans="31:31">
      <c r="AE261" s="12" t="str">
        <f t="shared" si="21"/>
        <v/>
      </c>
    </row>
    <row r="262" spans="31:31">
      <c r="AE262" s="12" t="str">
        <f t="shared" si="21"/>
        <v/>
      </c>
    </row>
    <row r="263" spans="31:31">
      <c r="AE263" s="12" t="str">
        <f t="shared" si="21"/>
        <v/>
      </c>
    </row>
    <row r="264" spans="31:31">
      <c r="AE264" s="12" t="str">
        <f t="shared" si="21"/>
        <v/>
      </c>
    </row>
    <row r="265" spans="31:31">
      <c r="AE265" s="12" t="str">
        <f t="shared" si="21"/>
        <v/>
      </c>
    </row>
    <row r="266" spans="31:31">
      <c r="AE266" s="12" t="str">
        <f t="shared" si="21"/>
        <v/>
      </c>
    </row>
    <row r="267" spans="31:31">
      <c r="AE267" s="12" t="str">
        <f t="shared" si="21"/>
        <v/>
      </c>
    </row>
    <row r="268" spans="31:31">
      <c r="AE268" s="12" t="str">
        <f t="shared" si="21"/>
        <v/>
      </c>
    </row>
    <row r="269" spans="31:31">
      <c r="AE269" s="12" t="str">
        <f t="shared" si="21"/>
        <v/>
      </c>
    </row>
    <row r="270" spans="31:31">
      <c r="AE270" s="12" t="str">
        <f t="shared" si="21"/>
        <v/>
      </c>
    </row>
    <row r="271" spans="31:31">
      <c r="AE271" s="12" t="str">
        <f t="shared" si="21"/>
        <v/>
      </c>
    </row>
    <row r="272" spans="31:31">
      <c r="AE272" s="12" t="str">
        <f t="shared" si="21"/>
        <v/>
      </c>
    </row>
    <row r="273" spans="31:31">
      <c r="AE273" s="12" t="str">
        <f t="shared" si="21"/>
        <v/>
      </c>
    </row>
    <row r="274" spans="31:31">
      <c r="AE274" s="12" t="str">
        <f t="shared" si="21"/>
        <v/>
      </c>
    </row>
    <row r="275" spans="31:31">
      <c r="AE275" s="12" t="str">
        <f t="shared" ref="AE275:AE302" si="22">IF($L275="Y","INSERT INTO `sys_table_relation` (`TABLE_NAME`, `CHILD_TABLE_NAME`, `SQL_QUERY`, `ERROR_DESC` ,`ERROR_DESC_JSON`) VALUES ('" &amp;$J275 &amp; "', '" &amp; $AB275 &amp; "', '" &amp; "select count(*) from "&amp; $AB275 &amp;" where " &amp; IF(COUNTIF(D:D,"IS_DESTROYED"),"IS_DESTROYED=0 and ","") &amp;   $D275 &amp; "={pid}" &amp; "', " &amp; "'【"&amp; $AC275 &amp;"】已使用此筆資料，故不可刪除!!'" &amp; ",'" &amp; SUBSTITUTE("{'zh_TW': '" &amp;  "【"&amp; $AC275 &amp;"】已使用此筆資料，不可刪除!!"  &amp; "' ,'en_US': '" &amp;  "Have used this information, it can not be deleted !!" &amp; "'  ,'zh_CN': '" &amp; "【"&amp; $AC275 &amp;"】已使用此筆資料，不可刪除!!" &amp; "' }", CHAR(39),CHAR(34))   &amp; "');","")</f>
        <v/>
      </c>
    </row>
    <row r="276" spans="31:31">
      <c r="AE276" s="12" t="str">
        <f t="shared" si="22"/>
        <v/>
      </c>
    </row>
    <row r="277" spans="31:31">
      <c r="AE277" s="12" t="str">
        <f t="shared" si="22"/>
        <v/>
      </c>
    </row>
    <row r="278" spans="31:31">
      <c r="AE278" s="12" t="str">
        <f t="shared" si="22"/>
        <v/>
      </c>
    </row>
    <row r="279" spans="31:31">
      <c r="AE279" s="12" t="str">
        <f t="shared" si="22"/>
        <v/>
      </c>
    </row>
    <row r="280" spans="31:31">
      <c r="AE280" s="12" t="str">
        <f t="shared" si="22"/>
        <v/>
      </c>
    </row>
    <row r="281" spans="31:31">
      <c r="AE281" s="12" t="str">
        <f t="shared" si="22"/>
        <v/>
      </c>
    </row>
    <row r="282" spans="31:31">
      <c r="AE282" s="12" t="str">
        <f t="shared" si="22"/>
        <v/>
      </c>
    </row>
    <row r="283" spans="31:31">
      <c r="AE283" s="12" t="str">
        <f t="shared" si="22"/>
        <v/>
      </c>
    </row>
    <row r="284" spans="31:31">
      <c r="AE284" s="12" t="str">
        <f t="shared" si="22"/>
        <v/>
      </c>
    </row>
    <row r="285" spans="31:31">
      <c r="AE285" s="12" t="str">
        <f t="shared" si="22"/>
        <v/>
      </c>
    </row>
    <row r="286" spans="31:31">
      <c r="AE286" s="12" t="str">
        <f t="shared" si="22"/>
        <v/>
      </c>
    </row>
    <row r="287" spans="31:31">
      <c r="AE287" s="12" t="str">
        <f t="shared" si="22"/>
        <v/>
      </c>
    </row>
    <row r="288" spans="31:31">
      <c r="AE288" s="12" t="str">
        <f t="shared" si="22"/>
        <v/>
      </c>
    </row>
    <row r="289" spans="31:31">
      <c r="AE289" s="12" t="str">
        <f t="shared" si="22"/>
        <v/>
      </c>
    </row>
    <row r="290" spans="31:31">
      <c r="AE290" s="12" t="str">
        <f t="shared" si="22"/>
        <v/>
      </c>
    </row>
    <row r="291" spans="31:31">
      <c r="AE291" s="12" t="str">
        <f t="shared" si="22"/>
        <v/>
      </c>
    </row>
    <row r="292" spans="31:31">
      <c r="AE292" s="12" t="str">
        <f t="shared" si="22"/>
        <v/>
      </c>
    </row>
    <row r="293" spans="31:31">
      <c r="AE293" s="12" t="str">
        <f t="shared" si="22"/>
        <v/>
      </c>
    </row>
    <row r="294" spans="31:31">
      <c r="AE294" s="12" t="str">
        <f t="shared" si="22"/>
        <v/>
      </c>
    </row>
    <row r="295" spans="31:31">
      <c r="AE295" s="12" t="str">
        <f t="shared" si="22"/>
        <v/>
      </c>
    </row>
    <row r="296" spans="31:31">
      <c r="AE296" s="12" t="str">
        <f t="shared" si="22"/>
        <v/>
      </c>
    </row>
    <row r="297" spans="31:31">
      <c r="AE297" s="12" t="str">
        <f t="shared" si="22"/>
        <v/>
      </c>
    </row>
    <row r="298" spans="31:31">
      <c r="AE298" s="12" t="str">
        <f t="shared" si="22"/>
        <v/>
      </c>
    </row>
    <row r="299" spans="31:31">
      <c r="AE299" s="12" t="str">
        <f t="shared" si="22"/>
        <v/>
      </c>
    </row>
    <row r="300" spans="31:31">
      <c r="AE300" s="12" t="str">
        <f t="shared" si="22"/>
        <v/>
      </c>
    </row>
    <row r="301" spans="31:31">
      <c r="AE301" s="12" t="str">
        <f t="shared" si="22"/>
        <v/>
      </c>
    </row>
    <row r="302" spans="31:31">
      <c r="AE302" s="12" t="str">
        <f t="shared" si="22"/>
        <v/>
      </c>
    </row>
    <row r="850" spans="1:9">
      <c r="A850" s="178"/>
      <c r="B850" s="178"/>
      <c r="C850" s="178"/>
      <c r="D850" s="179"/>
      <c r="F850" s="178"/>
      <c r="G850" s="178"/>
      <c r="H850" s="178"/>
      <c r="I850" s="179"/>
    </row>
    <row r="973" spans="1:9">
      <c r="A973" s="178"/>
      <c r="B973" s="178"/>
      <c r="C973" s="178"/>
      <c r="D973" s="179"/>
      <c r="F973" s="178"/>
      <c r="G973" s="178"/>
      <c r="H973" s="178"/>
      <c r="I973" s="179"/>
    </row>
    <row r="977" spans="1:9">
      <c r="A977" s="178"/>
      <c r="B977" s="178"/>
      <c r="C977" s="178"/>
      <c r="D977" s="179"/>
      <c r="F977" s="178"/>
      <c r="G977" s="178"/>
      <c r="H977" s="178"/>
      <c r="I977" s="179"/>
    </row>
  </sheetData>
  <autoFilter ref="A1:I104" xr:uid="{389F7BFC-CED5-4403-B2CD-14B3C20C2CAA}">
    <sortState xmlns:xlrd2="http://schemas.microsoft.com/office/spreadsheetml/2017/richdata2" ref="A2:L76">
      <sortCondition ref="D1:D76"/>
    </sortState>
  </autoFilter>
  <phoneticPr fontId="5" type="noConversion"/>
  <pageMargins left="0.75" right="0.75" top="1" bottom="1" header="0.5" footer="0.5"/>
  <pageSetup paperSize="9" orientation="portrait"/>
  <headerFooter alignWithMargins="0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2344704-9F76-44B9-8F16-79EDD8E11C2E}">
  <sheetPr codeName="工作表9"/>
  <dimension ref="A1:I12"/>
  <sheetViews>
    <sheetView workbookViewId="0">
      <selection activeCell="B5" sqref="B5"/>
    </sheetView>
  </sheetViews>
  <sheetFormatPr defaultColWidth="6.625" defaultRowHeight="13.5"/>
  <cols>
    <col min="1" max="1" width="3.125" style="4" bestFit="1" customWidth="1"/>
    <col min="2" max="2" width="5.5" style="8" customWidth="1"/>
    <col min="3" max="3" width="26.625" style="4" customWidth="1"/>
    <col min="4" max="4" width="31.125" style="4" customWidth="1"/>
    <col min="5" max="5" width="11.125" style="4" bestFit="1" customWidth="1"/>
    <col min="6" max="6" width="12.625" style="4" customWidth="1"/>
    <col min="7" max="7" width="58" style="4" customWidth="1"/>
    <col min="8" max="8" width="34.125" style="4" customWidth="1"/>
    <col min="9" max="9" width="21.625" style="4" customWidth="1"/>
    <col min="10" max="16384" width="6.625" style="4"/>
  </cols>
  <sheetData>
    <row r="1" spans="1:9" ht="24">
      <c r="A1" s="1" t="e">
        <f ca="1">HYPERLINK("#'介面'!E"&amp;MATCH(VALUE(RIGHT(CELL("filename"),LEN(CELL("filename"))-FIND("]",CELL("filename")))),介面!D:D,"0"),"←")</f>
        <v>#VALUE!</v>
      </c>
      <c r="B1" s="207" t="s">
        <v>34</v>
      </c>
      <c r="C1" s="208"/>
      <c r="D1" s="208"/>
      <c r="E1" s="209"/>
      <c r="F1" s="207" t="s">
        <v>35</v>
      </c>
      <c r="G1" s="208"/>
      <c r="H1" s="208"/>
      <c r="I1" s="208"/>
    </row>
    <row r="2" spans="1:9" ht="24">
      <c r="A2" s="1"/>
      <c r="B2" s="210" t="s">
        <v>275</v>
      </c>
      <c r="C2" s="211"/>
      <c r="D2" s="211"/>
      <c r="E2" s="212"/>
      <c r="F2" s="210"/>
      <c r="G2" s="211"/>
      <c r="H2" s="211"/>
      <c r="I2" s="212"/>
    </row>
    <row r="3" spans="1:9" s="8" customFormat="1" ht="15">
      <c r="A3" s="6"/>
      <c r="B3" s="7" t="s">
        <v>276</v>
      </c>
      <c r="C3" s="56" t="s">
        <v>277</v>
      </c>
      <c r="D3" s="56" t="s">
        <v>278</v>
      </c>
      <c r="E3" s="57" t="s">
        <v>279</v>
      </c>
      <c r="F3" s="57" t="s">
        <v>280</v>
      </c>
      <c r="G3" s="56" t="s">
        <v>281</v>
      </c>
      <c r="H3" s="56" t="s">
        <v>11</v>
      </c>
      <c r="I3" s="56" t="s">
        <v>282</v>
      </c>
    </row>
    <row r="4" spans="1:9" s="24" customFormat="1" ht="15">
      <c r="A4" s="25"/>
      <c r="B4" s="46">
        <v>1</v>
      </c>
      <c r="C4" s="64" t="s">
        <v>283</v>
      </c>
      <c r="D4" s="26" t="s">
        <v>284</v>
      </c>
      <c r="E4" s="27" t="s">
        <v>285</v>
      </c>
      <c r="F4" s="27">
        <v>50</v>
      </c>
      <c r="G4" s="66" t="s">
        <v>286</v>
      </c>
      <c r="H4" s="66"/>
      <c r="I4" s="66" t="s">
        <v>287</v>
      </c>
    </row>
    <row r="5" spans="1:9" s="24" customFormat="1" ht="15">
      <c r="A5" s="25"/>
      <c r="B5" s="46">
        <f>B4+1</f>
        <v>2</v>
      </c>
      <c r="C5" s="50" t="s">
        <v>288</v>
      </c>
      <c r="D5" s="26" t="s">
        <v>289</v>
      </c>
      <c r="E5" s="27" t="s">
        <v>285</v>
      </c>
      <c r="F5" s="27">
        <v>50</v>
      </c>
      <c r="G5" s="52" t="s">
        <v>290</v>
      </c>
      <c r="H5" s="66"/>
      <c r="I5" s="66" t="s">
        <v>287</v>
      </c>
    </row>
    <row r="6" spans="1:9" ht="15.75">
      <c r="A6" s="1"/>
      <c r="B6" s="2"/>
      <c r="C6" s="3"/>
      <c r="D6" s="3"/>
      <c r="E6" s="3"/>
      <c r="F6" s="3"/>
      <c r="G6" s="3"/>
      <c r="H6" s="3"/>
      <c r="I6" s="3"/>
    </row>
    <row r="7" spans="1:9" ht="15.75">
      <c r="A7" s="1"/>
      <c r="B7" s="2"/>
      <c r="C7" s="3"/>
      <c r="D7" s="3"/>
      <c r="E7" s="3"/>
      <c r="F7" s="3"/>
      <c r="G7" s="3"/>
      <c r="H7" s="3"/>
      <c r="I7" s="3"/>
    </row>
    <row r="8" spans="1:9" ht="24">
      <c r="A8" s="1"/>
      <c r="B8" s="204" t="s">
        <v>291</v>
      </c>
      <c r="C8" s="205"/>
      <c r="D8" s="205"/>
      <c r="E8" s="206"/>
      <c r="F8" s="204"/>
      <c r="G8" s="205"/>
      <c r="H8" s="205"/>
      <c r="I8" s="206"/>
    </row>
    <row r="9" spans="1:9" s="8" customFormat="1" ht="15">
      <c r="A9" s="6"/>
      <c r="B9" s="7" t="s">
        <v>276</v>
      </c>
      <c r="C9" s="56" t="s">
        <v>277</v>
      </c>
      <c r="D9" s="56" t="s">
        <v>278</v>
      </c>
      <c r="E9" s="57" t="s">
        <v>279</v>
      </c>
      <c r="F9" s="57" t="s">
        <v>280</v>
      </c>
      <c r="G9" s="56" t="s">
        <v>11</v>
      </c>
      <c r="H9" s="56" t="s">
        <v>292</v>
      </c>
      <c r="I9" s="56" t="s">
        <v>293</v>
      </c>
    </row>
    <row r="10" spans="1:9" s="24" customFormat="1" ht="15.75">
      <c r="A10" s="25"/>
      <c r="B10" s="46">
        <v>1</v>
      </c>
      <c r="C10" s="80" t="s">
        <v>294</v>
      </c>
      <c r="D10" s="80" t="s">
        <v>295</v>
      </c>
      <c r="E10" s="81" t="s">
        <v>296</v>
      </c>
      <c r="F10" s="81">
        <v>20</v>
      </c>
      <c r="G10" s="85"/>
      <c r="H10" s="66"/>
      <c r="I10" s="66"/>
    </row>
    <row r="11" spans="1:9" s="24" customFormat="1" ht="15.75">
      <c r="A11" s="25"/>
      <c r="B11" s="46">
        <f>B10+1</f>
        <v>2</v>
      </c>
      <c r="C11" s="80" t="s">
        <v>297</v>
      </c>
      <c r="D11" s="80" t="s">
        <v>298</v>
      </c>
      <c r="E11" s="81" t="s">
        <v>285</v>
      </c>
      <c r="F11" s="81">
        <v>500</v>
      </c>
      <c r="G11" s="85"/>
      <c r="H11" s="19"/>
      <c r="I11" s="19"/>
    </row>
    <row r="12" spans="1:9" s="24" customFormat="1" ht="15.75">
      <c r="A12" s="25"/>
      <c r="B12" s="46">
        <f>B11+1</f>
        <v>3</v>
      </c>
      <c r="C12" s="80" t="s">
        <v>299</v>
      </c>
      <c r="D12" s="80" t="s">
        <v>300</v>
      </c>
      <c r="E12" s="81" t="s">
        <v>285</v>
      </c>
      <c r="F12" s="81">
        <v>500</v>
      </c>
      <c r="G12" s="85"/>
      <c r="H12" s="19"/>
      <c r="I12" s="19"/>
    </row>
  </sheetData>
  <mergeCells count="6">
    <mergeCell ref="B8:E8"/>
    <mergeCell ref="F8:I8"/>
    <mergeCell ref="B1:E1"/>
    <mergeCell ref="F1:I1"/>
    <mergeCell ref="B2:E2"/>
    <mergeCell ref="F2:I2"/>
  </mergeCells>
  <phoneticPr fontId="5" type="noConversion"/>
  <pageMargins left="0.7" right="0.7" top="0.75" bottom="0.75" header="0.3" footer="0.3"/>
  <pageSetup paperSize="9" orientation="portrait" horizontalDpi="0" verticalDpi="0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8E16794-F5EA-48A1-A933-9F03271F2065}">
  <sheetPr codeName="工作表10"/>
  <dimension ref="A1:I8"/>
  <sheetViews>
    <sheetView workbookViewId="0">
      <selection activeCell="B4" sqref="B4"/>
    </sheetView>
  </sheetViews>
  <sheetFormatPr defaultColWidth="6.625" defaultRowHeight="13.5"/>
  <cols>
    <col min="1" max="1" width="3.125" style="4" bestFit="1" customWidth="1"/>
    <col min="2" max="2" width="5.5" style="8" customWidth="1"/>
    <col min="3" max="3" width="26.625" style="4" customWidth="1"/>
    <col min="4" max="4" width="31.125" style="4" customWidth="1"/>
    <col min="5" max="5" width="11.125" style="4" bestFit="1" customWidth="1"/>
    <col min="6" max="6" width="12.625" style="4" customWidth="1"/>
    <col min="7" max="7" width="58" style="4" customWidth="1"/>
    <col min="8" max="8" width="34.125" style="4" customWidth="1"/>
    <col min="9" max="9" width="21.625" style="4" customWidth="1"/>
    <col min="10" max="16384" width="6.625" style="4"/>
  </cols>
  <sheetData>
    <row r="1" spans="1:9" ht="24">
      <c r="A1" s="1" t="e">
        <f ca="1">HYPERLINK("#'介面'!E"&amp;MATCH(VALUE(RIGHT(CELL("filename"),LEN(CELL("filename"))-FIND("]",CELL("filename")))),介面!D:D,"0"),"←")</f>
        <v>#VALUE!</v>
      </c>
      <c r="B1" s="207" t="s">
        <v>36</v>
      </c>
      <c r="C1" s="208"/>
      <c r="D1" s="208"/>
      <c r="E1" s="209"/>
      <c r="F1" s="207" t="s">
        <v>37</v>
      </c>
      <c r="G1" s="208"/>
      <c r="H1" s="208"/>
      <c r="I1" s="208"/>
    </row>
    <row r="2" spans="1:9" ht="24">
      <c r="A2" s="1"/>
      <c r="B2" s="210" t="s">
        <v>275</v>
      </c>
      <c r="C2" s="211"/>
      <c r="D2" s="211"/>
      <c r="E2" s="212"/>
      <c r="F2" s="210"/>
      <c r="G2" s="211"/>
      <c r="H2" s="211"/>
      <c r="I2" s="212"/>
    </row>
    <row r="3" spans="1:9" s="8" customFormat="1" ht="15">
      <c r="A3" s="6"/>
      <c r="B3" s="7" t="s">
        <v>276</v>
      </c>
      <c r="C3" s="56" t="s">
        <v>277</v>
      </c>
      <c r="D3" s="56" t="s">
        <v>278</v>
      </c>
      <c r="E3" s="57" t="s">
        <v>279</v>
      </c>
      <c r="F3" s="57" t="s">
        <v>280</v>
      </c>
      <c r="G3" s="56" t="s">
        <v>281</v>
      </c>
      <c r="H3" s="56" t="s">
        <v>11</v>
      </c>
      <c r="I3" s="56" t="s">
        <v>282</v>
      </c>
    </row>
    <row r="4" spans="1:9" s="24" customFormat="1" ht="15.75">
      <c r="A4" s="25"/>
      <c r="B4" s="46">
        <v>1</v>
      </c>
      <c r="C4" s="80" t="s">
        <v>299</v>
      </c>
      <c r="D4" s="80" t="s">
        <v>300</v>
      </c>
      <c r="E4" s="81" t="s">
        <v>285</v>
      </c>
      <c r="F4" s="81">
        <v>500</v>
      </c>
      <c r="G4" s="66"/>
      <c r="H4" s="66"/>
      <c r="I4" s="66" t="s">
        <v>287</v>
      </c>
    </row>
    <row r="5" spans="1:9" ht="15.75">
      <c r="A5" s="1"/>
      <c r="B5" s="2"/>
      <c r="C5" s="3"/>
      <c r="D5" s="3"/>
      <c r="E5" s="3"/>
      <c r="F5" s="3"/>
      <c r="G5" s="3"/>
      <c r="H5" s="3"/>
      <c r="I5" s="3"/>
    </row>
    <row r="6" spans="1:9" ht="15.75">
      <c r="A6" s="1"/>
      <c r="B6" s="2"/>
      <c r="C6" s="3"/>
      <c r="D6" s="3"/>
      <c r="E6" s="3"/>
      <c r="F6" s="3"/>
      <c r="G6" s="3"/>
      <c r="H6" s="3"/>
      <c r="I6" s="3"/>
    </row>
    <row r="7" spans="1:9" ht="24">
      <c r="A7" s="1"/>
      <c r="B7" s="204" t="s">
        <v>291</v>
      </c>
      <c r="C7" s="205"/>
      <c r="D7" s="205"/>
      <c r="E7" s="206"/>
      <c r="F7" s="204"/>
      <c r="G7" s="205"/>
      <c r="H7" s="205"/>
      <c r="I7" s="206"/>
    </row>
    <row r="8" spans="1:9" s="8" customFormat="1" ht="15">
      <c r="A8" s="6"/>
      <c r="B8" s="7" t="s">
        <v>276</v>
      </c>
      <c r="C8" s="56" t="s">
        <v>277</v>
      </c>
      <c r="D8" s="56" t="s">
        <v>278</v>
      </c>
      <c r="E8" s="57" t="s">
        <v>279</v>
      </c>
      <c r="F8" s="57" t="s">
        <v>280</v>
      </c>
      <c r="G8" s="56" t="s">
        <v>11</v>
      </c>
      <c r="H8" s="56" t="s">
        <v>292</v>
      </c>
      <c r="I8" s="56" t="s">
        <v>293</v>
      </c>
    </row>
  </sheetData>
  <mergeCells count="6">
    <mergeCell ref="B7:E7"/>
    <mergeCell ref="F7:I7"/>
    <mergeCell ref="B1:E1"/>
    <mergeCell ref="F1:I1"/>
    <mergeCell ref="B2:E2"/>
    <mergeCell ref="F2:I2"/>
  </mergeCells>
  <phoneticPr fontId="5" type="noConversion"/>
  <pageMargins left="0.7" right="0.7" top="0.75" bottom="0.75" header="0.3" footer="0.3"/>
  <pageSetup paperSize="9" orientation="portrait" horizontalDpi="0" verticalDpi="0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D3F13EA-E955-418D-98D7-8F07B4BFF8EF}">
  <sheetPr codeName="工作表11"/>
  <dimension ref="A1:I9"/>
  <sheetViews>
    <sheetView workbookViewId="0"/>
  </sheetViews>
  <sheetFormatPr defaultColWidth="6.625" defaultRowHeight="13.5"/>
  <cols>
    <col min="1" max="1" width="3.125" style="4" bestFit="1" customWidth="1"/>
    <col min="2" max="2" width="5.5" style="8" customWidth="1"/>
    <col min="3" max="3" width="26.625" style="4" customWidth="1"/>
    <col min="4" max="4" width="31.125" style="4" customWidth="1"/>
    <col min="5" max="5" width="11.125" style="4" bestFit="1" customWidth="1"/>
    <col min="6" max="6" width="12.625" style="4" customWidth="1"/>
    <col min="7" max="7" width="58" style="4" customWidth="1"/>
    <col min="8" max="8" width="34.125" style="4" customWidth="1"/>
    <col min="9" max="9" width="21.625" style="4" customWidth="1"/>
    <col min="10" max="16384" width="6.625" style="4"/>
  </cols>
  <sheetData>
    <row r="1" spans="1:9" ht="24">
      <c r="A1" s="1" t="e">
        <f ca="1">HYPERLINK("#'介面'!E"&amp;MATCH(VALUE(RIGHT(CELL("filename"),LEN(CELL("filename"))-FIND("]",CELL("filename")))),介面!D:D,"0"),"←")</f>
        <v>#VALUE!</v>
      </c>
      <c r="B1" s="207" t="s">
        <v>38</v>
      </c>
      <c r="C1" s="208"/>
      <c r="D1" s="208"/>
      <c r="E1" s="209"/>
      <c r="F1" s="207" t="s">
        <v>39</v>
      </c>
      <c r="G1" s="208"/>
      <c r="H1" s="208"/>
      <c r="I1" s="208"/>
    </row>
    <row r="2" spans="1:9" ht="24">
      <c r="A2" s="1"/>
      <c r="B2" s="210" t="s">
        <v>275</v>
      </c>
      <c r="C2" s="211"/>
      <c r="D2" s="211"/>
      <c r="E2" s="212"/>
      <c r="F2" s="210"/>
      <c r="G2" s="211"/>
      <c r="H2" s="211"/>
      <c r="I2" s="212"/>
    </row>
    <row r="3" spans="1:9" s="8" customFormat="1" ht="15">
      <c r="A3" s="6"/>
      <c r="B3" s="7" t="s">
        <v>276</v>
      </c>
      <c r="C3" s="56" t="s">
        <v>277</v>
      </c>
      <c r="D3" s="56" t="s">
        <v>278</v>
      </c>
      <c r="E3" s="57" t="s">
        <v>279</v>
      </c>
      <c r="F3" s="57" t="s">
        <v>280</v>
      </c>
      <c r="G3" s="56" t="s">
        <v>281</v>
      </c>
      <c r="H3" s="56" t="s">
        <v>11</v>
      </c>
      <c r="I3" s="56" t="s">
        <v>282</v>
      </c>
    </row>
    <row r="4" spans="1:9" s="24" customFormat="1" ht="15.75">
      <c r="A4" s="25"/>
      <c r="B4" s="46">
        <v>1</v>
      </c>
      <c r="C4" s="80" t="s">
        <v>299</v>
      </c>
      <c r="D4" s="80" t="s">
        <v>300</v>
      </c>
      <c r="E4" s="81" t="s">
        <v>285</v>
      </c>
      <c r="F4" s="81">
        <v>500</v>
      </c>
      <c r="G4" s="66"/>
      <c r="H4" s="66"/>
      <c r="I4" s="66" t="s">
        <v>287</v>
      </c>
    </row>
    <row r="5" spans="1:9" ht="15.75">
      <c r="A5" s="1"/>
      <c r="B5" s="2"/>
      <c r="C5" s="3"/>
      <c r="D5" s="3"/>
      <c r="E5" s="3"/>
      <c r="F5" s="3"/>
      <c r="G5" s="3"/>
      <c r="H5" s="3"/>
      <c r="I5" s="3"/>
    </row>
    <row r="6" spans="1:9" ht="15.75">
      <c r="A6" s="1"/>
      <c r="B6" s="2"/>
      <c r="C6" s="3"/>
      <c r="D6" s="3"/>
      <c r="E6" s="3"/>
      <c r="F6" s="3"/>
      <c r="G6" s="3"/>
      <c r="H6" s="3"/>
      <c r="I6" s="3"/>
    </row>
    <row r="7" spans="1:9" ht="24">
      <c r="A7" s="1"/>
      <c r="B7" s="204" t="s">
        <v>291</v>
      </c>
      <c r="C7" s="205"/>
      <c r="D7" s="205"/>
      <c r="E7" s="206"/>
      <c r="F7" s="204"/>
      <c r="G7" s="205"/>
      <c r="H7" s="205"/>
      <c r="I7" s="206"/>
    </row>
    <row r="8" spans="1:9" s="8" customFormat="1" ht="15">
      <c r="A8" s="6"/>
      <c r="B8" s="7" t="s">
        <v>276</v>
      </c>
      <c r="C8" s="56" t="s">
        <v>277</v>
      </c>
      <c r="D8" s="56" t="s">
        <v>278</v>
      </c>
      <c r="E8" s="57" t="s">
        <v>279</v>
      </c>
      <c r="F8" s="57" t="s">
        <v>280</v>
      </c>
      <c r="G8" s="56" t="s">
        <v>11</v>
      </c>
      <c r="H8" s="56" t="s">
        <v>292</v>
      </c>
      <c r="I8" s="56" t="s">
        <v>293</v>
      </c>
    </row>
    <row r="9" spans="1:9" s="24" customFormat="1" ht="15.75">
      <c r="A9" s="25"/>
      <c r="B9" s="46">
        <v>1</v>
      </c>
      <c r="C9" s="80" t="s">
        <v>297</v>
      </c>
      <c r="D9" s="80" t="s">
        <v>298</v>
      </c>
      <c r="E9" s="81" t="s">
        <v>285</v>
      </c>
      <c r="F9" s="81">
        <v>500</v>
      </c>
      <c r="G9" s="85"/>
      <c r="H9" s="19"/>
      <c r="I9" s="19"/>
    </row>
  </sheetData>
  <mergeCells count="6">
    <mergeCell ref="B7:E7"/>
    <mergeCell ref="F7:I7"/>
    <mergeCell ref="B1:E1"/>
    <mergeCell ref="F1:I1"/>
    <mergeCell ref="B2:E2"/>
    <mergeCell ref="F2:I2"/>
  </mergeCells>
  <phoneticPr fontId="5" type="noConversion"/>
  <pageMargins left="0.7" right="0.7" top="0.75" bottom="0.75" header="0.3" footer="0.3"/>
  <pageSetup paperSize="9" orientation="portrait" horizontalDpi="0" verticalDpi="0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61630C9-6DA4-400E-B9BC-59C72063D018}">
  <sheetPr codeName="工作表12"/>
  <dimension ref="A1:I19"/>
  <sheetViews>
    <sheetView zoomScale="115" zoomScaleNormal="115" workbookViewId="0">
      <selection activeCell="B1" sqref="B1:E1"/>
    </sheetView>
  </sheetViews>
  <sheetFormatPr defaultColWidth="6.625" defaultRowHeight="13.5"/>
  <cols>
    <col min="1" max="1" width="3.125" style="4" bestFit="1" customWidth="1"/>
    <col min="2" max="2" width="5.5" style="8" customWidth="1"/>
    <col min="3" max="3" width="23.125" style="4" customWidth="1"/>
    <col min="4" max="4" width="18.625" style="4" customWidth="1"/>
    <col min="5" max="5" width="11.125" style="4" bestFit="1" customWidth="1"/>
    <col min="6" max="6" width="7.125" style="4" bestFit="1" customWidth="1"/>
    <col min="7" max="7" width="46.5" style="4" customWidth="1"/>
    <col min="8" max="8" width="24.5" style="4" customWidth="1"/>
    <col min="9" max="9" width="9.375" style="4" customWidth="1"/>
    <col min="10" max="16384" width="6.625" style="4"/>
  </cols>
  <sheetData>
    <row r="1" spans="1:9" ht="24">
      <c r="A1" s="1" t="e">
        <f ca="1">HYPERLINK("#'介面'!E"&amp;MATCH(VALUE(RIGHT(CELL("filename"),LEN(CELL("filename"))-FIND("]",CELL("filename")))),介面!D:D,"0"),"←")</f>
        <v>#VALUE!</v>
      </c>
      <c r="B1" s="207" t="s">
        <v>41</v>
      </c>
      <c r="C1" s="208"/>
      <c r="D1" s="208"/>
      <c r="E1" s="209"/>
      <c r="F1" s="213" t="s">
        <v>301</v>
      </c>
      <c r="G1" s="214"/>
      <c r="H1" s="214"/>
      <c r="I1" s="215"/>
    </row>
    <row r="2" spans="1:9" ht="24">
      <c r="A2" s="1"/>
      <c r="B2" s="210" t="s">
        <v>275</v>
      </c>
      <c r="C2" s="211"/>
      <c r="D2" s="211"/>
      <c r="E2" s="212"/>
      <c r="F2" s="210"/>
      <c r="G2" s="211"/>
      <c r="H2" s="211"/>
      <c r="I2" s="212"/>
    </row>
    <row r="3" spans="1:9" s="8" customFormat="1" ht="15">
      <c r="A3" s="6"/>
      <c r="B3" s="7" t="s">
        <v>276</v>
      </c>
      <c r="C3" s="56" t="s">
        <v>277</v>
      </c>
      <c r="D3" s="56" t="s">
        <v>278</v>
      </c>
      <c r="E3" s="57" t="s">
        <v>279</v>
      </c>
      <c r="F3" s="57" t="s">
        <v>280</v>
      </c>
      <c r="G3" s="56" t="s">
        <v>281</v>
      </c>
      <c r="H3" s="56" t="s">
        <v>11</v>
      </c>
      <c r="I3" s="56" t="s">
        <v>282</v>
      </c>
    </row>
    <row r="4" spans="1:9" s="24" customFormat="1" ht="15.75">
      <c r="A4" s="25"/>
      <c r="B4" s="46">
        <v>1</v>
      </c>
      <c r="C4" s="80" t="s">
        <v>297</v>
      </c>
      <c r="D4" s="80" t="s">
        <v>298</v>
      </c>
      <c r="E4" s="81" t="s">
        <v>285</v>
      </c>
      <c r="F4" s="81">
        <v>500</v>
      </c>
      <c r="G4" s="66"/>
      <c r="H4" s="142" t="s">
        <v>302</v>
      </c>
      <c r="I4" s="66" t="s">
        <v>287</v>
      </c>
    </row>
    <row r="5" spans="1:9" ht="15.75">
      <c r="A5" s="1"/>
      <c r="B5" s="2"/>
      <c r="C5" s="3"/>
      <c r="D5" s="3"/>
      <c r="E5" s="3"/>
      <c r="F5" s="3"/>
      <c r="G5" s="3"/>
      <c r="H5" s="3"/>
      <c r="I5" s="3"/>
    </row>
    <row r="6" spans="1:9" ht="15.75">
      <c r="A6" s="1"/>
      <c r="B6" s="2"/>
      <c r="C6" s="3"/>
      <c r="D6" s="3"/>
      <c r="E6" s="3"/>
      <c r="F6" s="3"/>
      <c r="G6" s="3"/>
      <c r="H6" s="3"/>
      <c r="I6" s="3"/>
    </row>
    <row r="7" spans="1:9" ht="24">
      <c r="A7" s="1"/>
      <c r="B7" s="204" t="s">
        <v>291</v>
      </c>
      <c r="C7" s="205"/>
      <c r="D7" s="205"/>
      <c r="E7" s="206"/>
      <c r="F7" s="204"/>
      <c r="G7" s="205"/>
      <c r="H7" s="205"/>
      <c r="I7" s="206"/>
    </row>
    <row r="8" spans="1:9" s="8" customFormat="1" ht="15">
      <c r="A8" s="6"/>
      <c r="B8" s="7" t="s">
        <v>276</v>
      </c>
      <c r="C8" s="56" t="s">
        <v>277</v>
      </c>
      <c r="D8" s="56" t="s">
        <v>278</v>
      </c>
      <c r="E8" s="57" t="s">
        <v>279</v>
      </c>
      <c r="F8" s="57" t="s">
        <v>280</v>
      </c>
      <c r="G8" s="56" t="s">
        <v>11</v>
      </c>
      <c r="H8" s="56" t="s">
        <v>292</v>
      </c>
      <c r="I8" s="56" t="s">
        <v>293</v>
      </c>
    </row>
    <row r="9" spans="1:9" s="111" customFormat="1" ht="15.75">
      <c r="A9" s="106"/>
      <c r="B9" s="107">
        <v>1</v>
      </c>
      <c r="C9" s="108" t="s">
        <v>303</v>
      </c>
      <c r="D9" s="108" t="s">
        <v>304</v>
      </c>
      <c r="E9" s="109" t="s">
        <v>296</v>
      </c>
      <c r="F9" s="109">
        <v>20</v>
      </c>
      <c r="G9" s="110"/>
      <c r="H9" s="110"/>
      <c r="I9" s="110"/>
    </row>
    <row r="10" spans="1:9" s="111" customFormat="1" ht="15.75">
      <c r="A10" s="106"/>
      <c r="B10" s="107">
        <f>B9+1</f>
        <v>2</v>
      </c>
      <c r="C10" s="108" t="s">
        <v>305</v>
      </c>
      <c r="D10" s="108" t="s">
        <v>306</v>
      </c>
      <c r="E10" s="109" t="s">
        <v>285</v>
      </c>
      <c r="F10" s="109">
        <v>20</v>
      </c>
      <c r="G10" s="110"/>
      <c r="H10" s="110"/>
      <c r="I10" s="110"/>
    </row>
    <row r="11" spans="1:9" s="111" customFormat="1" ht="15.75">
      <c r="A11" s="106"/>
      <c r="B11" s="107">
        <f t="shared" ref="B11:B17" si="0">B10+1</f>
        <v>3</v>
      </c>
      <c r="C11" s="108" t="s">
        <v>307</v>
      </c>
      <c r="D11" s="108" t="s">
        <v>308</v>
      </c>
      <c r="E11" s="109" t="s">
        <v>285</v>
      </c>
      <c r="F11" s="109">
        <v>200</v>
      </c>
      <c r="G11" s="110"/>
      <c r="H11" s="110"/>
      <c r="I11" s="110"/>
    </row>
    <row r="12" spans="1:9" s="111" customFormat="1" ht="15.75">
      <c r="A12" s="112"/>
      <c r="B12" s="107">
        <f t="shared" si="0"/>
        <v>4</v>
      </c>
      <c r="C12" s="108" t="s">
        <v>309</v>
      </c>
      <c r="D12" s="108" t="s">
        <v>310</v>
      </c>
      <c r="E12" s="109" t="s">
        <v>285</v>
      </c>
      <c r="F12" s="109">
        <v>2000</v>
      </c>
      <c r="G12" s="110"/>
      <c r="H12" s="110"/>
      <c r="I12" s="110"/>
    </row>
    <row r="13" spans="1:9" s="111" customFormat="1" ht="15.75">
      <c r="A13" s="112"/>
      <c r="B13" s="107">
        <f t="shared" si="0"/>
        <v>5</v>
      </c>
      <c r="C13" s="108" t="s">
        <v>311</v>
      </c>
      <c r="D13" s="108" t="s">
        <v>312</v>
      </c>
      <c r="E13" s="109" t="s">
        <v>313</v>
      </c>
      <c r="F13" s="109"/>
      <c r="G13" s="110"/>
      <c r="H13" s="110"/>
      <c r="I13" s="110"/>
    </row>
    <row r="14" spans="1:9" s="111" customFormat="1" ht="15.75">
      <c r="A14" s="112"/>
      <c r="B14" s="107">
        <f t="shared" si="0"/>
        <v>6</v>
      </c>
      <c r="C14" s="108" t="s">
        <v>314</v>
      </c>
      <c r="D14" s="108" t="s">
        <v>315</v>
      </c>
      <c r="E14" s="109" t="s">
        <v>316</v>
      </c>
      <c r="F14" s="109"/>
      <c r="G14" s="110"/>
      <c r="H14" s="110"/>
      <c r="I14" s="110"/>
    </row>
    <row r="15" spans="1:9" s="111" customFormat="1" ht="25.5" customHeight="1">
      <c r="A15" s="112"/>
      <c r="B15" s="107">
        <f t="shared" si="0"/>
        <v>7</v>
      </c>
      <c r="C15" s="108" t="s">
        <v>317</v>
      </c>
      <c r="D15" s="108" t="s">
        <v>318</v>
      </c>
      <c r="E15" s="109" t="s">
        <v>285</v>
      </c>
      <c r="F15" s="109">
        <v>5</v>
      </c>
      <c r="G15" s="160" t="s">
        <v>319</v>
      </c>
      <c r="H15" s="110" t="s">
        <v>320</v>
      </c>
      <c r="I15" s="110"/>
    </row>
    <row r="16" spans="1:9" s="95" customFormat="1" ht="21.75" customHeight="1">
      <c r="A16" s="113"/>
      <c r="B16" s="107">
        <f t="shared" si="0"/>
        <v>8</v>
      </c>
      <c r="C16" s="114" t="s">
        <v>321</v>
      </c>
      <c r="D16" s="114" t="s">
        <v>322</v>
      </c>
      <c r="E16" s="115" t="s">
        <v>285</v>
      </c>
      <c r="F16" s="115">
        <v>20</v>
      </c>
      <c r="G16" s="161"/>
      <c r="H16" s="116" t="s">
        <v>323</v>
      </c>
      <c r="I16" s="116"/>
    </row>
    <row r="17" spans="1:9" s="111" customFormat="1" ht="15.75">
      <c r="A17" s="112"/>
      <c r="B17" s="107">
        <f t="shared" si="0"/>
        <v>9</v>
      </c>
      <c r="C17" s="108" t="s">
        <v>324</v>
      </c>
      <c r="D17" s="108" t="s">
        <v>325</v>
      </c>
      <c r="E17" s="109" t="s">
        <v>326</v>
      </c>
      <c r="F17" s="109">
        <v>4</v>
      </c>
      <c r="G17" s="110" t="s">
        <v>327</v>
      </c>
      <c r="H17" s="110" t="s">
        <v>328</v>
      </c>
      <c r="I17" s="110"/>
    </row>
    <row r="18" spans="1:9" ht="15">
      <c r="B18" s="45"/>
    </row>
    <row r="19" spans="1:9" ht="15">
      <c r="B19" s="45"/>
    </row>
  </sheetData>
  <mergeCells count="6">
    <mergeCell ref="B7:E7"/>
    <mergeCell ref="F7:I7"/>
    <mergeCell ref="B1:E1"/>
    <mergeCell ref="F1:I1"/>
    <mergeCell ref="B2:E2"/>
    <mergeCell ref="F2:I2"/>
  </mergeCells>
  <phoneticPr fontId="5" type="noConversion"/>
  <pageMargins left="0.7" right="0.7" top="0.75" bottom="0.75" header="0.3" footer="0.3"/>
  <pageSetup paperSize="9" orientation="portrait" horizontalDpi="0" verticalDpi="0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4583DAD-CE9C-40E8-86E3-E2AC47FA19B7}">
  <sheetPr codeName="工作表13"/>
  <dimension ref="A1:Z51"/>
  <sheetViews>
    <sheetView zoomScale="115" zoomScaleNormal="115" workbookViewId="0">
      <selection activeCell="A51" sqref="A48:IV51"/>
    </sheetView>
  </sheetViews>
  <sheetFormatPr defaultColWidth="6.625" defaultRowHeight="13.5"/>
  <cols>
    <col min="1" max="1" width="3.125" style="4" bestFit="1" customWidth="1"/>
    <col min="2" max="2" width="5.5" style="8" customWidth="1"/>
    <col min="3" max="4" width="28.125" style="4" customWidth="1"/>
    <col min="5" max="5" width="9.625" style="4" customWidth="1"/>
    <col min="6" max="6" width="6.125" style="4" customWidth="1"/>
    <col min="7" max="7" width="40.375" style="4" customWidth="1"/>
    <col min="8" max="8" width="31.5" style="4" customWidth="1"/>
    <col min="9" max="9" width="15.125" style="4" customWidth="1"/>
    <col min="10" max="16384" width="6.625" style="4"/>
  </cols>
  <sheetData>
    <row r="1" spans="1:26" ht="24">
      <c r="A1" s="1" t="e">
        <f ca="1">HYPERLINK("#'介面'!E"&amp;MATCH(VALUE(RIGHT(CELL("filename"),LEN(CELL("filename"))-FIND("]",CELL("filename")))),介面!D:D,"0"),"←")</f>
        <v>#VALUE!</v>
      </c>
      <c r="B1" s="207" t="s">
        <v>43</v>
      </c>
      <c r="C1" s="208"/>
      <c r="D1" s="208"/>
      <c r="E1" s="209"/>
      <c r="F1" s="207" t="s">
        <v>329</v>
      </c>
      <c r="G1" s="208"/>
      <c r="H1" s="208"/>
      <c r="I1" s="208"/>
    </row>
    <row r="2" spans="1:26" ht="24">
      <c r="A2" s="1"/>
      <c r="B2" s="210" t="s">
        <v>275</v>
      </c>
      <c r="C2" s="211"/>
      <c r="D2" s="211"/>
      <c r="E2" s="212"/>
      <c r="F2" s="210"/>
      <c r="G2" s="211"/>
      <c r="H2" s="211"/>
      <c r="I2" s="212"/>
    </row>
    <row r="3" spans="1:26" s="8" customFormat="1" ht="15">
      <c r="A3" s="6"/>
      <c r="B3" s="7" t="s">
        <v>276</v>
      </c>
      <c r="C3" s="56" t="s">
        <v>277</v>
      </c>
      <c r="D3" s="56" t="s">
        <v>278</v>
      </c>
      <c r="E3" s="57" t="s">
        <v>279</v>
      </c>
      <c r="F3" s="57" t="s">
        <v>280</v>
      </c>
      <c r="G3" s="56" t="s">
        <v>281</v>
      </c>
      <c r="H3" s="56" t="s">
        <v>11</v>
      </c>
      <c r="I3" s="56" t="s">
        <v>282</v>
      </c>
    </row>
    <row r="4" spans="1:26" s="24" customFormat="1" ht="15.75">
      <c r="A4" s="25"/>
      <c r="B4" s="46">
        <v>1</v>
      </c>
      <c r="C4" s="80" t="s">
        <v>297</v>
      </c>
      <c r="D4" s="80" t="s">
        <v>298</v>
      </c>
      <c r="E4" s="81" t="s">
        <v>285</v>
      </c>
      <c r="F4" s="81">
        <v>500</v>
      </c>
      <c r="G4" s="19" t="s">
        <v>330</v>
      </c>
      <c r="H4" s="142" t="s">
        <v>302</v>
      </c>
      <c r="I4" s="66" t="s">
        <v>287</v>
      </c>
    </row>
    <row r="5" spans="1:26" s="24" customFormat="1" ht="15">
      <c r="A5" s="25"/>
      <c r="B5" s="46">
        <v>2</v>
      </c>
      <c r="C5" s="50" t="s">
        <v>303</v>
      </c>
      <c r="D5" s="76" t="s">
        <v>304</v>
      </c>
      <c r="E5" s="51" t="s">
        <v>296</v>
      </c>
      <c r="F5" s="51">
        <v>20</v>
      </c>
      <c r="G5" s="66" t="s">
        <v>331</v>
      </c>
      <c r="H5" s="66"/>
      <c r="I5" s="66" t="s">
        <v>287</v>
      </c>
    </row>
    <row r="6" spans="1:26" s="98" customFormat="1" ht="15">
      <c r="A6" s="96"/>
      <c r="B6" s="46">
        <v>3</v>
      </c>
      <c r="C6" s="50" t="s">
        <v>332</v>
      </c>
      <c r="D6" s="50" t="s">
        <v>333</v>
      </c>
      <c r="E6" s="51" t="s">
        <v>285</v>
      </c>
      <c r="F6" s="51">
        <v>1</v>
      </c>
      <c r="G6" s="52" t="s">
        <v>334</v>
      </c>
      <c r="H6" s="66"/>
      <c r="I6" s="66" t="s">
        <v>287</v>
      </c>
    </row>
    <row r="7" spans="1:26" s="24" customFormat="1" ht="15">
      <c r="A7" s="25"/>
      <c r="B7" s="46">
        <v>4</v>
      </c>
      <c r="C7" s="50" t="s">
        <v>335</v>
      </c>
      <c r="D7" s="76" t="s">
        <v>336</v>
      </c>
      <c r="E7" s="51" t="s">
        <v>316</v>
      </c>
      <c r="F7" s="51"/>
      <c r="G7" s="66" t="s">
        <v>337</v>
      </c>
      <c r="H7" s="66"/>
      <c r="I7" s="66" t="s">
        <v>287</v>
      </c>
    </row>
    <row r="8" spans="1:26" ht="15.75">
      <c r="A8" s="1"/>
      <c r="B8" s="2"/>
      <c r="C8" s="3"/>
      <c r="D8" s="3"/>
      <c r="E8" s="3"/>
      <c r="F8" s="3"/>
      <c r="G8" s="3"/>
      <c r="H8" s="3"/>
      <c r="I8" s="3"/>
    </row>
    <row r="9" spans="1:26" ht="24">
      <c r="A9" s="1"/>
      <c r="B9" s="204" t="s">
        <v>291</v>
      </c>
      <c r="C9" s="205"/>
      <c r="D9" s="205"/>
      <c r="E9" s="206"/>
      <c r="F9" s="204"/>
      <c r="G9" s="205"/>
      <c r="H9" s="205"/>
      <c r="I9" s="206"/>
    </row>
    <row r="10" spans="1:26" s="8" customFormat="1" ht="15">
      <c r="A10" s="6"/>
      <c r="B10" s="7" t="s">
        <v>276</v>
      </c>
      <c r="C10" s="56" t="s">
        <v>277</v>
      </c>
      <c r="D10" s="56" t="s">
        <v>278</v>
      </c>
      <c r="E10" s="57" t="s">
        <v>279</v>
      </c>
      <c r="F10" s="57" t="s">
        <v>280</v>
      </c>
      <c r="G10" s="56" t="s">
        <v>11</v>
      </c>
      <c r="H10" s="56" t="s">
        <v>292</v>
      </c>
      <c r="I10" s="56" t="s">
        <v>293</v>
      </c>
    </row>
    <row r="11" spans="1:26" s="98" customFormat="1" ht="15">
      <c r="A11" s="96"/>
      <c r="B11" s="97">
        <v>1</v>
      </c>
      <c r="C11" s="76" t="s">
        <v>338</v>
      </c>
      <c r="D11" s="76" t="s">
        <v>339</v>
      </c>
      <c r="E11" s="51" t="s">
        <v>296</v>
      </c>
      <c r="F11" s="51">
        <v>20</v>
      </c>
      <c r="G11" s="19"/>
      <c r="H11" s="19"/>
      <c r="I11" s="19"/>
    </row>
    <row r="12" spans="1:26" s="98" customFormat="1" ht="15">
      <c r="A12" s="96"/>
      <c r="B12" s="97">
        <f t="shared" ref="B12:B51" si="0">B11+1</f>
        <v>2</v>
      </c>
      <c r="C12" s="50" t="s">
        <v>303</v>
      </c>
      <c r="D12" s="76" t="s">
        <v>304</v>
      </c>
      <c r="E12" s="51" t="s">
        <v>296</v>
      </c>
      <c r="F12" s="51">
        <v>20</v>
      </c>
      <c r="G12" s="19"/>
      <c r="H12" s="19" t="s">
        <v>41</v>
      </c>
      <c r="I12" s="19"/>
    </row>
    <row r="13" spans="1:26" s="98" customFormat="1" ht="15">
      <c r="A13" s="96"/>
      <c r="B13" s="97">
        <f t="shared" si="0"/>
        <v>3</v>
      </c>
      <c r="C13" s="50" t="s">
        <v>332</v>
      </c>
      <c r="D13" s="50" t="s">
        <v>333</v>
      </c>
      <c r="E13" s="51" t="s">
        <v>285</v>
      </c>
      <c r="F13" s="51">
        <v>1</v>
      </c>
      <c r="G13" s="52" t="s">
        <v>334</v>
      </c>
      <c r="H13" s="19"/>
      <c r="I13" s="19"/>
    </row>
    <row r="14" spans="1:26" s="98" customFormat="1" ht="15">
      <c r="A14" s="96"/>
      <c r="B14" s="97">
        <f t="shared" si="0"/>
        <v>4</v>
      </c>
      <c r="C14" s="64" t="s">
        <v>340</v>
      </c>
      <c r="D14" s="64" t="s">
        <v>341</v>
      </c>
      <c r="E14" s="62" t="s">
        <v>285</v>
      </c>
      <c r="F14" s="62">
        <v>20</v>
      </c>
      <c r="G14" s="66" t="s">
        <v>342</v>
      </c>
      <c r="H14" s="66"/>
      <c r="I14" s="66"/>
    </row>
    <row r="15" spans="1:26" s="98" customFormat="1" ht="15">
      <c r="A15" s="96"/>
      <c r="B15" s="97">
        <f t="shared" si="0"/>
        <v>5</v>
      </c>
      <c r="C15" s="50" t="s">
        <v>343</v>
      </c>
      <c r="D15" s="76" t="s">
        <v>344</v>
      </c>
      <c r="E15" s="51" t="s">
        <v>285</v>
      </c>
      <c r="F15" s="51">
        <v>50</v>
      </c>
      <c r="G15" s="52"/>
      <c r="H15" s="19"/>
      <c r="I15" s="19"/>
    </row>
    <row r="16" spans="1:26" s="98" customFormat="1" ht="15">
      <c r="A16" s="96"/>
      <c r="B16" s="97">
        <f t="shared" si="0"/>
        <v>6</v>
      </c>
      <c r="C16" s="64" t="s">
        <v>345</v>
      </c>
      <c r="D16" s="76" t="s">
        <v>346</v>
      </c>
      <c r="E16" s="62" t="s">
        <v>285</v>
      </c>
      <c r="F16" s="62">
        <v>100</v>
      </c>
      <c r="G16" s="66"/>
      <c r="H16" s="66"/>
      <c r="I16" s="66"/>
      <c r="W16" s="49" t="e">
        <f>IF(#REF!="Y",#REF!,"")</f>
        <v>#REF!</v>
      </c>
      <c r="X16" s="49" t="e">
        <f>IF(#REF!="Y",#REF!,"")</f>
        <v>#REF!</v>
      </c>
      <c r="Y16" s="49" t="e">
        <f>IF(#REF!="Y",$H16,"")</f>
        <v>#REF!</v>
      </c>
      <c r="Z16" s="43" t="e">
        <f>IF(#REF!="Y","INSERT INTO `sys_table_relation` (`TABLE_NAME`, `CHILD_TABLE_NAME`, `SQL_QUERY`, `ERROR_DESC` ,`ERROR_DESC_JSON`) VALUES ('" &amp;$H16 &amp; "', '" &amp; $W16 &amp; "', '" &amp; "select count(*) from "&amp; $W16 &amp;" where " &amp; IF(COUNTIF(D:D,"IS_DESTROYED"),"IS_DESTROYED=0 and ","") &amp;   $D16 &amp; "={pid}" &amp; "', " &amp; "'【"&amp; $X16 &amp;"】已使用此筆資料，故不可刪除!!'" &amp; ",'" &amp; SUBSTITUTE("{'zh_TW': '" &amp;  "【"&amp; $X16 &amp;"】已使用此筆資料，不可刪除!!"  &amp; "' ,'en_US': '" &amp;  "Have used this information, it can not be deleted !!" &amp; "'  ,'zh_CN': '" &amp; "【"&amp; $X16 &amp;"】已使用此筆資料，不可刪除!!" &amp; "' }", CHAR(39),CHAR(34))   &amp; "');","")</f>
        <v>#REF!</v>
      </c>
    </row>
    <row r="17" spans="1:26" s="98" customFormat="1" ht="15">
      <c r="A17" s="96"/>
      <c r="B17" s="97">
        <f t="shared" si="0"/>
        <v>7</v>
      </c>
      <c r="C17" s="50" t="s">
        <v>347</v>
      </c>
      <c r="D17" s="76" t="s">
        <v>348</v>
      </c>
      <c r="E17" s="51" t="s">
        <v>285</v>
      </c>
      <c r="F17" s="51">
        <v>1000</v>
      </c>
      <c r="G17" s="19"/>
      <c r="H17" s="19"/>
      <c r="I17" s="19"/>
    </row>
    <row r="18" spans="1:26" s="98" customFormat="1" ht="15">
      <c r="A18" s="96"/>
      <c r="B18" s="97">
        <f t="shared" si="0"/>
        <v>8</v>
      </c>
      <c r="C18" s="64" t="s">
        <v>349</v>
      </c>
      <c r="D18" s="76" t="s">
        <v>350</v>
      </c>
      <c r="E18" s="62" t="s">
        <v>285</v>
      </c>
      <c r="F18" s="62">
        <v>100</v>
      </c>
      <c r="G18" s="63"/>
      <c r="H18" s="66"/>
      <c r="I18" s="66"/>
      <c r="W18" s="49" t="e">
        <f>IF(#REF!="Y",#REF!,"")</f>
        <v>#REF!</v>
      </c>
      <c r="X18" s="49" t="e">
        <f>IF(#REF!="Y",#REF!,"")</f>
        <v>#REF!</v>
      </c>
      <c r="Y18" s="49" t="e">
        <f>IF(#REF!="Y",$H18,"")</f>
        <v>#REF!</v>
      </c>
      <c r="Z18" s="43" t="e">
        <f>IF(#REF!="Y","INSERT INTO `sys_table_relation` (`TABLE_NAME`, `CHILD_TABLE_NAME`, `SQL_QUERY`, `ERROR_DESC` ,`ERROR_DESC_JSON`) VALUES ('" &amp;$H18 &amp; "', '" &amp; $W18 &amp; "', '" &amp; "select count(*) from "&amp; $W18 &amp;" where " &amp; IF(COUNTIF(D:D,"IS_DESTROYED"),"IS_DESTROYED=0 and ","") &amp;   $D18 &amp; "={pid}" &amp; "', " &amp; "'【"&amp; $X18 &amp;"】已使用此筆資料，故不可刪除!!'" &amp; ",'" &amp; SUBSTITUTE("{'zh_TW': '" &amp;  "【"&amp; $X18 &amp;"】已使用此筆資料，不可刪除!!"  &amp; "' ,'en_US': '" &amp;  "Have used this information, it can not be deleted !!" &amp; "'  ,'zh_CN': '" &amp; "【"&amp; $X18 &amp;"】已使用此筆資料，不可刪除!!" &amp; "' }", CHAR(39),CHAR(34))   &amp; "');","")</f>
        <v>#REF!</v>
      </c>
    </row>
    <row r="19" spans="1:26" s="98" customFormat="1" ht="15">
      <c r="A19" s="96"/>
      <c r="B19" s="97">
        <f t="shared" si="0"/>
        <v>9</v>
      </c>
      <c r="C19" s="64" t="s">
        <v>351</v>
      </c>
      <c r="D19" s="76" t="s">
        <v>352</v>
      </c>
      <c r="E19" s="62" t="s">
        <v>285</v>
      </c>
      <c r="F19" s="62">
        <v>1000</v>
      </c>
      <c r="G19" s="66"/>
      <c r="H19" s="66"/>
      <c r="I19" s="64"/>
      <c r="W19" s="49" t="e">
        <f>IF(#REF!="Y",#REF!,"")</f>
        <v>#REF!</v>
      </c>
      <c r="X19" s="49" t="e">
        <f>IF(#REF!="Y",#REF!,"")</f>
        <v>#REF!</v>
      </c>
      <c r="Y19" s="49" t="e">
        <f>IF(#REF!="Y",$H19,"")</f>
        <v>#REF!</v>
      </c>
      <c r="Z19" s="43" t="e">
        <f>IF(#REF!="Y","INSERT INTO `sys_table_relation` (`TABLE_NAME`, `CHILD_TABLE_NAME`, `SQL_QUERY`, `ERROR_DESC` ,`ERROR_DESC_JSON`) VALUES ('" &amp;$H19 &amp; "', '" &amp; $W19 &amp; "', '" &amp; "select count(*) from "&amp; $W19 &amp;" where " &amp; IF(COUNTIF(D:D,"IS_DESTROYED"),"IS_DESTROYED=0 and ","") &amp;   $D19 &amp; "={pid}" &amp; "', " &amp; "'【"&amp; $X19 &amp;"】已使用此筆資料，故不可刪除!!'" &amp; ",'" &amp; SUBSTITUTE("{'zh_TW': '" &amp;  "【"&amp; $X19 &amp;"】已使用此筆資料，不可刪除!!"  &amp; "' ,'en_US': '" &amp;  "Have used this information, it can not be deleted !!" &amp; "'  ,'zh_CN': '" &amp; "【"&amp; $X19 &amp;"】已使用此筆資料，不可刪除!!" &amp; "' }", CHAR(39),CHAR(34))   &amp; "');","")</f>
        <v>#REF!</v>
      </c>
    </row>
    <row r="20" spans="1:26" s="98" customFormat="1" ht="15">
      <c r="A20" s="96"/>
      <c r="B20" s="97">
        <f t="shared" si="0"/>
        <v>10</v>
      </c>
      <c r="C20" s="50" t="s">
        <v>353</v>
      </c>
      <c r="D20" s="50" t="s">
        <v>354</v>
      </c>
      <c r="E20" s="51" t="s">
        <v>296</v>
      </c>
      <c r="F20" s="51">
        <v>20</v>
      </c>
      <c r="G20" s="19"/>
      <c r="H20" s="19"/>
      <c r="I20" s="19"/>
    </row>
    <row r="21" spans="1:26" s="98" customFormat="1" ht="15">
      <c r="A21" s="96"/>
      <c r="B21" s="97">
        <f t="shared" si="0"/>
        <v>11</v>
      </c>
      <c r="C21" s="64" t="s">
        <v>355</v>
      </c>
      <c r="D21" s="64" t="s">
        <v>356</v>
      </c>
      <c r="E21" s="62" t="s">
        <v>285</v>
      </c>
      <c r="F21" s="62">
        <v>20</v>
      </c>
      <c r="G21" s="66"/>
      <c r="H21" s="66"/>
      <c r="I21" s="66"/>
      <c r="W21" s="49" t="e">
        <f>IF(#REF!="Y",#REF!,"")</f>
        <v>#REF!</v>
      </c>
      <c r="X21" s="49" t="e">
        <f>IF(#REF!="Y",#REF!,"")</f>
        <v>#REF!</v>
      </c>
      <c r="Y21" s="49" t="e">
        <f>IF(#REF!="Y",$H21,"")</f>
        <v>#REF!</v>
      </c>
      <c r="Z21" s="43" t="e">
        <f>IF(#REF!="Y","INSERT INTO `sys_table_relation` (`TABLE_NAME`, `CHILD_TABLE_NAME`, `SQL_QUERY`, `ERROR_DESC` ,`ERROR_DESC_JSON`) VALUES ('" &amp;$H21 &amp; "', '" &amp; $W21 &amp; "', '" &amp; "select count(*) from "&amp; $W21 &amp;" where " &amp; IF(COUNTIF(D:D,"IS_DESTROYED"),"IS_DESTROYED=0 and ","") &amp;   $D21 &amp; "={pid}" &amp; "', " &amp; "'【"&amp; $X21 &amp;"】已使用此筆資料，故不可刪除!!'" &amp; ",'" &amp; SUBSTITUTE("{'zh_TW': '" &amp;  "【"&amp; $X21 &amp;"】已使用此筆資料，不可刪除!!"  &amp; "' ,'en_US': '" &amp;  "Have used this information, it can not be deleted !!" &amp; "'  ,'zh_CN': '" &amp; "【"&amp; $X21 &amp;"】已使用此筆資料，不可刪除!!" &amp; "' }", CHAR(39),CHAR(34))   &amp; "');","")</f>
        <v>#REF!</v>
      </c>
    </row>
    <row r="22" spans="1:26" s="98" customFormat="1" ht="15">
      <c r="A22" s="96"/>
      <c r="B22" s="97">
        <f t="shared" si="0"/>
        <v>12</v>
      </c>
      <c r="C22" s="50" t="s">
        <v>357</v>
      </c>
      <c r="D22" s="50" t="s">
        <v>358</v>
      </c>
      <c r="E22" s="51" t="s">
        <v>285</v>
      </c>
      <c r="F22" s="51">
        <v>200</v>
      </c>
      <c r="G22" s="19"/>
      <c r="H22" s="19"/>
      <c r="I22" s="19"/>
    </row>
    <row r="23" spans="1:26" s="101" customFormat="1" ht="15">
      <c r="A23" s="100"/>
      <c r="B23" s="181">
        <f t="shared" si="0"/>
        <v>13</v>
      </c>
      <c r="C23" s="26" t="s">
        <v>359</v>
      </c>
      <c r="D23" s="26" t="s">
        <v>360</v>
      </c>
      <c r="E23" s="27" t="s">
        <v>313</v>
      </c>
      <c r="F23" s="27"/>
      <c r="G23" s="28"/>
      <c r="H23" s="28"/>
      <c r="I23" s="28"/>
    </row>
    <row r="24" spans="1:26" s="98" customFormat="1" ht="15">
      <c r="A24" s="96"/>
      <c r="B24" s="97">
        <f t="shared" si="0"/>
        <v>14</v>
      </c>
      <c r="C24" s="50" t="s">
        <v>361</v>
      </c>
      <c r="D24" s="76" t="s">
        <v>362</v>
      </c>
      <c r="E24" s="51" t="s">
        <v>296</v>
      </c>
      <c r="F24" s="51">
        <v>20</v>
      </c>
      <c r="G24" s="19" t="s">
        <v>363</v>
      </c>
      <c r="H24" s="19" t="s">
        <v>84</v>
      </c>
      <c r="I24" s="19" t="s">
        <v>364</v>
      </c>
    </row>
    <row r="25" spans="1:26" s="98" customFormat="1" ht="15">
      <c r="A25" s="96"/>
      <c r="B25" s="97">
        <f t="shared" si="0"/>
        <v>15</v>
      </c>
      <c r="C25" s="50" t="s">
        <v>365</v>
      </c>
      <c r="D25" s="76" t="s">
        <v>366</v>
      </c>
      <c r="E25" s="51" t="s">
        <v>285</v>
      </c>
      <c r="F25" s="51">
        <v>20</v>
      </c>
      <c r="G25" s="19" t="s">
        <v>363</v>
      </c>
      <c r="H25" s="19"/>
      <c r="I25" s="19"/>
    </row>
    <row r="26" spans="1:26" s="98" customFormat="1" ht="15">
      <c r="A26" s="96"/>
      <c r="B26" s="97">
        <f t="shared" si="0"/>
        <v>16</v>
      </c>
      <c r="C26" s="50" t="s">
        <v>367</v>
      </c>
      <c r="D26" s="76" t="s">
        <v>368</v>
      </c>
      <c r="E26" s="51" t="s">
        <v>285</v>
      </c>
      <c r="F26" s="51">
        <v>30</v>
      </c>
      <c r="G26" s="19" t="s">
        <v>363</v>
      </c>
      <c r="H26" s="19"/>
      <c r="I26" s="19"/>
    </row>
    <row r="27" spans="1:26" s="98" customFormat="1" ht="15">
      <c r="A27" s="96"/>
      <c r="B27" s="97">
        <f t="shared" si="0"/>
        <v>17</v>
      </c>
      <c r="C27" s="53" t="s">
        <v>369</v>
      </c>
      <c r="D27" s="76" t="s">
        <v>370</v>
      </c>
      <c r="E27" s="51" t="s">
        <v>326</v>
      </c>
      <c r="F27" s="51">
        <v>4</v>
      </c>
      <c r="G27" s="19" t="s">
        <v>371</v>
      </c>
      <c r="H27" s="19" t="s">
        <v>372</v>
      </c>
      <c r="I27" s="19"/>
    </row>
    <row r="28" spans="1:26" s="98" customFormat="1" ht="15">
      <c r="A28" s="96"/>
      <c r="B28" s="97">
        <f t="shared" si="0"/>
        <v>18</v>
      </c>
      <c r="C28" s="50" t="s">
        <v>373</v>
      </c>
      <c r="D28" s="76" t="s">
        <v>374</v>
      </c>
      <c r="E28" s="51" t="s">
        <v>296</v>
      </c>
      <c r="F28" s="51">
        <v>20</v>
      </c>
      <c r="G28" s="19" t="s">
        <v>375</v>
      </c>
      <c r="H28" s="19" t="s">
        <v>84</v>
      </c>
      <c r="I28" s="19" t="s">
        <v>364</v>
      </c>
    </row>
    <row r="29" spans="1:26" s="98" customFormat="1" ht="15">
      <c r="A29" s="96"/>
      <c r="B29" s="97">
        <f t="shared" si="0"/>
        <v>19</v>
      </c>
      <c r="C29" s="50" t="s">
        <v>376</v>
      </c>
      <c r="D29" s="76" t="s">
        <v>377</v>
      </c>
      <c r="E29" s="51" t="s">
        <v>285</v>
      </c>
      <c r="F29" s="51">
        <v>20</v>
      </c>
      <c r="G29" s="19" t="s">
        <v>375</v>
      </c>
      <c r="H29" s="19"/>
      <c r="I29" s="19"/>
    </row>
    <row r="30" spans="1:26" s="98" customFormat="1" ht="15">
      <c r="A30" s="96"/>
      <c r="B30" s="97">
        <f t="shared" si="0"/>
        <v>20</v>
      </c>
      <c r="C30" s="50" t="s">
        <v>378</v>
      </c>
      <c r="D30" s="76" t="s">
        <v>379</v>
      </c>
      <c r="E30" s="51" t="s">
        <v>285</v>
      </c>
      <c r="F30" s="51">
        <v>30</v>
      </c>
      <c r="G30" s="19" t="s">
        <v>375</v>
      </c>
      <c r="H30" s="19"/>
      <c r="I30" s="19"/>
    </row>
    <row r="31" spans="1:26" s="98" customFormat="1" ht="15">
      <c r="A31" s="96"/>
      <c r="B31" s="97">
        <f t="shared" si="0"/>
        <v>21</v>
      </c>
      <c r="C31" s="53" t="s">
        <v>380</v>
      </c>
      <c r="D31" s="76" t="s">
        <v>381</v>
      </c>
      <c r="E31" s="51" t="s">
        <v>326</v>
      </c>
      <c r="F31" s="51">
        <v>4</v>
      </c>
      <c r="G31" s="19" t="s">
        <v>371</v>
      </c>
      <c r="H31" s="19" t="s">
        <v>372</v>
      </c>
      <c r="I31" s="19"/>
    </row>
    <row r="32" spans="1:26" s="98" customFormat="1" ht="15">
      <c r="A32" s="96"/>
      <c r="B32" s="97">
        <f t="shared" si="0"/>
        <v>22</v>
      </c>
      <c r="C32" s="50" t="s">
        <v>382</v>
      </c>
      <c r="D32" s="50" t="s">
        <v>383</v>
      </c>
      <c r="E32" s="51" t="s">
        <v>285</v>
      </c>
      <c r="F32" s="51">
        <v>3</v>
      </c>
      <c r="G32" s="47"/>
      <c r="H32" s="19" t="s">
        <v>384</v>
      </c>
      <c r="I32" s="47"/>
    </row>
    <row r="33" spans="1:9" s="98" customFormat="1" ht="15">
      <c r="A33" s="96"/>
      <c r="B33" s="97">
        <f t="shared" si="0"/>
        <v>23</v>
      </c>
      <c r="C33" s="50" t="s">
        <v>385</v>
      </c>
      <c r="D33" s="50" t="s">
        <v>386</v>
      </c>
      <c r="E33" s="51" t="s">
        <v>285</v>
      </c>
      <c r="F33" s="51">
        <v>100</v>
      </c>
      <c r="G33" s="52" t="s">
        <v>387</v>
      </c>
      <c r="H33" s="19"/>
      <c r="I33" s="19"/>
    </row>
    <row r="34" spans="1:9" s="98" customFormat="1" ht="15">
      <c r="A34" s="96"/>
      <c r="B34" s="97">
        <f t="shared" si="0"/>
        <v>24</v>
      </c>
      <c r="C34" s="50" t="s">
        <v>388</v>
      </c>
      <c r="D34" s="50" t="s">
        <v>389</v>
      </c>
      <c r="E34" s="51" t="s">
        <v>285</v>
      </c>
      <c r="F34" s="51">
        <v>120</v>
      </c>
      <c r="G34" s="52" t="s">
        <v>390</v>
      </c>
      <c r="H34" s="19"/>
      <c r="I34" s="19"/>
    </row>
    <row r="35" spans="1:9" s="98" customFormat="1" ht="15">
      <c r="A35" s="96"/>
      <c r="B35" s="97">
        <f t="shared" si="0"/>
        <v>25</v>
      </c>
      <c r="C35" s="50" t="s">
        <v>391</v>
      </c>
      <c r="D35" s="50" t="s">
        <v>392</v>
      </c>
      <c r="E35" s="51" t="s">
        <v>285</v>
      </c>
      <c r="F35" s="51">
        <v>200</v>
      </c>
      <c r="G35" s="52"/>
      <c r="H35" s="19"/>
      <c r="I35" s="19"/>
    </row>
    <row r="36" spans="1:9" s="98" customFormat="1" ht="15">
      <c r="B36" s="97">
        <f t="shared" si="0"/>
        <v>26</v>
      </c>
      <c r="C36" s="50" t="s">
        <v>393</v>
      </c>
      <c r="D36" s="50" t="s">
        <v>394</v>
      </c>
      <c r="E36" s="51" t="s">
        <v>285</v>
      </c>
      <c r="F36" s="51">
        <v>50</v>
      </c>
      <c r="G36" s="19"/>
      <c r="H36" s="19"/>
      <c r="I36" s="19"/>
    </row>
    <row r="37" spans="1:9" s="98" customFormat="1" ht="15">
      <c r="B37" s="97">
        <f t="shared" si="0"/>
        <v>27</v>
      </c>
      <c r="C37" s="50" t="s">
        <v>395</v>
      </c>
      <c r="D37" s="50" t="s">
        <v>396</v>
      </c>
      <c r="E37" s="51" t="s">
        <v>285</v>
      </c>
      <c r="F37" s="51">
        <v>50</v>
      </c>
      <c r="G37" s="19"/>
      <c r="H37" s="19"/>
      <c r="I37" s="19"/>
    </row>
    <row r="38" spans="1:9" s="98" customFormat="1" ht="15">
      <c r="B38" s="97">
        <f t="shared" si="0"/>
        <v>28</v>
      </c>
      <c r="C38" s="50" t="s">
        <v>11</v>
      </c>
      <c r="D38" s="76" t="s">
        <v>397</v>
      </c>
      <c r="E38" s="51" t="s">
        <v>285</v>
      </c>
      <c r="F38" s="51">
        <v>500</v>
      </c>
      <c r="G38" s="19"/>
      <c r="H38" s="19"/>
      <c r="I38" s="19"/>
    </row>
    <row r="39" spans="1:9" s="98" customFormat="1" ht="15">
      <c r="A39" s="99"/>
      <c r="B39" s="97">
        <f t="shared" si="0"/>
        <v>29</v>
      </c>
      <c r="C39" s="50" t="s">
        <v>398</v>
      </c>
      <c r="D39" s="50" t="s">
        <v>325</v>
      </c>
      <c r="E39" s="51" t="s">
        <v>399</v>
      </c>
      <c r="F39" s="51">
        <v>4</v>
      </c>
      <c r="G39" s="52" t="s">
        <v>400</v>
      </c>
      <c r="H39" s="19" t="s">
        <v>328</v>
      </c>
      <c r="I39" s="19"/>
    </row>
    <row r="40" spans="1:9" s="98" customFormat="1" ht="15">
      <c r="A40" s="96"/>
      <c r="B40" s="97">
        <f t="shared" si="0"/>
        <v>30</v>
      </c>
      <c r="C40" s="50" t="s">
        <v>401</v>
      </c>
      <c r="D40" s="76" t="s">
        <v>402</v>
      </c>
      <c r="E40" s="51" t="s">
        <v>296</v>
      </c>
      <c r="F40" s="51">
        <v>20</v>
      </c>
      <c r="G40" s="19"/>
      <c r="H40" s="19"/>
      <c r="I40" s="19"/>
    </row>
    <row r="41" spans="1:9" s="98" customFormat="1" ht="15">
      <c r="A41" s="96"/>
      <c r="B41" s="97">
        <f t="shared" si="0"/>
        <v>31</v>
      </c>
      <c r="C41" s="50" t="s">
        <v>403</v>
      </c>
      <c r="D41" s="76" t="s">
        <v>404</v>
      </c>
      <c r="E41" s="51" t="s">
        <v>285</v>
      </c>
      <c r="F41" s="51">
        <v>50</v>
      </c>
      <c r="G41" s="19"/>
      <c r="H41" s="19"/>
      <c r="I41" s="19"/>
    </row>
    <row r="42" spans="1:9" s="98" customFormat="1" ht="15">
      <c r="A42" s="96"/>
      <c r="B42" s="97">
        <f t="shared" si="0"/>
        <v>32</v>
      </c>
      <c r="C42" s="50" t="s">
        <v>405</v>
      </c>
      <c r="D42" s="76" t="s">
        <v>406</v>
      </c>
      <c r="E42" s="51" t="s">
        <v>285</v>
      </c>
      <c r="F42" s="51">
        <v>1000</v>
      </c>
      <c r="G42" s="19"/>
      <c r="H42" s="19"/>
      <c r="I42" s="19"/>
    </row>
    <row r="43" spans="1:9" s="98" customFormat="1" ht="15">
      <c r="B43" s="97">
        <f t="shared" si="0"/>
        <v>33</v>
      </c>
      <c r="C43" s="50" t="s">
        <v>407</v>
      </c>
      <c r="D43" s="76" t="s">
        <v>408</v>
      </c>
      <c r="E43" s="51" t="s">
        <v>409</v>
      </c>
      <c r="F43" s="51"/>
      <c r="G43" s="19"/>
      <c r="H43" s="19"/>
      <c r="I43" s="19"/>
    </row>
    <row r="44" spans="1:9" s="98" customFormat="1" ht="15">
      <c r="B44" s="97">
        <f t="shared" si="0"/>
        <v>34</v>
      </c>
      <c r="C44" s="50" t="s">
        <v>410</v>
      </c>
      <c r="D44" s="76" t="s">
        <v>411</v>
      </c>
      <c r="E44" s="51" t="s">
        <v>409</v>
      </c>
      <c r="F44" s="51"/>
      <c r="G44" s="19"/>
      <c r="H44" s="19"/>
      <c r="I44" s="19"/>
    </row>
    <row r="45" spans="1:9" s="98" customFormat="1" ht="15">
      <c r="B45" s="97">
        <f t="shared" si="0"/>
        <v>35</v>
      </c>
      <c r="C45" s="50" t="s">
        <v>412</v>
      </c>
      <c r="D45" s="76" t="s">
        <v>413</v>
      </c>
      <c r="E45" s="51" t="s">
        <v>313</v>
      </c>
      <c r="F45" s="51"/>
      <c r="G45" s="19"/>
      <c r="H45" s="19"/>
      <c r="I45" s="19"/>
    </row>
    <row r="46" spans="1:9" s="98" customFormat="1" ht="15">
      <c r="B46" s="97">
        <f t="shared" si="0"/>
        <v>36</v>
      </c>
      <c r="C46" s="50" t="s">
        <v>414</v>
      </c>
      <c r="D46" s="76" t="s">
        <v>415</v>
      </c>
      <c r="E46" s="51" t="s">
        <v>313</v>
      </c>
      <c r="F46" s="51"/>
      <c r="G46" s="19"/>
      <c r="H46" s="19"/>
      <c r="I46" s="19"/>
    </row>
    <row r="47" spans="1:9" s="98" customFormat="1" ht="15">
      <c r="B47" s="97">
        <f t="shared" si="0"/>
        <v>37</v>
      </c>
      <c r="C47" s="50" t="s">
        <v>416</v>
      </c>
      <c r="D47" s="76" t="s">
        <v>417</v>
      </c>
      <c r="E47" s="51" t="s">
        <v>418</v>
      </c>
      <c r="F47" s="51">
        <v>11</v>
      </c>
      <c r="G47" s="19"/>
      <c r="H47" s="19"/>
      <c r="I47" s="19"/>
    </row>
    <row r="48" spans="1:9" s="24" customFormat="1" ht="15">
      <c r="A48" s="22"/>
      <c r="B48" s="181">
        <f t="shared" si="0"/>
        <v>38</v>
      </c>
      <c r="C48" s="71" t="s">
        <v>419</v>
      </c>
      <c r="D48" s="26" t="s">
        <v>420</v>
      </c>
      <c r="E48" s="27" t="s">
        <v>421</v>
      </c>
      <c r="F48" s="27"/>
      <c r="G48" s="79" t="s">
        <v>422</v>
      </c>
      <c r="H48" s="73"/>
      <c r="I48" s="73"/>
    </row>
    <row r="49" spans="1:9" s="24" customFormat="1" ht="15">
      <c r="A49" s="22"/>
      <c r="B49" s="181">
        <f>B48+1</f>
        <v>39</v>
      </c>
      <c r="C49" s="71" t="s">
        <v>423</v>
      </c>
      <c r="D49" s="26" t="s">
        <v>424</v>
      </c>
      <c r="E49" s="27" t="s">
        <v>296</v>
      </c>
      <c r="F49" s="27">
        <v>20</v>
      </c>
      <c r="G49" s="79" t="s">
        <v>425</v>
      </c>
      <c r="H49" s="73"/>
      <c r="I49" s="73"/>
    </row>
    <row r="50" spans="1:9" s="24" customFormat="1" ht="15">
      <c r="A50" s="22"/>
      <c r="B50" s="181">
        <f>B49+1</f>
        <v>40</v>
      </c>
      <c r="C50" s="71" t="s">
        <v>426</v>
      </c>
      <c r="D50" s="26" t="s">
        <v>427</v>
      </c>
      <c r="E50" s="27" t="s">
        <v>285</v>
      </c>
      <c r="F50" s="27">
        <v>20</v>
      </c>
      <c r="G50" s="79" t="s">
        <v>425</v>
      </c>
      <c r="H50" s="73"/>
      <c r="I50" s="73"/>
    </row>
    <row r="51" spans="1:9" s="24" customFormat="1" ht="15">
      <c r="A51" s="22"/>
      <c r="B51" s="181">
        <f t="shared" si="0"/>
        <v>41</v>
      </c>
      <c r="C51" s="73" t="s">
        <v>428</v>
      </c>
      <c r="D51" s="26" t="s">
        <v>429</v>
      </c>
      <c r="E51" s="182" t="s">
        <v>421</v>
      </c>
      <c r="F51" s="27"/>
      <c r="G51" s="79"/>
      <c r="H51" s="73"/>
      <c r="I51" s="73"/>
    </row>
  </sheetData>
  <mergeCells count="6">
    <mergeCell ref="B9:E9"/>
    <mergeCell ref="F9:I9"/>
    <mergeCell ref="B1:E1"/>
    <mergeCell ref="F1:I1"/>
    <mergeCell ref="B2:E2"/>
    <mergeCell ref="F2:I2"/>
  </mergeCells>
  <phoneticPr fontId="5" type="noConversion"/>
  <pageMargins left="0.7" right="0.7" top="0.75" bottom="0.75" header="0.3" footer="0.3"/>
  <pageSetup paperSize="9" orientation="portrait" horizontalDpi="0" verticalDpi="0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42797DA-8EAE-4E24-A695-DEBD7E936D84}">
  <sheetPr codeName="工作表110"/>
  <dimension ref="A1:AB280"/>
  <sheetViews>
    <sheetView zoomScale="115" zoomScaleNormal="115" workbookViewId="0"/>
  </sheetViews>
  <sheetFormatPr defaultColWidth="6.625" defaultRowHeight="13.5"/>
  <cols>
    <col min="1" max="1" width="3.125" style="4" bestFit="1" customWidth="1"/>
    <col min="2" max="2" width="5.5" style="8" customWidth="1"/>
    <col min="3" max="3" width="24" style="4" customWidth="1"/>
    <col min="4" max="4" width="27.125" style="4" customWidth="1"/>
    <col min="5" max="5" width="11.625" style="4" customWidth="1"/>
    <col min="6" max="6" width="6.125" style="4" customWidth="1"/>
    <col min="7" max="7" width="36.125" style="4" customWidth="1"/>
    <col min="8" max="8" width="20.625" style="4" customWidth="1"/>
    <col min="9" max="9" width="11.625" style="4" bestFit="1" customWidth="1"/>
    <col min="10" max="27" width="6.625" style="4"/>
    <col min="28" max="28" width="7" style="4" bestFit="1" customWidth="1"/>
    <col min="29" max="16384" width="6.625" style="4"/>
  </cols>
  <sheetData>
    <row r="1" spans="1:28" ht="24">
      <c r="A1" s="149" t="e">
        <f ca="1">HYPERLINK("#'介面'!E"&amp;MATCH(VALUE(RIGHT(CELL("filename"),LEN(CELL("filename"))-FIND("]",CELL("filename")))),介面!D:D,"0"),"←")</f>
        <v>#VALUE!</v>
      </c>
      <c r="B1" s="207" t="s">
        <v>45</v>
      </c>
      <c r="C1" s="208"/>
      <c r="D1" s="208"/>
      <c r="E1" s="209"/>
      <c r="F1" s="207" t="s">
        <v>430</v>
      </c>
      <c r="G1" s="208"/>
      <c r="H1" s="208"/>
      <c r="I1" s="208"/>
    </row>
    <row r="2" spans="1:28" ht="24">
      <c r="A2" s="1"/>
      <c r="B2" s="210" t="s">
        <v>275</v>
      </c>
      <c r="C2" s="211"/>
      <c r="D2" s="211"/>
      <c r="E2" s="212"/>
      <c r="F2" s="210"/>
      <c r="G2" s="211"/>
      <c r="H2" s="211"/>
      <c r="I2" s="212"/>
    </row>
    <row r="3" spans="1:28" s="8" customFormat="1" ht="15">
      <c r="A3" s="6"/>
      <c r="B3" s="7" t="s">
        <v>276</v>
      </c>
      <c r="C3" s="56" t="s">
        <v>277</v>
      </c>
      <c r="D3" s="56" t="s">
        <v>278</v>
      </c>
      <c r="E3" s="57" t="s">
        <v>279</v>
      </c>
      <c r="F3" s="57" t="s">
        <v>280</v>
      </c>
      <c r="G3" s="56" t="s">
        <v>281</v>
      </c>
      <c r="H3" s="56" t="s">
        <v>11</v>
      </c>
      <c r="I3" s="56" t="s">
        <v>282</v>
      </c>
    </row>
    <row r="4" spans="1:28" s="24" customFormat="1" ht="15.75">
      <c r="A4" s="25"/>
      <c r="B4" s="46">
        <v>1</v>
      </c>
      <c r="C4" s="80" t="s">
        <v>297</v>
      </c>
      <c r="D4" s="80" t="s">
        <v>298</v>
      </c>
      <c r="E4" s="81" t="s">
        <v>285</v>
      </c>
      <c r="F4" s="81">
        <v>500</v>
      </c>
      <c r="G4" s="66" t="s">
        <v>330</v>
      </c>
      <c r="H4" s="142" t="s">
        <v>302</v>
      </c>
      <c r="I4" s="66" t="s">
        <v>287</v>
      </c>
    </row>
    <row r="5" spans="1:28" s="24" customFormat="1" ht="15">
      <c r="A5" s="25"/>
      <c r="B5" s="46">
        <f>B4+1</f>
        <v>2</v>
      </c>
      <c r="C5" s="50" t="s">
        <v>303</v>
      </c>
      <c r="D5" s="76" t="s">
        <v>304</v>
      </c>
      <c r="E5" s="51" t="s">
        <v>296</v>
      </c>
      <c r="F5" s="51">
        <v>20</v>
      </c>
      <c r="G5" s="66" t="s">
        <v>331</v>
      </c>
      <c r="H5" s="66"/>
      <c r="I5" s="66" t="s">
        <v>287</v>
      </c>
    </row>
    <row r="6" spans="1:28" s="98" customFormat="1" ht="15">
      <c r="A6" s="96"/>
      <c r="B6" s="46">
        <v>3</v>
      </c>
      <c r="C6" s="50" t="s">
        <v>332</v>
      </c>
      <c r="D6" s="50" t="s">
        <v>333</v>
      </c>
      <c r="E6" s="51" t="s">
        <v>285</v>
      </c>
      <c r="F6" s="51">
        <v>1</v>
      </c>
      <c r="G6" s="52" t="s">
        <v>334</v>
      </c>
      <c r="H6" s="66"/>
      <c r="I6" s="66" t="s">
        <v>287</v>
      </c>
    </row>
    <row r="7" spans="1:28" s="24" customFormat="1" ht="15">
      <c r="A7" s="25"/>
      <c r="B7" s="46">
        <v>4</v>
      </c>
      <c r="C7" s="50" t="s">
        <v>335</v>
      </c>
      <c r="D7" s="76" t="s">
        <v>336</v>
      </c>
      <c r="E7" s="51" t="s">
        <v>316</v>
      </c>
      <c r="F7" s="51"/>
      <c r="G7" s="66" t="s">
        <v>337</v>
      </c>
      <c r="H7" s="66"/>
      <c r="I7" s="66" t="s">
        <v>287</v>
      </c>
    </row>
    <row r="8" spans="1:28" ht="15.75">
      <c r="A8" s="1"/>
      <c r="B8" s="2"/>
      <c r="C8" s="3"/>
      <c r="D8" s="3"/>
      <c r="E8" s="3"/>
      <c r="F8" s="3"/>
      <c r="G8" s="3"/>
      <c r="H8" s="3"/>
      <c r="I8" s="3"/>
    </row>
    <row r="9" spans="1:28" ht="24">
      <c r="A9" s="1"/>
      <c r="B9" s="204" t="s">
        <v>291</v>
      </c>
      <c r="C9" s="205"/>
      <c r="D9" s="205"/>
      <c r="E9" s="206"/>
      <c r="F9" s="204"/>
      <c r="G9" s="205"/>
      <c r="H9" s="205"/>
      <c r="I9" s="206"/>
    </row>
    <row r="10" spans="1:28" s="8" customFormat="1" ht="15">
      <c r="A10" s="6"/>
      <c r="B10" s="7" t="s">
        <v>276</v>
      </c>
      <c r="C10" s="56" t="s">
        <v>277</v>
      </c>
      <c r="D10" s="56" t="s">
        <v>278</v>
      </c>
      <c r="E10" s="57" t="s">
        <v>279</v>
      </c>
      <c r="F10" s="57" t="s">
        <v>280</v>
      </c>
      <c r="G10" s="56" t="s">
        <v>11</v>
      </c>
      <c r="H10" s="56" t="s">
        <v>292</v>
      </c>
      <c r="I10" s="56" t="s">
        <v>293</v>
      </c>
    </row>
    <row r="11" spans="1:28" s="111" customFormat="1" ht="15.75">
      <c r="A11" s="106"/>
      <c r="B11" s="94">
        <v>1</v>
      </c>
      <c r="C11" s="108" t="s">
        <v>431</v>
      </c>
      <c r="D11" s="108" t="s">
        <v>354</v>
      </c>
      <c r="E11" s="109" t="s">
        <v>296</v>
      </c>
      <c r="F11" s="109">
        <v>20</v>
      </c>
      <c r="G11" s="110"/>
      <c r="H11" s="110"/>
      <c r="I11" s="110"/>
      <c r="AB11" s="111" t="e">
        <f>IF(#REF!="Y","INSERT INTO `sys_table_relation` (`TABLE_NAME`, `CHILD_TABLE_NAME`, `SQL_QUERY`, `ERROR_DESC` ,`ERROR_DESC_JSON`) VALUES ('" &amp;$H11 &amp; "', '" &amp; $Y11 &amp; "', '" &amp; "select count(*) from "&amp; $Y11 &amp;" where " &amp; IF(COUNTIF(D:D,"IS_DESTROYED"),"IS_DESTROYED=0 and ","") &amp;   $D11 &amp; "={pid}" &amp; "', " &amp; "'【"&amp; $Z11 &amp;"】已使用此筆資料，故不可刪除!!'" &amp; ",'" &amp; SUBSTITUTE("{'zh_TW': '" &amp;  "【"&amp; $Z11 &amp;"】已使用此筆資料，不可刪除!!"  &amp; "' ,'en_US': '" &amp;  "Have used this information, it can not be deleted !!" &amp; "'  ,'zh_CN': '" &amp; "【"&amp; $Z11 &amp;"】已使用此筆資料，不可刪除!!" &amp; "' }", CHAR(39),CHAR(34))   &amp; "');","")</f>
        <v>#REF!</v>
      </c>
    </row>
    <row r="12" spans="1:28" s="111" customFormat="1" ht="15.75">
      <c r="A12" s="106"/>
      <c r="B12" s="94">
        <f>B11+1</f>
        <v>2</v>
      </c>
      <c r="C12" s="108" t="s">
        <v>303</v>
      </c>
      <c r="D12" s="108" t="s">
        <v>304</v>
      </c>
      <c r="E12" s="109" t="s">
        <v>296</v>
      </c>
      <c r="F12" s="109">
        <v>20</v>
      </c>
      <c r="G12" s="110"/>
      <c r="H12" s="110" t="s">
        <v>41</v>
      </c>
      <c r="I12" s="110" t="s">
        <v>304</v>
      </c>
      <c r="AB12" s="111" t="e">
        <f>IF(#REF!="Y","INSERT INTO `sys_table_relation` (`TABLE_NAME`, `CHILD_TABLE_NAME`, `SQL_QUERY`, `ERROR_DESC` ,`ERROR_DESC_JSON`) VALUES ('" &amp;$H12 &amp; "', '" &amp; $Y12 &amp; "', '" &amp; "select count(*) from "&amp; $Y12 &amp;" where " &amp; IF(COUNTIF(D:D,"IS_DESTROYED"),"IS_DESTROYED=0 and ","") &amp;   $D12 &amp; "={pid}" &amp; "', " &amp; "'【"&amp; $Z12 &amp;"】已使用此筆資料，故不可刪除!!'" &amp; ",'" &amp; SUBSTITUTE("{'zh_TW': '" &amp;  "【"&amp; $Z12 &amp;"】已使用此筆資料，不可刪除!!"  &amp; "' ,'en_US': '" &amp;  "Have used this information, it can not be deleted !!" &amp; "'  ,'zh_CN': '" &amp; "【"&amp; $Z12 &amp;"】已使用此筆資料，不可刪除!!" &amp; "' }", CHAR(39),CHAR(34))   &amp; "');","")</f>
        <v>#REF!</v>
      </c>
    </row>
    <row r="13" spans="1:28" s="98" customFormat="1" ht="15.75">
      <c r="A13" s="96"/>
      <c r="B13" s="94">
        <f t="shared" ref="B13:B21" si="0">B12+1</f>
        <v>3</v>
      </c>
      <c r="C13" s="50" t="s">
        <v>332</v>
      </c>
      <c r="D13" s="50" t="s">
        <v>333</v>
      </c>
      <c r="E13" s="51" t="s">
        <v>285</v>
      </c>
      <c r="F13" s="51">
        <v>1</v>
      </c>
      <c r="G13" s="52" t="s">
        <v>334</v>
      </c>
      <c r="H13" s="19"/>
      <c r="I13" s="19"/>
    </row>
    <row r="14" spans="1:28" s="98" customFormat="1" ht="15.75">
      <c r="A14" s="96"/>
      <c r="B14" s="94">
        <f t="shared" si="0"/>
        <v>4</v>
      </c>
      <c r="C14" s="64" t="s">
        <v>340</v>
      </c>
      <c r="D14" s="64" t="s">
        <v>341</v>
      </c>
      <c r="E14" s="62" t="s">
        <v>285</v>
      </c>
      <c r="F14" s="62">
        <v>20</v>
      </c>
      <c r="G14" s="66" t="s">
        <v>342</v>
      </c>
      <c r="H14" s="66"/>
      <c r="I14" s="66"/>
    </row>
    <row r="15" spans="1:28" s="111" customFormat="1" ht="15.75">
      <c r="A15" s="106"/>
      <c r="B15" s="94">
        <f t="shared" si="0"/>
        <v>5</v>
      </c>
      <c r="C15" s="64" t="s">
        <v>355</v>
      </c>
      <c r="D15" s="108" t="s">
        <v>432</v>
      </c>
      <c r="E15" s="109" t="s">
        <v>285</v>
      </c>
      <c r="F15" s="109">
        <v>20</v>
      </c>
      <c r="G15" s="110"/>
      <c r="H15" s="110"/>
      <c r="I15" s="110"/>
      <c r="AB15" s="111" t="e">
        <f>IF(#REF!="Y","INSERT INTO `sys_table_relation` (`TABLE_NAME`, `CHILD_TABLE_NAME`, `SQL_QUERY`, `ERROR_DESC` ,`ERROR_DESC_JSON`) VALUES ('" &amp;$H15 &amp; "', '" &amp; $Y15 &amp; "', '" &amp; "select count(*) from "&amp; $Y15 &amp;" where " &amp; IF(COUNTIF(D:D,"IS_DESTROYED"),"IS_DESTROYED=0 and ","") &amp;   $D15 &amp; "={pid}" &amp; "', " &amp; "'【"&amp; $Z15 &amp;"】已使用此筆資料，故不可刪除!!'" &amp; ",'" &amp; SUBSTITUTE("{'zh_TW': '" &amp;  "【"&amp; $Z15 &amp;"】已使用此筆資料，不可刪除!!"  &amp; "' ,'en_US': '" &amp;  "Have used this information, it can not be deleted !!" &amp; "'  ,'zh_CN': '" &amp; "【"&amp; $Z15 &amp;"】已使用此筆資料，不可刪除!!" &amp; "' }", CHAR(39),CHAR(34))   &amp; "');","")</f>
        <v>#REF!</v>
      </c>
    </row>
    <row r="16" spans="1:28" s="111" customFormat="1" ht="15.75">
      <c r="A16" s="106"/>
      <c r="B16" s="94">
        <f t="shared" si="0"/>
        <v>6</v>
      </c>
      <c r="C16" s="64" t="s">
        <v>433</v>
      </c>
      <c r="D16" s="108" t="s">
        <v>434</v>
      </c>
      <c r="E16" s="109" t="s">
        <v>285</v>
      </c>
      <c r="F16" s="109">
        <v>200</v>
      </c>
      <c r="G16" s="110"/>
      <c r="H16" s="110"/>
      <c r="I16" s="110"/>
      <c r="AB16" s="111" t="e">
        <f>IF(#REF!="Y","INSERT INTO `sys_table_relation` (`TABLE_NAME`, `CHILD_TABLE_NAME`, `SQL_QUERY`, `ERROR_DESC` ,`ERROR_DESC_JSON`) VALUES ('" &amp;$H16 &amp; "', '" &amp; $Y16 &amp; "', '" &amp; "select count(*) from "&amp; $Y16 &amp;" where " &amp; IF(COUNTIF(D:D,"IS_DESTROYED"),"IS_DESTROYED=0 and ","") &amp;   $D16 &amp; "={pid}" &amp; "', " &amp; "'【"&amp; $Z16 &amp;"】已使用此筆資料，故不可刪除!!'" &amp; ",'" &amp; SUBSTITUTE("{'zh_TW': '" &amp;  "【"&amp; $Z16 &amp;"】已使用此筆資料，不可刪除!!"  &amp; "' ,'en_US': '" &amp;  "Have used this information, it can not be deleted !!" &amp; "'  ,'zh_CN': '" &amp; "【"&amp; $Z16 &amp;"】已使用此筆資料，不可刪除!!" &amp; "' }", CHAR(39),CHAR(34))   &amp; "');","")</f>
        <v>#REF!</v>
      </c>
    </row>
    <row r="17" spans="1:28" ht="15.75">
      <c r="A17" s="58"/>
      <c r="B17" s="94">
        <f t="shared" si="0"/>
        <v>7</v>
      </c>
      <c r="C17" s="70" t="s">
        <v>398</v>
      </c>
      <c r="D17" s="71" t="s">
        <v>325</v>
      </c>
      <c r="E17" s="72" t="s">
        <v>326</v>
      </c>
      <c r="F17" s="72">
        <v>4</v>
      </c>
      <c r="G17" s="163" t="s">
        <v>327</v>
      </c>
      <c r="H17" s="28" t="s">
        <v>435</v>
      </c>
      <c r="I17" s="73"/>
    </row>
    <row r="18" spans="1:28" s="111" customFormat="1" ht="15.75">
      <c r="A18" s="106"/>
      <c r="B18" s="94">
        <f t="shared" si="0"/>
        <v>8</v>
      </c>
      <c r="C18" s="108" t="s">
        <v>436</v>
      </c>
      <c r="D18" s="108" t="s">
        <v>312</v>
      </c>
      <c r="E18" s="72" t="s">
        <v>313</v>
      </c>
      <c r="F18" s="109"/>
      <c r="G18" s="110"/>
      <c r="H18" s="110"/>
      <c r="I18" s="110"/>
      <c r="AB18" s="111" t="e">
        <f>IF(#REF!="Y","INSERT INTO `sys_table_relation` (`TABLE_NAME`, `CHILD_TABLE_NAME`, `SQL_QUERY`, `ERROR_DESC` ,`ERROR_DESC_JSON`) VALUES ('" &amp;$H18 &amp; "', '" &amp; $Y18 &amp; "', '" &amp; "select count(*) from "&amp; $Y18 &amp;" where " &amp; IF(COUNTIF(D:D,"IS_DESTROYED"),"IS_DESTROYED=0 and ","") &amp;   $D18 &amp; "={pid}" &amp; "', " &amp; "'【"&amp; $Z18 &amp;"】已使用此筆資料，故不可刪除!!'" &amp; ",'" &amp; SUBSTITUTE("{'zh_TW': '" &amp;  "【"&amp; $Z18 &amp;"】已使用此筆資料，不可刪除!!"  &amp; "' ,'en_US': '" &amp;  "Have used this information, it can not be deleted !!" &amp; "'  ,'zh_CN': '" &amp; "【"&amp; $Z18 &amp;"】已使用此筆資料，不可刪除!!" &amp; "' }", CHAR(39),CHAR(34))   &amp; "');","")</f>
        <v>#REF!</v>
      </c>
    </row>
    <row r="19" spans="1:28" s="111" customFormat="1" ht="15.75">
      <c r="A19" s="106"/>
      <c r="B19" s="94">
        <f t="shared" si="0"/>
        <v>9</v>
      </c>
      <c r="C19" s="108" t="s">
        <v>423</v>
      </c>
      <c r="D19" s="108" t="s">
        <v>424</v>
      </c>
      <c r="E19" s="72" t="s">
        <v>296</v>
      </c>
      <c r="F19" s="109">
        <v>20</v>
      </c>
      <c r="G19" s="110" t="s">
        <v>425</v>
      </c>
      <c r="H19" s="110"/>
      <c r="I19" s="110"/>
    </row>
    <row r="20" spans="1:28" s="111" customFormat="1" ht="15.75">
      <c r="A20" s="106"/>
      <c r="B20" s="94">
        <f t="shared" si="0"/>
        <v>10</v>
      </c>
      <c r="C20" s="108" t="s">
        <v>426</v>
      </c>
      <c r="D20" s="108" t="s">
        <v>427</v>
      </c>
      <c r="E20" s="72" t="s">
        <v>285</v>
      </c>
      <c r="F20" s="109">
        <v>20</v>
      </c>
      <c r="G20" s="110" t="s">
        <v>425</v>
      </c>
      <c r="H20" s="110"/>
      <c r="I20" s="110"/>
    </row>
    <row r="21" spans="1:28" s="111" customFormat="1" ht="15.75">
      <c r="A21" s="106"/>
      <c r="B21" s="94">
        <f t="shared" si="0"/>
        <v>11</v>
      </c>
      <c r="C21" s="108" t="s">
        <v>428</v>
      </c>
      <c r="D21" s="108" t="s">
        <v>429</v>
      </c>
      <c r="E21" s="72" t="s">
        <v>421</v>
      </c>
      <c r="F21" s="109"/>
      <c r="G21" s="110"/>
      <c r="H21" s="110"/>
      <c r="I21" s="110"/>
    </row>
    <row r="22" spans="1:28">
      <c r="AB22" s="4" t="e">
        <f>IF(#REF!="Y","INSERT INTO `sys_table_relation` (`TABLE_NAME`, `CHILD_TABLE_NAME`, `SQL_QUERY`, `ERROR_DESC` ,`ERROR_DESC_JSON`) VALUES ('" &amp;$H22 &amp; "', '" &amp; $Y22 &amp; "', '" &amp; "select count(*) from "&amp; $Y22 &amp;" where " &amp; IF(COUNTIF(D:D,"IS_DESTROYED"),"IS_DESTROYED=0 and ","") &amp;   $D22 &amp; "={pid}" &amp; "', " &amp; "'【"&amp; $Z22 &amp;"】已使用此筆資料，故不可刪除!!'" &amp; ",'" &amp; SUBSTITUTE("{'zh_TW': '" &amp;  "【"&amp; $Z22 &amp;"】已使用此筆資料，不可刪除!!"  &amp; "' ,'en_US': '" &amp;  "Have used this information, it can not be deleted !!" &amp; "'  ,'zh_CN': '" &amp; "【"&amp; $Z22 &amp;"】已使用此筆資料，不可刪除!!" &amp; "' }", CHAR(39),CHAR(34))   &amp; "');","")</f>
        <v>#REF!</v>
      </c>
    </row>
    <row r="23" spans="1:28">
      <c r="AB23" s="4" t="e">
        <f>IF(#REF!="Y","INSERT INTO `sys_table_relation` (`TABLE_NAME`, `CHILD_TABLE_NAME`, `SQL_QUERY`, `ERROR_DESC` ,`ERROR_DESC_JSON`) VALUES ('" &amp;$H23 &amp; "', '" &amp; $Y23 &amp; "', '" &amp; "select count(*) from "&amp; $Y23 &amp;" where " &amp; IF(COUNTIF(D:D,"IS_DESTROYED"),"IS_DESTROYED=0 and ","") &amp;   $D23 &amp; "={pid}" &amp; "', " &amp; "'【"&amp; $Z23 &amp;"】已使用此筆資料，故不可刪除!!'" &amp; ",'" &amp; SUBSTITUTE("{'zh_TW': '" &amp;  "【"&amp; $Z23 &amp;"】已使用此筆資料，不可刪除!!"  &amp; "' ,'en_US': '" &amp;  "Have used this information, it can not be deleted !!" &amp; "'  ,'zh_CN': '" &amp; "【"&amp; $Z23 &amp;"】已使用此筆資料，不可刪除!!" &amp; "' }", CHAR(39),CHAR(34))   &amp; "');","")</f>
        <v>#REF!</v>
      </c>
    </row>
    <row r="24" spans="1:28">
      <c r="AB24" s="4" t="e">
        <f>IF(#REF!="Y","INSERT INTO `sys_table_relation` (`TABLE_NAME`, `CHILD_TABLE_NAME`, `SQL_QUERY`, `ERROR_DESC` ,`ERROR_DESC_JSON`) VALUES ('" &amp;$H24 &amp; "', '" &amp; $Y24 &amp; "', '" &amp; "select count(*) from "&amp; $Y24 &amp;" where " &amp; IF(COUNTIF(D:D,"IS_DESTROYED"),"IS_DESTROYED=0 and ","") &amp;   $D24 &amp; "={pid}" &amp; "', " &amp; "'【"&amp; $Z24 &amp;"】已使用此筆資料，故不可刪除!!'" &amp; ",'" &amp; SUBSTITUTE("{'zh_TW': '" &amp;  "【"&amp; $Z24 &amp;"】已使用此筆資料，不可刪除!!"  &amp; "' ,'en_US': '" &amp;  "Have used this information, it can not be deleted !!" &amp; "'  ,'zh_CN': '" &amp; "【"&amp; $Z24 &amp;"】已使用此筆資料，不可刪除!!" &amp; "' }", CHAR(39),CHAR(34))   &amp; "');","")</f>
        <v>#REF!</v>
      </c>
    </row>
    <row r="25" spans="1:28">
      <c r="AB25" s="4" t="e">
        <f>IF(#REF!="Y","INSERT INTO `sys_table_relation` (`TABLE_NAME`, `CHILD_TABLE_NAME`, `SQL_QUERY`, `ERROR_DESC` ,`ERROR_DESC_JSON`) VALUES ('" &amp;$H25 &amp; "', '" &amp; $Y25 &amp; "', '" &amp; "select count(*) from "&amp; $Y25 &amp;" where " &amp; IF(COUNTIF(D:D,"IS_DESTROYED"),"IS_DESTROYED=0 and ","") &amp;   $D25 &amp; "={pid}" &amp; "', " &amp; "'【"&amp; $Z25 &amp;"】已使用此筆資料，故不可刪除!!'" &amp; ",'" &amp; SUBSTITUTE("{'zh_TW': '" &amp;  "【"&amp; $Z25 &amp;"】已使用此筆資料，不可刪除!!"  &amp; "' ,'en_US': '" &amp;  "Have used this information, it can not be deleted !!" &amp; "'  ,'zh_CN': '" &amp; "【"&amp; $Z25 &amp;"】已使用此筆資料，不可刪除!!" &amp; "' }", CHAR(39),CHAR(34))   &amp; "');","")</f>
        <v>#REF!</v>
      </c>
    </row>
    <row r="26" spans="1:28">
      <c r="AB26" s="4" t="e">
        <f>IF(#REF!="Y","INSERT INTO `sys_table_relation` (`TABLE_NAME`, `CHILD_TABLE_NAME`, `SQL_QUERY`, `ERROR_DESC` ,`ERROR_DESC_JSON`) VALUES ('" &amp;$H26 &amp; "', '" &amp; $Y26 &amp; "', '" &amp; "select count(*) from "&amp; $Y26 &amp;" where " &amp; IF(COUNTIF(D:D,"IS_DESTROYED"),"IS_DESTROYED=0 and ","") &amp;   $D26 &amp; "={pid}" &amp; "', " &amp; "'【"&amp; $Z26 &amp;"】已使用此筆資料，故不可刪除!!'" &amp; ",'" &amp; SUBSTITUTE("{'zh_TW': '" &amp;  "【"&amp; $Z26 &amp;"】已使用此筆資料，不可刪除!!"  &amp; "' ,'en_US': '" &amp;  "Have used this information, it can not be deleted !!" &amp; "'  ,'zh_CN': '" &amp; "【"&amp; $Z26 &amp;"】已使用此筆資料，不可刪除!!" &amp; "' }", CHAR(39),CHAR(34))   &amp; "');","")</f>
        <v>#REF!</v>
      </c>
    </row>
    <row r="27" spans="1:28">
      <c r="AB27" s="4" t="e">
        <f>IF(#REF!="Y","INSERT INTO `sys_table_relation` (`TABLE_NAME`, `CHILD_TABLE_NAME`, `SQL_QUERY`, `ERROR_DESC` ,`ERROR_DESC_JSON`) VALUES ('" &amp;$H27 &amp; "', '" &amp; $Y27 &amp; "', '" &amp; "select count(*) from "&amp; $Y27 &amp;" where " &amp; IF(COUNTIF(D:D,"IS_DESTROYED"),"IS_DESTROYED=0 and ","") &amp;   $D27 &amp; "={pid}" &amp; "', " &amp; "'【"&amp; $Z27 &amp;"】已使用此筆資料，故不可刪除!!'" &amp; ",'" &amp; SUBSTITUTE("{'zh_TW': '" &amp;  "【"&amp; $Z27 &amp;"】已使用此筆資料，不可刪除!!"  &amp; "' ,'en_US': '" &amp;  "Have used this information, it can not be deleted !!" &amp; "'  ,'zh_CN': '" &amp; "【"&amp; $Z27 &amp;"】已使用此筆資料，不可刪除!!" &amp; "' }", CHAR(39),CHAR(34))   &amp; "');","")</f>
        <v>#REF!</v>
      </c>
    </row>
    <row r="28" spans="1:28">
      <c r="AB28" s="4" t="e">
        <f>IF(#REF!="Y","INSERT INTO `sys_table_relation` (`TABLE_NAME`, `CHILD_TABLE_NAME`, `SQL_QUERY`, `ERROR_DESC` ,`ERROR_DESC_JSON`) VALUES ('" &amp;$H28 &amp; "', '" &amp; $Y28 &amp; "', '" &amp; "select count(*) from "&amp; $Y28 &amp;" where " &amp; IF(COUNTIF(D:D,"IS_DESTROYED"),"IS_DESTROYED=0 and ","") &amp;   $D28 &amp; "={pid}" &amp; "', " &amp; "'【"&amp; $Z28 &amp;"】已使用此筆資料，故不可刪除!!'" &amp; ",'" &amp; SUBSTITUTE("{'zh_TW': '" &amp;  "【"&amp; $Z28 &amp;"】已使用此筆資料，不可刪除!!"  &amp; "' ,'en_US': '" &amp;  "Have used this information, it can not be deleted !!" &amp; "'  ,'zh_CN': '" &amp; "【"&amp; $Z28 &amp;"】已使用此筆資料，不可刪除!!" &amp; "' }", CHAR(39),CHAR(34))   &amp; "');","")</f>
        <v>#REF!</v>
      </c>
    </row>
    <row r="29" spans="1:28">
      <c r="AB29" s="4" t="e">
        <f>IF(#REF!="Y","INSERT INTO `sys_table_relation` (`TABLE_NAME`, `CHILD_TABLE_NAME`, `SQL_QUERY`, `ERROR_DESC` ,`ERROR_DESC_JSON`) VALUES ('" &amp;$H29 &amp; "', '" &amp; $Y29 &amp; "', '" &amp; "select count(*) from "&amp; $Y29 &amp;" where " &amp; IF(COUNTIF(D:D,"IS_DESTROYED"),"IS_DESTROYED=0 and ","") &amp;   $D29 &amp; "={pid}" &amp; "', " &amp; "'【"&amp; $Z29 &amp;"】已使用此筆資料，故不可刪除!!'" &amp; ",'" &amp; SUBSTITUTE("{'zh_TW': '" &amp;  "【"&amp; $Z29 &amp;"】已使用此筆資料，不可刪除!!"  &amp; "' ,'en_US': '" &amp;  "Have used this information, it can not be deleted !!" &amp; "'  ,'zh_CN': '" &amp; "【"&amp; $Z29 &amp;"】已使用此筆資料，不可刪除!!" &amp; "' }", CHAR(39),CHAR(34))   &amp; "');","")</f>
        <v>#REF!</v>
      </c>
    </row>
    <row r="30" spans="1:28">
      <c r="AB30" s="4" t="e">
        <f>IF(#REF!="Y","INSERT INTO `sys_table_relation` (`TABLE_NAME`, `CHILD_TABLE_NAME`, `SQL_QUERY`, `ERROR_DESC` ,`ERROR_DESC_JSON`) VALUES ('" &amp;$H30 &amp; "', '" &amp; $Y30 &amp; "', '" &amp; "select count(*) from "&amp; $Y30 &amp;" where " &amp; IF(COUNTIF(D:D,"IS_DESTROYED"),"IS_DESTROYED=0 and ","") &amp;   $D30 &amp; "={pid}" &amp; "', " &amp; "'【"&amp; $Z30 &amp;"】已使用此筆資料，故不可刪除!!'" &amp; ",'" &amp; SUBSTITUTE("{'zh_TW': '" &amp;  "【"&amp; $Z30 &amp;"】已使用此筆資料，不可刪除!!"  &amp; "' ,'en_US': '" &amp;  "Have used this information, it can not be deleted !!" &amp; "'  ,'zh_CN': '" &amp; "【"&amp; $Z30 &amp;"】已使用此筆資料，不可刪除!!" &amp; "' }", CHAR(39),CHAR(34))   &amp; "');","")</f>
        <v>#REF!</v>
      </c>
    </row>
    <row r="31" spans="1:28">
      <c r="AB31" s="4" t="e">
        <f>IF(#REF!="Y","INSERT INTO `sys_table_relation` (`TABLE_NAME`, `CHILD_TABLE_NAME`, `SQL_QUERY`, `ERROR_DESC` ,`ERROR_DESC_JSON`) VALUES ('" &amp;$H31 &amp; "', '" &amp; $Y31 &amp; "', '" &amp; "select count(*) from "&amp; $Y31 &amp;" where " &amp; IF(COUNTIF(D:D,"IS_DESTROYED"),"IS_DESTROYED=0 and ","") &amp;   $D31 &amp; "={pid}" &amp; "', " &amp; "'【"&amp; $Z31 &amp;"】已使用此筆資料，故不可刪除!!'" &amp; ",'" &amp; SUBSTITUTE("{'zh_TW': '" &amp;  "【"&amp; $Z31 &amp;"】已使用此筆資料，不可刪除!!"  &amp; "' ,'en_US': '" &amp;  "Have used this information, it can not be deleted !!" &amp; "'  ,'zh_CN': '" &amp; "【"&amp; $Z31 &amp;"】已使用此筆資料，不可刪除!!" &amp; "' }", CHAR(39),CHAR(34))   &amp; "');","")</f>
        <v>#REF!</v>
      </c>
    </row>
    <row r="32" spans="1:28">
      <c r="AB32" s="4" t="e">
        <f>IF(#REF!="Y","INSERT INTO `sys_table_relation` (`TABLE_NAME`, `CHILD_TABLE_NAME`, `SQL_QUERY`, `ERROR_DESC` ,`ERROR_DESC_JSON`) VALUES ('" &amp;$H32 &amp; "', '" &amp; $Y32 &amp; "', '" &amp; "select count(*) from "&amp; $Y32 &amp;" where " &amp; IF(COUNTIF(D:D,"IS_DESTROYED"),"IS_DESTROYED=0 and ","") &amp;   $D32 &amp; "={pid}" &amp; "', " &amp; "'【"&amp; $Z32 &amp;"】已使用此筆資料，故不可刪除!!'" &amp; ",'" &amp; SUBSTITUTE("{'zh_TW': '" &amp;  "【"&amp; $Z32 &amp;"】已使用此筆資料，不可刪除!!"  &amp; "' ,'en_US': '" &amp;  "Have used this information, it can not be deleted !!" &amp; "'  ,'zh_CN': '" &amp; "【"&amp; $Z32 &amp;"】已使用此筆資料，不可刪除!!" &amp; "' }", CHAR(39),CHAR(34))   &amp; "');","")</f>
        <v>#REF!</v>
      </c>
    </row>
    <row r="33" spans="28:28">
      <c r="AB33" s="4" t="e">
        <f>IF(#REF!="Y","INSERT INTO `sys_table_relation` (`TABLE_NAME`, `CHILD_TABLE_NAME`, `SQL_QUERY`, `ERROR_DESC` ,`ERROR_DESC_JSON`) VALUES ('" &amp;$H33 &amp; "', '" &amp; $Y33 &amp; "', '" &amp; "select count(*) from "&amp; $Y33 &amp;" where " &amp; IF(COUNTIF(D:D,"IS_DESTROYED"),"IS_DESTROYED=0 and ","") &amp;   $D33 &amp; "={pid}" &amp; "', " &amp; "'【"&amp; $Z33 &amp;"】已使用此筆資料，故不可刪除!!'" &amp; ",'" &amp; SUBSTITUTE("{'zh_TW': '" &amp;  "【"&amp; $Z33 &amp;"】已使用此筆資料，不可刪除!!"  &amp; "' ,'en_US': '" &amp;  "Have used this information, it can not be deleted !!" &amp; "'  ,'zh_CN': '" &amp; "【"&amp; $Z33 &amp;"】已使用此筆資料，不可刪除!!" &amp; "' }", CHAR(39),CHAR(34))   &amp; "');","")</f>
        <v>#REF!</v>
      </c>
    </row>
    <row r="34" spans="28:28">
      <c r="AB34" s="4" t="e">
        <f>IF(#REF!="Y","INSERT INTO `sys_table_relation` (`TABLE_NAME`, `CHILD_TABLE_NAME`, `SQL_QUERY`, `ERROR_DESC` ,`ERROR_DESC_JSON`) VALUES ('" &amp;$H34 &amp; "', '" &amp; $Y34 &amp; "', '" &amp; "select count(*) from "&amp; $Y34 &amp;" where " &amp; IF(COUNTIF(D:D,"IS_DESTROYED"),"IS_DESTROYED=0 and ","") &amp;   $D34 &amp; "={pid}" &amp; "', " &amp; "'【"&amp; $Z34 &amp;"】已使用此筆資料，故不可刪除!!'" &amp; ",'" &amp; SUBSTITUTE("{'zh_TW': '" &amp;  "【"&amp; $Z34 &amp;"】已使用此筆資料，不可刪除!!"  &amp; "' ,'en_US': '" &amp;  "Have used this information, it can not be deleted !!" &amp; "'  ,'zh_CN': '" &amp; "【"&amp; $Z34 &amp;"】已使用此筆資料，不可刪除!!" &amp; "' }", CHAR(39),CHAR(34))   &amp; "');","")</f>
        <v>#REF!</v>
      </c>
    </row>
    <row r="35" spans="28:28">
      <c r="AB35" s="4" t="e">
        <f>IF(#REF!="Y","INSERT INTO `sys_table_relation` (`TABLE_NAME`, `CHILD_TABLE_NAME`, `SQL_QUERY`, `ERROR_DESC` ,`ERROR_DESC_JSON`) VALUES ('" &amp;$H35 &amp; "', '" &amp; $Y35 &amp; "', '" &amp; "select count(*) from "&amp; $Y35 &amp;" where " &amp; IF(COUNTIF(D:D,"IS_DESTROYED"),"IS_DESTROYED=0 and ","") &amp;   $D35 &amp; "={pid}" &amp; "', " &amp; "'【"&amp; $Z35 &amp;"】已使用此筆資料，故不可刪除!!'" &amp; ",'" &amp; SUBSTITUTE("{'zh_TW': '" &amp;  "【"&amp; $Z35 &amp;"】已使用此筆資料，不可刪除!!"  &amp; "' ,'en_US': '" &amp;  "Have used this information, it can not be deleted !!" &amp; "'  ,'zh_CN': '" &amp; "【"&amp; $Z35 &amp;"】已使用此筆資料，不可刪除!!" &amp; "' }", CHAR(39),CHAR(34))   &amp; "');","")</f>
        <v>#REF!</v>
      </c>
    </row>
    <row r="36" spans="28:28">
      <c r="AB36" s="4" t="e">
        <f>IF(#REF!="Y","INSERT INTO `sys_table_relation` (`TABLE_NAME`, `CHILD_TABLE_NAME`, `SQL_QUERY`, `ERROR_DESC` ,`ERROR_DESC_JSON`) VALUES ('" &amp;$H36 &amp; "', '" &amp; $Y36 &amp; "', '" &amp; "select count(*) from "&amp; $Y36 &amp;" where " &amp; IF(COUNTIF(D:D,"IS_DESTROYED"),"IS_DESTROYED=0 and ","") &amp;   $D36 &amp; "={pid}" &amp; "', " &amp; "'【"&amp; $Z36 &amp;"】已使用此筆資料，故不可刪除!!'" &amp; ",'" &amp; SUBSTITUTE("{'zh_TW': '" &amp;  "【"&amp; $Z36 &amp;"】已使用此筆資料，不可刪除!!"  &amp; "' ,'en_US': '" &amp;  "Have used this information, it can not be deleted !!" &amp; "'  ,'zh_CN': '" &amp; "【"&amp; $Z36 &amp;"】已使用此筆資料，不可刪除!!" &amp; "' }", CHAR(39),CHAR(34))   &amp; "');","")</f>
        <v>#REF!</v>
      </c>
    </row>
    <row r="37" spans="28:28">
      <c r="AB37" s="4" t="e">
        <f>IF(#REF!="Y","INSERT INTO `sys_table_relation` (`TABLE_NAME`, `CHILD_TABLE_NAME`, `SQL_QUERY`, `ERROR_DESC` ,`ERROR_DESC_JSON`) VALUES ('" &amp;$H37 &amp; "', '" &amp; $Y37 &amp; "', '" &amp; "select count(*) from "&amp; $Y37 &amp;" where " &amp; IF(COUNTIF(D:D,"IS_DESTROYED"),"IS_DESTROYED=0 and ","") &amp;   $D37 &amp; "={pid}" &amp; "', " &amp; "'【"&amp; $Z37 &amp;"】已使用此筆資料，故不可刪除!!'" &amp; ",'" &amp; SUBSTITUTE("{'zh_TW': '" &amp;  "【"&amp; $Z37 &amp;"】已使用此筆資料，不可刪除!!"  &amp; "' ,'en_US': '" &amp;  "Have used this information, it can not be deleted !!" &amp; "'  ,'zh_CN': '" &amp; "【"&amp; $Z37 &amp;"】已使用此筆資料，不可刪除!!" &amp; "' }", CHAR(39),CHAR(34))   &amp; "');","")</f>
        <v>#REF!</v>
      </c>
    </row>
    <row r="38" spans="28:28">
      <c r="AB38" s="4" t="e">
        <f>IF(#REF!="Y","INSERT INTO `sys_table_relation` (`TABLE_NAME`, `CHILD_TABLE_NAME`, `SQL_QUERY`, `ERROR_DESC` ,`ERROR_DESC_JSON`) VALUES ('" &amp;$H38 &amp; "', '" &amp; $Y38 &amp; "', '" &amp; "select count(*) from "&amp; $Y38 &amp;" where " &amp; IF(COUNTIF(D:D,"IS_DESTROYED"),"IS_DESTROYED=0 and ","") &amp;   $D38 &amp; "={pid}" &amp; "', " &amp; "'【"&amp; $Z38 &amp;"】已使用此筆資料，故不可刪除!!'" &amp; ",'" &amp; SUBSTITUTE("{'zh_TW': '" &amp;  "【"&amp; $Z38 &amp;"】已使用此筆資料，不可刪除!!"  &amp; "' ,'en_US': '" &amp;  "Have used this information, it can not be deleted !!" &amp; "'  ,'zh_CN': '" &amp; "【"&amp; $Z38 &amp;"】已使用此筆資料，不可刪除!!" &amp; "' }", CHAR(39),CHAR(34))   &amp; "');","")</f>
        <v>#REF!</v>
      </c>
    </row>
    <row r="39" spans="28:28">
      <c r="AB39" s="4" t="e">
        <f>IF(#REF!="Y","INSERT INTO `sys_table_relation` (`TABLE_NAME`, `CHILD_TABLE_NAME`, `SQL_QUERY`, `ERROR_DESC` ,`ERROR_DESC_JSON`) VALUES ('" &amp;$H39 &amp; "', '" &amp; $Y39 &amp; "', '" &amp; "select count(*) from "&amp; $Y39 &amp;" where " &amp; IF(COUNTIF(D:D,"IS_DESTROYED"),"IS_DESTROYED=0 and ","") &amp;   $D39 &amp; "={pid}" &amp; "', " &amp; "'【"&amp; $Z39 &amp;"】已使用此筆資料，故不可刪除!!'" &amp; ",'" &amp; SUBSTITUTE("{'zh_TW': '" &amp;  "【"&amp; $Z39 &amp;"】已使用此筆資料，不可刪除!!"  &amp; "' ,'en_US': '" &amp;  "Have used this information, it can not be deleted !!" &amp; "'  ,'zh_CN': '" &amp; "【"&amp; $Z39 &amp;"】已使用此筆資料，不可刪除!!" &amp; "' }", CHAR(39),CHAR(34))   &amp; "');","")</f>
        <v>#REF!</v>
      </c>
    </row>
    <row r="40" spans="28:28">
      <c r="AB40" s="4" t="e">
        <f>IF(#REF!="Y","INSERT INTO `sys_table_relation` (`TABLE_NAME`, `CHILD_TABLE_NAME`, `SQL_QUERY`, `ERROR_DESC` ,`ERROR_DESC_JSON`) VALUES ('" &amp;$H40 &amp; "', '" &amp; $Y40 &amp; "', '" &amp; "select count(*) from "&amp; $Y40 &amp;" where " &amp; IF(COUNTIF(D:D,"IS_DESTROYED"),"IS_DESTROYED=0 and ","") &amp;   $D40 &amp; "={pid}" &amp; "', " &amp; "'【"&amp; $Z40 &amp;"】已使用此筆資料，故不可刪除!!'" &amp; ",'" &amp; SUBSTITUTE("{'zh_TW': '" &amp;  "【"&amp; $Z40 &amp;"】已使用此筆資料，不可刪除!!"  &amp; "' ,'en_US': '" &amp;  "Have used this information, it can not be deleted !!" &amp; "'  ,'zh_CN': '" &amp; "【"&amp; $Z40 &amp;"】已使用此筆資料，不可刪除!!" &amp; "' }", CHAR(39),CHAR(34))   &amp; "');","")</f>
        <v>#REF!</v>
      </c>
    </row>
    <row r="41" spans="28:28">
      <c r="AB41" s="4" t="e">
        <f>IF(#REF!="Y","INSERT INTO `sys_table_relation` (`TABLE_NAME`, `CHILD_TABLE_NAME`, `SQL_QUERY`, `ERROR_DESC` ,`ERROR_DESC_JSON`) VALUES ('" &amp;$H41 &amp; "', '" &amp; $Y41 &amp; "', '" &amp; "select count(*) from "&amp; $Y41 &amp;" where " &amp; IF(COUNTIF(D:D,"IS_DESTROYED"),"IS_DESTROYED=0 and ","") &amp;   $D41 &amp; "={pid}" &amp; "', " &amp; "'【"&amp; $Z41 &amp;"】已使用此筆資料，故不可刪除!!'" &amp; ",'" &amp; SUBSTITUTE("{'zh_TW': '" &amp;  "【"&amp; $Z41 &amp;"】已使用此筆資料，不可刪除!!"  &amp; "' ,'en_US': '" &amp;  "Have used this information, it can not be deleted !!" &amp; "'  ,'zh_CN': '" &amp; "【"&amp; $Z41 &amp;"】已使用此筆資料，不可刪除!!" &amp; "' }", CHAR(39),CHAR(34))   &amp; "');","")</f>
        <v>#REF!</v>
      </c>
    </row>
    <row r="42" spans="28:28">
      <c r="AB42" s="4" t="e">
        <f>IF(#REF!="Y","INSERT INTO `sys_table_relation` (`TABLE_NAME`, `CHILD_TABLE_NAME`, `SQL_QUERY`, `ERROR_DESC` ,`ERROR_DESC_JSON`) VALUES ('" &amp;$H42 &amp; "', '" &amp; $Y42 &amp; "', '" &amp; "select count(*) from "&amp; $Y42 &amp;" where " &amp; IF(COUNTIF(D:D,"IS_DESTROYED"),"IS_DESTROYED=0 and ","") &amp;   $D42 &amp; "={pid}" &amp; "', " &amp; "'【"&amp; $Z42 &amp;"】已使用此筆資料，故不可刪除!!'" &amp; ",'" &amp; SUBSTITUTE("{'zh_TW': '" &amp;  "【"&amp; $Z42 &amp;"】已使用此筆資料，不可刪除!!"  &amp; "' ,'en_US': '" &amp;  "Have used this information, it can not be deleted !!" &amp; "'  ,'zh_CN': '" &amp; "【"&amp; $Z42 &amp;"】已使用此筆資料，不可刪除!!" &amp; "' }", CHAR(39),CHAR(34))   &amp; "');","")</f>
        <v>#REF!</v>
      </c>
    </row>
    <row r="43" spans="28:28">
      <c r="AB43" s="4" t="e">
        <f>IF(#REF!="Y","INSERT INTO `sys_table_relation` (`TABLE_NAME`, `CHILD_TABLE_NAME`, `SQL_QUERY`, `ERROR_DESC` ,`ERROR_DESC_JSON`) VALUES ('" &amp;$H43 &amp; "', '" &amp; $Y43 &amp; "', '" &amp; "select count(*) from "&amp; $Y43 &amp;" where " &amp; IF(COUNTIF(D:D,"IS_DESTROYED"),"IS_DESTROYED=0 and ","") &amp;   $D43 &amp; "={pid}" &amp; "', " &amp; "'【"&amp; $Z43 &amp;"】已使用此筆資料，故不可刪除!!'" &amp; ",'" &amp; SUBSTITUTE("{'zh_TW': '" &amp;  "【"&amp; $Z43 &amp;"】已使用此筆資料，不可刪除!!"  &amp; "' ,'en_US': '" &amp;  "Have used this information, it can not be deleted !!" &amp; "'  ,'zh_CN': '" &amp; "【"&amp; $Z43 &amp;"】已使用此筆資料，不可刪除!!" &amp; "' }", CHAR(39),CHAR(34))   &amp; "');","")</f>
        <v>#REF!</v>
      </c>
    </row>
    <row r="44" spans="28:28">
      <c r="AB44" s="4" t="e">
        <f>IF(#REF!="Y","INSERT INTO `sys_table_relation` (`TABLE_NAME`, `CHILD_TABLE_NAME`, `SQL_QUERY`, `ERROR_DESC` ,`ERROR_DESC_JSON`) VALUES ('" &amp;$H44 &amp; "', '" &amp; $Y44 &amp; "', '" &amp; "select count(*) from "&amp; $Y44 &amp;" where " &amp; IF(COUNTIF(D:D,"IS_DESTROYED"),"IS_DESTROYED=0 and ","") &amp;   $D44 &amp; "={pid}" &amp; "', " &amp; "'【"&amp; $Z44 &amp;"】已使用此筆資料，故不可刪除!!'" &amp; ",'" &amp; SUBSTITUTE("{'zh_TW': '" &amp;  "【"&amp; $Z44 &amp;"】已使用此筆資料，不可刪除!!"  &amp; "' ,'en_US': '" &amp;  "Have used this information, it can not be deleted !!" &amp; "'  ,'zh_CN': '" &amp; "【"&amp; $Z44 &amp;"】已使用此筆資料，不可刪除!!" &amp; "' }", CHAR(39),CHAR(34))   &amp; "');","")</f>
        <v>#REF!</v>
      </c>
    </row>
    <row r="45" spans="28:28">
      <c r="AB45" s="4" t="e">
        <f>IF(#REF!="Y","INSERT INTO `sys_table_relation` (`TABLE_NAME`, `CHILD_TABLE_NAME`, `SQL_QUERY`, `ERROR_DESC` ,`ERROR_DESC_JSON`) VALUES ('" &amp;$H45 &amp; "', '" &amp; $Y45 &amp; "', '" &amp; "select count(*) from "&amp; $Y45 &amp;" where " &amp; IF(COUNTIF(D:D,"IS_DESTROYED"),"IS_DESTROYED=0 and ","") &amp;   $D45 &amp; "={pid}" &amp; "', " &amp; "'【"&amp; $Z45 &amp;"】已使用此筆資料，故不可刪除!!'" &amp; ",'" &amp; SUBSTITUTE("{'zh_TW': '" &amp;  "【"&amp; $Z45 &amp;"】已使用此筆資料，不可刪除!!"  &amp; "' ,'en_US': '" &amp;  "Have used this information, it can not be deleted !!" &amp; "'  ,'zh_CN': '" &amp; "【"&amp; $Z45 &amp;"】已使用此筆資料，不可刪除!!" &amp; "' }", CHAR(39),CHAR(34))   &amp; "');","")</f>
        <v>#REF!</v>
      </c>
    </row>
    <row r="46" spans="28:28">
      <c r="AB46" s="4" t="e">
        <f>IF(#REF!="Y","INSERT INTO `sys_table_relation` (`TABLE_NAME`, `CHILD_TABLE_NAME`, `SQL_QUERY`, `ERROR_DESC` ,`ERROR_DESC_JSON`) VALUES ('" &amp;$H46 &amp; "', '" &amp; $Y46 &amp; "', '" &amp; "select count(*) from "&amp; $Y46 &amp;" where " &amp; IF(COUNTIF(D:D,"IS_DESTROYED"),"IS_DESTROYED=0 and ","") &amp;   $D46 &amp; "={pid}" &amp; "', " &amp; "'【"&amp; $Z46 &amp;"】已使用此筆資料，故不可刪除!!'" &amp; ",'" &amp; SUBSTITUTE("{'zh_TW': '" &amp;  "【"&amp; $Z46 &amp;"】已使用此筆資料，不可刪除!!"  &amp; "' ,'en_US': '" &amp;  "Have used this information, it can not be deleted !!" &amp; "'  ,'zh_CN': '" &amp; "【"&amp; $Z46 &amp;"】已使用此筆資料，不可刪除!!" &amp; "' }", CHAR(39),CHAR(34))   &amp; "');","")</f>
        <v>#REF!</v>
      </c>
    </row>
    <row r="47" spans="28:28">
      <c r="AB47" s="4" t="e">
        <f>IF(#REF!="Y","INSERT INTO `sys_table_relation` (`TABLE_NAME`, `CHILD_TABLE_NAME`, `SQL_QUERY`, `ERROR_DESC` ,`ERROR_DESC_JSON`) VALUES ('" &amp;$H47 &amp; "', '" &amp; $Y47 &amp; "', '" &amp; "select count(*) from "&amp; $Y47 &amp;" where " &amp; IF(COUNTIF(D:D,"IS_DESTROYED"),"IS_DESTROYED=0 and ","") &amp;   $D47 &amp; "={pid}" &amp; "', " &amp; "'【"&amp; $Z47 &amp;"】已使用此筆資料，故不可刪除!!'" &amp; ",'" &amp; SUBSTITUTE("{'zh_TW': '" &amp;  "【"&amp; $Z47 &amp;"】已使用此筆資料，不可刪除!!"  &amp; "' ,'en_US': '" &amp;  "Have used this information, it can not be deleted !!" &amp; "'  ,'zh_CN': '" &amp; "【"&amp; $Z47 &amp;"】已使用此筆資料，不可刪除!!" &amp; "' }", CHAR(39),CHAR(34))   &amp; "');","")</f>
        <v>#REF!</v>
      </c>
    </row>
    <row r="48" spans="28:28">
      <c r="AB48" s="4" t="e">
        <f>IF(#REF!="Y","INSERT INTO `sys_table_relation` (`TABLE_NAME`, `CHILD_TABLE_NAME`, `SQL_QUERY`, `ERROR_DESC` ,`ERROR_DESC_JSON`) VALUES ('" &amp;$H48 &amp; "', '" &amp; $Y48 &amp; "', '" &amp; "select count(*) from "&amp; $Y48 &amp;" where " &amp; IF(COUNTIF(D:D,"IS_DESTROYED"),"IS_DESTROYED=0 and ","") &amp;   $D48 &amp; "={pid}" &amp; "', " &amp; "'【"&amp; $Z48 &amp;"】已使用此筆資料，故不可刪除!!'" &amp; ",'" &amp; SUBSTITUTE("{'zh_TW': '" &amp;  "【"&amp; $Z48 &amp;"】已使用此筆資料，不可刪除!!"  &amp; "' ,'en_US': '" &amp;  "Have used this information, it can not be deleted !!" &amp; "'  ,'zh_CN': '" &amp; "【"&amp; $Z48 &amp;"】已使用此筆資料，不可刪除!!" &amp; "' }", CHAR(39),CHAR(34))   &amp; "');","")</f>
        <v>#REF!</v>
      </c>
    </row>
    <row r="49" spans="28:28">
      <c r="AB49" s="4" t="e">
        <f>IF(#REF!="Y","INSERT INTO `sys_table_relation` (`TABLE_NAME`, `CHILD_TABLE_NAME`, `SQL_QUERY`, `ERROR_DESC` ,`ERROR_DESC_JSON`) VALUES ('" &amp;$H49 &amp; "', '" &amp; $Y49 &amp; "', '" &amp; "select count(*) from "&amp; $Y49 &amp;" where " &amp; IF(COUNTIF(D:D,"IS_DESTROYED"),"IS_DESTROYED=0 and ","") &amp;   $D49 &amp; "={pid}" &amp; "', " &amp; "'【"&amp; $Z49 &amp;"】已使用此筆資料，故不可刪除!!'" &amp; ",'" &amp; SUBSTITUTE("{'zh_TW': '" &amp;  "【"&amp; $Z49 &amp;"】已使用此筆資料，不可刪除!!"  &amp; "' ,'en_US': '" &amp;  "Have used this information, it can not be deleted !!" &amp; "'  ,'zh_CN': '" &amp; "【"&amp; $Z49 &amp;"】已使用此筆資料，不可刪除!!" &amp; "' }", CHAR(39),CHAR(34))   &amp; "');","")</f>
        <v>#REF!</v>
      </c>
    </row>
    <row r="50" spans="28:28">
      <c r="AB50" s="4" t="e">
        <f>IF(#REF!="Y","INSERT INTO `sys_table_relation` (`TABLE_NAME`, `CHILD_TABLE_NAME`, `SQL_QUERY`, `ERROR_DESC` ,`ERROR_DESC_JSON`) VALUES ('" &amp;$H50 &amp; "', '" &amp; $Y50 &amp; "', '" &amp; "select count(*) from "&amp; $Y50 &amp;" where " &amp; IF(COUNTIF(D:D,"IS_DESTROYED"),"IS_DESTROYED=0 and ","") &amp;   $D50 &amp; "={pid}" &amp; "', " &amp; "'【"&amp; $Z50 &amp;"】已使用此筆資料，故不可刪除!!'" &amp; ",'" &amp; SUBSTITUTE("{'zh_TW': '" &amp;  "【"&amp; $Z50 &amp;"】已使用此筆資料，不可刪除!!"  &amp; "' ,'en_US': '" &amp;  "Have used this information, it can not be deleted !!" &amp; "'  ,'zh_CN': '" &amp; "【"&amp; $Z50 &amp;"】已使用此筆資料，不可刪除!!" &amp; "' }", CHAR(39),CHAR(34))   &amp; "');","")</f>
        <v>#REF!</v>
      </c>
    </row>
    <row r="51" spans="28:28">
      <c r="AB51" s="4" t="e">
        <f>IF(#REF!="Y","INSERT INTO `sys_table_relation` (`TABLE_NAME`, `CHILD_TABLE_NAME`, `SQL_QUERY`, `ERROR_DESC` ,`ERROR_DESC_JSON`) VALUES ('" &amp;$H51 &amp; "', '" &amp; $Y51 &amp; "', '" &amp; "select count(*) from "&amp; $Y51 &amp;" where " &amp; IF(COUNTIF(D:D,"IS_DESTROYED"),"IS_DESTROYED=0 and ","") &amp;   $D51 &amp; "={pid}" &amp; "', " &amp; "'【"&amp; $Z51 &amp;"】已使用此筆資料，故不可刪除!!'" &amp; ",'" &amp; SUBSTITUTE("{'zh_TW': '" &amp;  "【"&amp; $Z51 &amp;"】已使用此筆資料，不可刪除!!"  &amp; "' ,'en_US': '" &amp;  "Have used this information, it can not be deleted !!" &amp; "'  ,'zh_CN': '" &amp; "【"&amp; $Z51 &amp;"】已使用此筆資料，不可刪除!!" &amp; "' }", CHAR(39),CHAR(34))   &amp; "');","")</f>
        <v>#REF!</v>
      </c>
    </row>
    <row r="52" spans="28:28">
      <c r="AB52" s="4" t="e">
        <f>IF(#REF!="Y","INSERT INTO `sys_table_relation` (`TABLE_NAME`, `CHILD_TABLE_NAME`, `SQL_QUERY`, `ERROR_DESC` ,`ERROR_DESC_JSON`) VALUES ('" &amp;$H52 &amp; "', '" &amp; $Y52 &amp; "', '" &amp; "select count(*) from "&amp; $Y52 &amp;" where " &amp; IF(COUNTIF(D:D,"IS_DESTROYED"),"IS_DESTROYED=0 and ","") &amp;   $D52 &amp; "={pid}" &amp; "', " &amp; "'【"&amp; $Z52 &amp;"】已使用此筆資料，故不可刪除!!'" &amp; ",'" &amp; SUBSTITUTE("{'zh_TW': '" &amp;  "【"&amp; $Z52 &amp;"】已使用此筆資料，不可刪除!!"  &amp; "' ,'en_US': '" &amp;  "Have used this information, it can not be deleted !!" &amp; "'  ,'zh_CN': '" &amp; "【"&amp; $Z52 &amp;"】已使用此筆資料，不可刪除!!" &amp; "' }", CHAR(39),CHAR(34))   &amp; "');","")</f>
        <v>#REF!</v>
      </c>
    </row>
    <row r="53" spans="28:28">
      <c r="AB53" s="4" t="e">
        <f>IF(#REF!="Y","INSERT INTO `sys_table_relation` (`TABLE_NAME`, `CHILD_TABLE_NAME`, `SQL_QUERY`, `ERROR_DESC` ,`ERROR_DESC_JSON`) VALUES ('" &amp;$H53 &amp; "', '" &amp; $Y53 &amp; "', '" &amp; "select count(*) from "&amp; $Y53 &amp;" where " &amp; IF(COUNTIF(D:D,"IS_DESTROYED"),"IS_DESTROYED=0 and ","") &amp;   $D53 &amp; "={pid}" &amp; "', " &amp; "'【"&amp; $Z53 &amp;"】已使用此筆資料，故不可刪除!!'" &amp; ",'" &amp; SUBSTITUTE("{'zh_TW': '" &amp;  "【"&amp; $Z53 &amp;"】已使用此筆資料，不可刪除!!"  &amp; "' ,'en_US': '" &amp;  "Have used this information, it can not be deleted !!" &amp; "'  ,'zh_CN': '" &amp; "【"&amp; $Z53 &amp;"】已使用此筆資料，不可刪除!!" &amp; "' }", CHAR(39),CHAR(34))   &amp; "');","")</f>
        <v>#REF!</v>
      </c>
    </row>
    <row r="54" spans="28:28">
      <c r="AB54" s="4" t="e">
        <f>IF(#REF!="Y","INSERT INTO `sys_table_relation` (`TABLE_NAME`, `CHILD_TABLE_NAME`, `SQL_QUERY`, `ERROR_DESC` ,`ERROR_DESC_JSON`) VALUES ('" &amp;$H54 &amp; "', '" &amp; $Y54 &amp; "', '" &amp; "select count(*) from "&amp; $Y54 &amp;" where " &amp; IF(COUNTIF(D:D,"IS_DESTROYED"),"IS_DESTROYED=0 and ","") &amp;   $D54 &amp; "={pid}" &amp; "', " &amp; "'【"&amp; $Z54 &amp;"】已使用此筆資料，故不可刪除!!'" &amp; ",'" &amp; SUBSTITUTE("{'zh_TW': '" &amp;  "【"&amp; $Z54 &amp;"】已使用此筆資料，不可刪除!!"  &amp; "' ,'en_US': '" &amp;  "Have used this information, it can not be deleted !!" &amp; "'  ,'zh_CN': '" &amp; "【"&amp; $Z54 &amp;"】已使用此筆資料，不可刪除!!" &amp; "' }", CHAR(39),CHAR(34))   &amp; "');","")</f>
        <v>#REF!</v>
      </c>
    </row>
    <row r="55" spans="28:28">
      <c r="AB55" s="4" t="e">
        <f>IF(#REF!="Y","INSERT INTO `sys_table_relation` (`TABLE_NAME`, `CHILD_TABLE_NAME`, `SQL_QUERY`, `ERROR_DESC` ,`ERROR_DESC_JSON`) VALUES ('" &amp;$H55 &amp; "', '" &amp; $Y55 &amp; "', '" &amp; "select count(*) from "&amp; $Y55 &amp;" where " &amp; IF(COUNTIF(D:D,"IS_DESTROYED"),"IS_DESTROYED=0 and ","") &amp;   $D55 &amp; "={pid}" &amp; "', " &amp; "'【"&amp; $Z55 &amp;"】已使用此筆資料，故不可刪除!!'" &amp; ",'" &amp; SUBSTITUTE("{'zh_TW': '" &amp;  "【"&amp; $Z55 &amp;"】已使用此筆資料，不可刪除!!"  &amp; "' ,'en_US': '" &amp;  "Have used this information, it can not be deleted !!" &amp; "'  ,'zh_CN': '" &amp; "【"&amp; $Z55 &amp;"】已使用此筆資料，不可刪除!!" &amp; "' }", CHAR(39),CHAR(34))   &amp; "');","")</f>
        <v>#REF!</v>
      </c>
    </row>
    <row r="56" spans="28:28">
      <c r="AB56" s="4" t="e">
        <f>IF(#REF!="Y","INSERT INTO `sys_table_relation` (`TABLE_NAME`, `CHILD_TABLE_NAME`, `SQL_QUERY`, `ERROR_DESC` ,`ERROR_DESC_JSON`) VALUES ('" &amp;$H56 &amp; "', '" &amp; $Y56 &amp; "', '" &amp; "select count(*) from "&amp; $Y56 &amp;" where " &amp; IF(COUNTIF(D:D,"IS_DESTROYED"),"IS_DESTROYED=0 and ","") &amp;   $D56 &amp; "={pid}" &amp; "', " &amp; "'【"&amp; $Z56 &amp;"】已使用此筆資料，故不可刪除!!'" &amp; ",'" &amp; SUBSTITUTE("{'zh_TW': '" &amp;  "【"&amp; $Z56 &amp;"】已使用此筆資料，不可刪除!!"  &amp; "' ,'en_US': '" &amp;  "Have used this information, it can not be deleted !!" &amp; "'  ,'zh_CN': '" &amp; "【"&amp; $Z56 &amp;"】已使用此筆資料，不可刪除!!" &amp; "' }", CHAR(39),CHAR(34))   &amp; "');","")</f>
        <v>#REF!</v>
      </c>
    </row>
    <row r="57" spans="28:28">
      <c r="AB57" s="4" t="e">
        <f>IF(#REF!="Y","INSERT INTO `sys_table_relation` (`TABLE_NAME`, `CHILD_TABLE_NAME`, `SQL_QUERY`, `ERROR_DESC` ,`ERROR_DESC_JSON`) VALUES ('" &amp;$H57 &amp; "', '" &amp; $Y57 &amp; "', '" &amp; "select count(*) from "&amp; $Y57 &amp;" where " &amp; IF(COUNTIF(D:D,"IS_DESTROYED"),"IS_DESTROYED=0 and ","") &amp;   $D57 &amp; "={pid}" &amp; "', " &amp; "'【"&amp; $Z57 &amp;"】已使用此筆資料，故不可刪除!!'" &amp; ",'" &amp; SUBSTITUTE("{'zh_TW': '" &amp;  "【"&amp; $Z57 &amp;"】已使用此筆資料，不可刪除!!"  &amp; "' ,'en_US': '" &amp;  "Have used this information, it can not be deleted !!" &amp; "'  ,'zh_CN': '" &amp; "【"&amp; $Z57 &amp;"】已使用此筆資料，不可刪除!!" &amp; "' }", CHAR(39),CHAR(34))   &amp; "');","")</f>
        <v>#REF!</v>
      </c>
    </row>
    <row r="58" spans="28:28">
      <c r="AB58" s="4" t="e">
        <f>IF(#REF!="Y","INSERT INTO `sys_table_relation` (`TABLE_NAME`, `CHILD_TABLE_NAME`, `SQL_QUERY`, `ERROR_DESC` ,`ERROR_DESC_JSON`) VALUES ('" &amp;$H58 &amp; "', '" &amp; $Y58 &amp; "', '" &amp; "select count(*) from "&amp; $Y58 &amp;" where " &amp; IF(COUNTIF(D:D,"IS_DESTROYED"),"IS_DESTROYED=0 and ","") &amp;   $D58 &amp; "={pid}" &amp; "', " &amp; "'【"&amp; $Z58 &amp;"】已使用此筆資料，故不可刪除!!'" &amp; ",'" &amp; SUBSTITUTE("{'zh_TW': '" &amp;  "【"&amp; $Z58 &amp;"】已使用此筆資料，不可刪除!!"  &amp; "' ,'en_US': '" &amp;  "Have used this information, it can not be deleted !!" &amp; "'  ,'zh_CN': '" &amp; "【"&amp; $Z58 &amp;"】已使用此筆資料，不可刪除!!" &amp; "' }", CHAR(39),CHAR(34))   &amp; "');","")</f>
        <v>#REF!</v>
      </c>
    </row>
    <row r="59" spans="28:28">
      <c r="AB59" s="4" t="e">
        <f>IF(#REF!="Y","INSERT INTO `sys_table_relation` (`TABLE_NAME`, `CHILD_TABLE_NAME`, `SQL_QUERY`, `ERROR_DESC` ,`ERROR_DESC_JSON`) VALUES ('" &amp;$H59 &amp; "', '" &amp; $Y59 &amp; "', '" &amp; "select count(*) from "&amp; $Y59 &amp;" where " &amp; IF(COUNTIF(D:D,"IS_DESTROYED"),"IS_DESTROYED=0 and ","") &amp;   $D59 &amp; "={pid}" &amp; "', " &amp; "'【"&amp; $Z59 &amp;"】已使用此筆資料，故不可刪除!!'" &amp; ",'" &amp; SUBSTITUTE("{'zh_TW': '" &amp;  "【"&amp; $Z59 &amp;"】已使用此筆資料，不可刪除!!"  &amp; "' ,'en_US': '" &amp;  "Have used this information, it can not be deleted !!" &amp; "'  ,'zh_CN': '" &amp; "【"&amp; $Z59 &amp;"】已使用此筆資料，不可刪除!!" &amp; "' }", CHAR(39),CHAR(34))   &amp; "');","")</f>
        <v>#REF!</v>
      </c>
    </row>
    <row r="60" spans="28:28">
      <c r="AB60" s="4" t="e">
        <f>IF(#REF!="Y","INSERT INTO `sys_table_relation` (`TABLE_NAME`, `CHILD_TABLE_NAME`, `SQL_QUERY`, `ERROR_DESC` ,`ERROR_DESC_JSON`) VALUES ('" &amp;$H60 &amp; "', '" &amp; $Y60 &amp; "', '" &amp; "select count(*) from "&amp; $Y60 &amp;" where " &amp; IF(COUNTIF(D:D,"IS_DESTROYED"),"IS_DESTROYED=0 and ","") &amp;   $D60 &amp; "={pid}" &amp; "', " &amp; "'【"&amp; $Z60 &amp;"】已使用此筆資料，故不可刪除!!'" &amp; ",'" &amp; SUBSTITUTE("{'zh_TW': '" &amp;  "【"&amp; $Z60 &amp;"】已使用此筆資料，不可刪除!!"  &amp; "' ,'en_US': '" &amp;  "Have used this information, it can not be deleted !!" &amp; "'  ,'zh_CN': '" &amp; "【"&amp; $Z60 &amp;"】已使用此筆資料，不可刪除!!" &amp; "' }", CHAR(39),CHAR(34))   &amp; "');","")</f>
        <v>#REF!</v>
      </c>
    </row>
    <row r="61" spans="28:28">
      <c r="AB61" s="4" t="e">
        <f>IF(#REF!="Y","INSERT INTO `sys_table_relation` (`TABLE_NAME`, `CHILD_TABLE_NAME`, `SQL_QUERY`, `ERROR_DESC` ,`ERROR_DESC_JSON`) VALUES ('" &amp;$H61 &amp; "', '" &amp; $Y61 &amp; "', '" &amp; "select count(*) from "&amp; $Y61 &amp;" where " &amp; IF(COUNTIF(D:D,"IS_DESTROYED"),"IS_DESTROYED=0 and ","") &amp;   $D61 &amp; "={pid}" &amp; "', " &amp; "'【"&amp; $Z61 &amp;"】已使用此筆資料，故不可刪除!!'" &amp; ",'" &amp; SUBSTITUTE("{'zh_TW': '" &amp;  "【"&amp; $Z61 &amp;"】已使用此筆資料，不可刪除!!"  &amp; "' ,'en_US': '" &amp;  "Have used this information, it can not be deleted !!" &amp; "'  ,'zh_CN': '" &amp; "【"&amp; $Z61 &amp;"】已使用此筆資料，不可刪除!!" &amp; "' }", CHAR(39),CHAR(34))   &amp; "');","")</f>
        <v>#REF!</v>
      </c>
    </row>
    <row r="62" spans="28:28">
      <c r="AB62" s="4" t="e">
        <f>IF(#REF!="Y","INSERT INTO `sys_table_relation` (`TABLE_NAME`, `CHILD_TABLE_NAME`, `SQL_QUERY`, `ERROR_DESC` ,`ERROR_DESC_JSON`) VALUES ('" &amp;$H62 &amp; "', '" &amp; $Y62 &amp; "', '" &amp; "select count(*) from "&amp; $Y62 &amp;" where " &amp; IF(COUNTIF(D:D,"IS_DESTROYED"),"IS_DESTROYED=0 and ","") &amp;   $D62 &amp; "={pid}" &amp; "', " &amp; "'【"&amp; $Z62 &amp;"】已使用此筆資料，故不可刪除!!'" &amp; ",'" &amp; SUBSTITUTE("{'zh_TW': '" &amp;  "【"&amp; $Z62 &amp;"】已使用此筆資料，不可刪除!!"  &amp; "' ,'en_US': '" &amp;  "Have used this information, it can not be deleted !!" &amp; "'  ,'zh_CN': '" &amp; "【"&amp; $Z62 &amp;"】已使用此筆資料，不可刪除!!" &amp; "' }", CHAR(39),CHAR(34))   &amp; "');","")</f>
        <v>#REF!</v>
      </c>
    </row>
    <row r="63" spans="28:28">
      <c r="AB63" s="4" t="e">
        <f>IF(#REF!="Y","INSERT INTO `sys_table_relation` (`TABLE_NAME`, `CHILD_TABLE_NAME`, `SQL_QUERY`, `ERROR_DESC` ,`ERROR_DESC_JSON`) VALUES ('" &amp;$H63 &amp; "', '" &amp; $Y63 &amp; "', '" &amp; "select count(*) from "&amp; $Y63 &amp;" where " &amp; IF(COUNTIF(D:D,"IS_DESTROYED"),"IS_DESTROYED=0 and ","") &amp;   $D63 &amp; "={pid}" &amp; "', " &amp; "'【"&amp; $Z63 &amp;"】已使用此筆資料，故不可刪除!!'" &amp; ",'" &amp; SUBSTITUTE("{'zh_TW': '" &amp;  "【"&amp; $Z63 &amp;"】已使用此筆資料，不可刪除!!"  &amp; "' ,'en_US': '" &amp;  "Have used this information, it can not be deleted !!" &amp; "'  ,'zh_CN': '" &amp; "【"&amp; $Z63 &amp;"】已使用此筆資料，不可刪除!!" &amp; "' }", CHAR(39),CHAR(34))   &amp; "');","")</f>
        <v>#REF!</v>
      </c>
    </row>
    <row r="64" spans="28:28">
      <c r="AB64" s="4" t="e">
        <f>IF(#REF!="Y","INSERT INTO `sys_table_relation` (`TABLE_NAME`, `CHILD_TABLE_NAME`, `SQL_QUERY`, `ERROR_DESC` ,`ERROR_DESC_JSON`) VALUES ('" &amp;$H64 &amp; "', '" &amp; $Y64 &amp; "', '" &amp; "select count(*) from "&amp; $Y64 &amp;" where " &amp; IF(COUNTIF(D:D,"IS_DESTROYED"),"IS_DESTROYED=0 and ","") &amp;   $D64 &amp; "={pid}" &amp; "', " &amp; "'【"&amp; $Z64 &amp;"】已使用此筆資料，故不可刪除!!'" &amp; ",'" &amp; SUBSTITUTE("{'zh_TW': '" &amp;  "【"&amp; $Z64 &amp;"】已使用此筆資料，不可刪除!!"  &amp; "' ,'en_US': '" &amp;  "Have used this information, it can not be deleted !!" &amp; "'  ,'zh_CN': '" &amp; "【"&amp; $Z64 &amp;"】已使用此筆資料，不可刪除!!" &amp; "' }", CHAR(39),CHAR(34))   &amp; "');","")</f>
        <v>#REF!</v>
      </c>
    </row>
    <row r="65" spans="28:28">
      <c r="AB65" s="4" t="e">
        <f>IF(#REF!="Y","INSERT INTO `sys_table_relation` (`TABLE_NAME`, `CHILD_TABLE_NAME`, `SQL_QUERY`, `ERROR_DESC` ,`ERROR_DESC_JSON`) VALUES ('" &amp;$H65 &amp; "', '" &amp; $Y65 &amp; "', '" &amp; "select count(*) from "&amp; $Y65 &amp;" where " &amp; IF(COUNTIF(D:D,"IS_DESTROYED"),"IS_DESTROYED=0 and ","") &amp;   $D65 &amp; "={pid}" &amp; "', " &amp; "'【"&amp; $Z65 &amp;"】已使用此筆資料，故不可刪除!!'" &amp; ",'" &amp; SUBSTITUTE("{'zh_TW': '" &amp;  "【"&amp; $Z65 &amp;"】已使用此筆資料，不可刪除!!"  &amp; "' ,'en_US': '" &amp;  "Have used this information, it can not be deleted !!" &amp; "'  ,'zh_CN': '" &amp; "【"&amp; $Z65 &amp;"】已使用此筆資料，不可刪除!!" &amp; "' }", CHAR(39),CHAR(34))   &amp; "');","")</f>
        <v>#REF!</v>
      </c>
    </row>
    <row r="66" spans="28:28">
      <c r="AB66" s="4" t="e">
        <f>IF(#REF!="Y","INSERT INTO `sys_table_relation` (`TABLE_NAME`, `CHILD_TABLE_NAME`, `SQL_QUERY`, `ERROR_DESC` ,`ERROR_DESC_JSON`) VALUES ('" &amp;$H66 &amp; "', '" &amp; $Y66 &amp; "', '" &amp; "select count(*) from "&amp; $Y66 &amp;" where " &amp; IF(COUNTIF(D:D,"IS_DESTROYED"),"IS_DESTROYED=0 and ","") &amp;   $D66 &amp; "={pid}" &amp; "', " &amp; "'【"&amp; $Z66 &amp;"】已使用此筆資料，故不可刪除!!'" &amp; ",'" &amp; SUBSTITUTE("{'zh_TW': '" &amp;  "【"&amp; $Z66 &amp;"】已使用此筆資料，不可刪除!!"  &amp; "' ,'en_US': '" &amp;  "Have used this information, it can not be deleted !!" &amp; "'  ,'zh_CN': '" &amp; "【"&amp; $Z66 &amp;"】已使用此筆資料，不可刪除!!" &amp; "' }", CHAR(39),CHAR(34))   &amp; "');","")</f>
        <v>#REF!</v>
      </c>
    </row>
    <row r="67" spans="28:28">
      <c r="AB67" s="4" t="e">
        <f>IF(#REF!="Y","INSERT INTO `sys_table_relation` (`TABLE_NAME`, `CHILD_TABLE_NAME`, `SQL_QUERY`, `ERROR_DESC` ,`ERROR_DESC_JSON`) VALUES ('" &amp;$H67 &amp; "', '" &amp; $Y67 &amp; "', '" &amp; "select count(*) from "&amp; $Y67 &amp;" where " &amp; IF(COUNTIF(D:D,"IS_DESTROYED"),"IS_DESTROYED=0 and ","") &amp;   $D67 &amp; "={pid}" &amp; "', " &amp; "'【"&amp; $Z67 &amp;"】已使用此筆資料，故不可刪除!!'" &amp; ",'" &amp; SUBSTITUTE("{'zh_TW': '" &amp;  "【"&amp; $Z67 &amp;"】已使用此筆資料，不可刪除!!"  &amp; "' ,'en_US': '" &amp;  "Have used this information, it can not be deleted !!" &amp; "'  ,'zh_CN': '" &amp; "【"&amp; $Z67 &amp;"】已使用此筆資料，不可刪除!!" &amp; "' }", CHAR(39),CHAR(34))   &amp; "');","")</f>
        <v>#REF!</v>
      </c>
    </row>
    <row r="68" spans="28:28">
      <c r="AB68" s="4" t="e">
        <f>IF(#REF!="Y","INSERT INTO `sys_table_relation` (`TABLE_NAME`, `CHILD_TABLE_NAME`, `SQL_QUERY`, `ERROR_DESC` ,`ERROR_DESC_JSON`) VALUES ('" &amp;$H68 &amp; "', '" &amp; $Y68 &amp; "', '" &amp; "select count(*) from "&amp; $Y68 &amp;" where " &amp; IF(COUNTIF(D:D,"IS_DESTROYED"),"IS_DESTROYED=0 and ","") &amp;   $D68 &amp; "={pid}" &amp; "', " &amp; "'【"&amp; $Z68 &amp;"】已使用此筆資料，故不可刪除!!'" &amp; ",'" &amp; SUBSTITUTE("{'zh_TW': '" &amp;  "【"&amp; $Z68 &amp;"】已使用此筆資料，不可刪除!!"  &amp; "' ,'en_US': '" &amp;  "Have used this information, it can not be deleted !!" &amp; "'  ,'zh_CN': '" &amp; "【"&amp; $Z68 &amp;"】已使用此筆資料，不可刪除!!" &amp; "' }", CHAR(39),CHAR(34))   &amp; "');","")</f>
        <v>#REF!</v>
      </c>
    </row>
    <row r="69" spans="28:28">
      <c r="AB69" s="4" t="e">
        <f>IF(#REF!="Y","INSERT INTO `sys_table_relation` (`TABLE_NAME`, `CHILD_TABLE_NAME`, `SQL_QUERY`, `ERROR_DESC` ,`ERROR_DESC_JSON`) VALUES ('" &amp;$H69 &amp; "', '" &amp; $Y69 &amp; "', '" &amp; "select count(*) from "&amp; $Y69 &amp;" where " &amp; IF(COUNTIF(D:D,"IS_DESTROYED"),"IS_DESTROYED=0 and ","") &amp;   $D69 &amp; "={pid}" &amp; "', " &amp; "'【"&amp; $Z69 &amp;"】已使用此筆資料，故不可刪除!!'" &amp; ",'" &amp; SUBSTITUTE("{'zh_TW': '" &amp;  "【"&amp; $Z69 &amp;"】已使用此筆資料，不可刪除!!"  &amp; "' ,'en_US': '" &amp;  "Have used this information, it can not be deleted !!" &amp; "'  ,'zh_CN': '" &amp; "【"&amp; $Z69 &amp;"】已使用此筆資料，不可刪除!!" &amp; "' }", CHAR(39),CHAR(34))   &amp; "');","")</f>
        <v>#REF!</v>
      </c>
    </row>
    <row r="70" spans="28:28">
      <c r="AB70" s="4" t="e">
        <f>IF(#REF!="Y","INSERT INTO `sys_table_relation` (`TABLE_NAME`, `CHILD_TABLE_NAME`, `SQL_QUERY`, `ERROR_DESC` ,`ERROR_DESC_JSON`) VALUES ('" &amp;$H70 &amp; "', '" &amp; $Y70 &amp; "', '" &amp; "select count(*) from "&amp; $Y70 &amp;" where " &amp; IF(COUNTIF(D:D,"IS_DESTROYED"),"IS_DESTROYED=0 and ","") &amp;   $D70 &amp; "={pid}" &amp; "', " &amp; "'【"&amp; $Z70 &amp;"】已使用此筆資料，故不可刪除!!'" &amp; ",'" &amp; SUBSTITUTE("{'zh_TW': '" &amp;  "【"&amp; $Z70 &amp;"】已使用此筆資料，不可刪除!!"  &amp; "' ,'en_US': '" &amp;  "Have used this information, it can not be deleted !!" &amp; "'  ,'zh_CN': '" &amp; "【"&amp; $Z70 &amp;"】已使用此筆資料，不可刪除!!" &amp; "' }", CHAR(39),CHAR(34))   &amp; "');","")</f>
        <v>#REF!</v>
      </c>
    </row>
    <row r="71" spans="28:28">
      <c r="AB71" s="4" t="e">
        <f>IF(#REF!="Y","INSERT INTO `sys_table_relation` (`TABLE_NAME`, `CHILD_TABLE_NAME`, `SQL_QUERY`, `ERROR_DESC` ,`ERROR_DESC_JSON`) VALUES ('" &amp;$H71 &amp; "', '" &amp; $Y71 &amp; "', '" &amp; "select count(*) from "&amp; $Y71 &amp;" where " &amp; IF(COUNTIF(D:D,"IS_DESTROYED"),"IS_DESTROYED=0 and ","") &amp;   $D71 &amp; "={pid}" &amp; "', " &amp; "'【"&amp; $Z71 &amp;"】已使用此筆資料，故不可刪除!!'" &amp; ",'" &amp; SUBSTITUTE("{'zh_TW': '" &amp;  "【"&amp; $Z71 &amp;"】已使用此筆資料，不可刪除!!"  &amp; "' ,'en_US': '" &amp;  "Have used this information, it can not be deleted !!" &amp; "'  ,'zh_CN': '" &amp; "【"&amp; $Z71 &amp;"】已使用此筆資料，不可刪除!!" &amp; "' }", CHAR(39),CHAR(34))   &amp; "');","")</f>
        <v>#REF!</v>
      </c>
    </row>
    <row r="72" spans="28:28">
      <c r="AB72" s="4" t="e">
        <f>IF(#REF!="Y","INSERT INTO `sys_table_relation` (`TABLE_NAME`, `CHILD_TABLE_NAME`, `SQL_QUERY`, `ERROR_DESC` ,`ERROR_DESC_JSON`) VALUES ('" &amp;$H72 &amp; "', '" &amp; $Y72 &amp; "', '" &amp; "select count(*) from "&amp; $Y72 &amp;" where " &amp; IF(COUNTIF(D:D,"IS_DESTROYED"),"IS_DESTROYED=0 and ","") &amp;   $D72 &amp; "={pid}" &amp; "', " &amp; "'【"&amp; $Z72 &amp;"】已使用此筆資料，故不可刪除!!'" &amp; ",'" &amp; SUBSTITUTE("{'zh_TW': '" &amp;  "【"&amp; $Z72 &amp;"】已使用此筆資料，不可刪除!!"  &amp; "' ,'en_US': '" &amp;  "Have used this information, it can not be deleted !!" &amp; "'  ,'zh_CN': '" &amp; "【"&amp; $Z72 &amp;"】已使用此筆資料，不可刪除!!" &amp; "' }", CHAR(39),CHAR(34))   &amp; "');","")</f>
        <v>#REF!</v>
      </c>
    </row>
    <row r="73" spans="28:28">
      <c r="AB73" s="4" t="e">
        <f>IF(#REF!="Y","INSERT INTO `sys_table_relation` (`TABLE_NAME`, `CHILD_TABLE_NAME`, `SQL_QUERY`, `ERROR_DESC` ,`ERROR_DESC_JSON`) VALUES ('" &amp;$H73 &amp; "', '" &amp; $Y73 &amp; "', '" &amp; "select count(*) from "&amp; $Y73 &amp;" where " &amp; IF(COUNTIF(D:D,"IS_DESTROYED"),"IS_DESTROYED=0 and ","") &amp;   $D73 &amp; "={pid}" &amp; "', " &amp; "'【"&amp; $Z73 &amp;"】已使用此筆資料，故不可刪除!!'" &amp; ",'" &amp; SUBSTITUTE("{'zh_TW': '" &amp;  "【"&amp; $Z73 &amp;"】已使用此筆資料，不可刪除!!"  &amp; "' ,'en_US': '" &amp;  "Have used this information, it can not be deleted !!" &amp; "'  ,'zh_CN': '" &amp; "【"&amp; $Z73 &amp;"】已使用此筆資料，不可刪除!!" &amp; "' }", CHAR(39),CHAR(34))   &amp; "');","")</f>
        <v>#REF!</v>
      </c>
    </row>
    <row r="74" spans="28:28">
      <c r="AB74" s="4" t="e">
        <f>IF(#REF!="Y","INSERT INTO `sys_table_relation` (`TABLE_NAME`, `CHILD_TABLE_NAME`, `SQL_QUERY`, `ERROR_DESC` ,`ERROR_DESC_JSON`) VALUES ('" &amp;$H74 &amp; "', '" &amp; $Y74 &amp; "', '" &amp; "select count(*) from "&amp; $Y74 &amp;" where " &amp; IF(COUNTIF(D:D,"IS_DESTROYED"),"IS_DESTROYED=0 and ","") &amp;   $D74 &amp; "={pid}" &amp; "', " &amp; "'【"&amp; $Z74 &amp;"】已使用此筆資料，故不可刪除!!'" &amp; ",'" &amp; SUBSTITUTE("{'zh_TW': '" &amp;  "【"&amp; $Z74 &amp;"】已使用此筆資料，不可刪除!!"  &amp; "' ,'en_US': '" &amp;  "Have used this information, it can not be deleted !!" &amp; "'  ,'zh_CN': '" &amp; "【"&amp; $Z74 &amp;"】已使用此筆資料，不可刪除!!" &amp; "' }", CHAR(39),CHAR(34))   &amp; "');","")</f>
        <v>#REF!</v>
      </c>
    </row>
    <row r="75" spans="28:28">
      <c r="AB75" s="4" t="e">
        <f>IF(#REF!="Y","INSERT INTO `sys_table_relation` (`TABLE_NAME`, `CHILD_TABLE_NAME`, `SQL_QUERY`, `ERROR_DESC` ,`ERROR_DESC_JSON`) VALUES ('" &amp;$H75 &amp; "', '" &amp; $Y75 &amp; "', '" &amp; "select count(*) from "&amp; $Y75 &amp;" where " &amp; IF(COUNTIF(D:D,"IS_DESTROYED"),"IS_DESTROYED=0 and ","") &amp;   $D75 &amp; "={pid}" &amp; "', " &amp; "'【"&amp; $Z75 &amp;"】已使用此筆資料，故不可刪除!!'" &amp; ",'" &amp; SUBSTITUTE("{'zh_TW': '" &amp;  "【"&amp; $Z75 &amp;"】已使用此筆資料，不可刪除!!"  &amp; "' ,'en_US': '" &amp;  "Have used this information, it can not be deleted !!" &amp; "'  ,'zh_CN': '" &amp; "【"&amp; $Z75 &amp;"】已使用此筆資料，不可刪除!!" &amp; "' }", CHAR(39),CHAR(34))   &amp; "');","")</f>
        <v>#REF!</v>
      </c>
    </row>
    <row r="76" spans="28:28">
      <c r="AB76" s="4" t="e">
        <f>IF(#REF!="Y","INSERT INTO `sys_table_relation` (`TABLE_NAME`, `CHILD_TABLE_NAME`, `SQL_QUERY`, `ERROR_DESC` ,`ERROR_DESC_JSON`) VALUES ('" &amp;$H76 &amp; "', '" &amp; $Y76 &amp; "', '" &amp; "select count(*) from "&amp; $Y76 &amp;" where " &amp; IF(COUNTIF(D:D,"IS_DESTROYED"),"IS_DESTROYED=0 and ","") &amp;   $D76 &amp; "={pid}" &amp; "', " &amp; "'【"&amp; $Z76 &amp;"】已使用此筆資料，故不可刪除!!'" &amp; ",'" &amp; SUBSTITUTE("{'zh_TW': '" &amp;  "【"&amp; $Z76 &amp;"】已使用此筆資料，不可刪除!!"  &amp; "' ,'en_US': '" &amp;  "Have used this information, it can not be deleted !!" &amp; "'  ,'zh_CN': '" &amp; "【"&amp; $Z76 &amp;"】已使用此筆資料，不可刪除!!" &amp; "' }", CHAR(39),CHAR(34))   &amp; "');","")</f>
        <v>#REF!</v>
      </c>
    </row>
    <row r="77" spans="28:28">
      <c r="AB77" s="4" t="e">
        <f>IF(#REF!="Y","INSERT INTO `sys_table_relation` (`TABLE_NAME`, `CHILD_TABLE_NAME`, `SQL_QUERY`, `ERROR_DESC` ,`ERROR_DESC_JSON`) VALUES ('" &amp;$H77 &amp; "', '" &amp; $Y77 &amp; "', '" &amp; "select count(*) from "&amp; $Y77 &amp;" where " &amp; IF(COUNTIF(D:D,"IS_DESTROYED"),"IS_DESTROYED=0 and ","") &amp;   $D77 &amp; "={pid}" &amp; "', " &amp; "'【"&amp; $Z77 &amp;"】已使用此筆資料，故不可刪除!!'" &amp; ",'" &amp; SUBSTITUTE("{'zh_TW': '" &amp;  "【"&amp; $Z77 &amp;"】已使用此筆資料，不可刪除!!"  &amp; "' ,'en_US': '" &amp;  "Have used this information, it can not be deleted !!" &amp; "'  ,'zh_CN': '" &amp; "【"&amp; $Z77 &amp;"】已使用此筆資料，不可刪除!!" &amp; "' }", CHAR(39),CHAR(34))   &amp; "');","")</f>
        <v>#REF!</v>
      </c>
    </row>
    <row r="78" spans="28:28">
      <c r="AB78" s="4" t="e">
        <f>IF(#REF!="Y","INSERT INTO `sys_table_relation` (`TABLE_NAME`, `CHILD_TABLE_NAME`, `SQL_QUERY`, `ERROR_DESC` ,`ERROR_DESC_JSON`) VALUES ('" &amp;$H78 &amp; "', '" &amp; $Y78 &amp; "', '" &amp; "select count(*) from "&amp; $Y78 &amp;" where " &amp; IF(COUNTIF(D:D,"IS_DESTROYED"),"IS_DESTROYED=0 and ","") &amp;   $D78 &amp; "={pid}" &amp; "', " &amp; "'【"&amp; $Z78 &amp;"】已使用此筆資料，故不可刪除!!'" &amp; ",'" &amp; SUBSTITUTE("{'zh_TW': '" &amp;  "【"&amp; $Z78 &amp;"】已使用此筆資料，不可刪除!!"  &amp; "' ,'en_US': '" &amp;  "Have used this information, it can not be deleted !!" &amp; "'  ,'zh_CN': '" &amp; "【"&amp; $Z78 &amp;"】已使用此筆資料，不可刪除!!" &amp; "' }", CHAR(39),CHAR(34))   &amp; "');","")</f>
        <v>#REF!</v>
      </c>
    </row>
    <row r="79" spans="28:28">
      <c r="AB79" s="4" t="e">
        <f>IF(#REF!="Y","INSERT INTO `sys_table_relation` (`TABLE_NAME`, `CHILD_TABLE_NAME`, `SQL_QUERY`, `ERROR_DESC` ,`ERROR_DESC_JSON`) VALUES ('" &amp;$H79 &amp; "', '" &amp; $Y79 &amp; "', '" &amp; "select count(*) from "&amp; $Y79 &amp;" where " &amp; IF(COUNTIF(D:D,"IS_DESTROYED"),"IS_DESTROYED=0 and ","") &amp;   $D79 &amp; "={pid}" &amp; "', " &amp; "'【"&amp; $Z79 &amp;"】已使用此筆資料，故不可刪除!!'" &amp; ",'" &amp; SUBSTITUTE("{'zh_TW': '" &amp;  "【"&amp; $Z79 &amp;"】已使用此筆資料，不可刪除!!"  &amp; "' ,'en_US': '" &amp;  "Have used this information, it can not be deleted !!" &amp; "'  ,'zh_CN': '" &amp; "【"&amp; $Z79 &amp;"】已使用此筆資料，不可刪除!!" &amp; "' }", CHAR(39),CHAR(34))   &amp; "');","")</f>
        <v>#REF!</v>
      </c>
    </row>
    <row r="80" spans="28:28">
      <c r="AB80" s="4" t="e">
        <f>IF(#REF!="Y","INSERT INTO `sys_table_relation` (`TABLE_NAME`, `CHILD_TABLE_NAME`, `SQL_QUERY`, `ERROR_DESC` ,`ERROR_DESC_JSON`) VALUES ('" &amp;$H80 &amp; "', '" &amp; $Y80 &amp; "', '" &amp; "select count(*) from "&amp; $Y80 &amp;" where " &amp; IF(COUNTIF(D:D,"IS_DESTROYED"),"IS_DESTROYED=0 and ","") &amp;   $D80 &amp; "={pid}" &amp; "', " &amp; "'【"&amp; $Z80 &amp;"】已使用此筆資料，故不可刪除!!'" &amp; ",'" &amp; SUBSTITUTE("{'zh_TW': '" &amp;  "【"&amp; $Z80 &amp;"】已使用此筆資料，不可刪除!!"  &amp; "' ,'en_US': '" &amp;  "Have used this information, it can not be deleted !!" &amp; "'  ,'zh_CN': '" &amp; "【"&amp; $Z80 &amp;"】已使用此筆資料，不可刪除!!" &amp; "' }", CHAR(39),CHAR(34))   &amp; "');","")</f>
        <v>#REF!</v>
      </c>
    </row>
    <row r="81" spans="28:28">
      <c r="AB81" s="4" t="e">
        <f>IF(#REF!="Y","INSERT INTO `sys_table_relation` (`TABLE_NAME`, `CHILD_TABLE_NAME`, `SQL_QUERY`, `ERROR_DESC` ,`ERROR_DESC_JSON`) VALUES ('" &amp;$H81 &amp; "', '" &amp; $Y81 &amp; "', '" &amp; "select count(*) from "&amp; $Y81 &amp;" where " &amp; IF(COUNTIF(D:D,"IS_DESTROYED"),"IS_DESTROYED=0 and ","") &amp;   $D81 &amp; "={pid}" &amp; "', " &amp; "'【"&amp; $Z81 &amp;"】已使用此筆資料，故不可刪除!!'" &amp; ",'" &amp; SUBSTITUTE("{'zh_TW': '" &amp;  "【"&amp; $Z81 &amp;"】已使用此筆資料，不可刪除!!"  &amp; "' ,'en_US': '" &amp;  "Have used this information, it can not be deleted !!" &amp; "'  ,'zh_CN': '" &amp; "【"&amp; $Z81 &amp;"】已使用此筆資料，不可刪除!!" &amp; "' }", CHAR(39),CHAR(34))   &amp; "');","")</f>
        <v>#REF!</v>
      </c>
    </row>
    <row r="82" spans="28:28">
      <c r="AB82" s="4" t="e">
        <f>IF(#REF!="Y","INSERT INTO `sys_table_relation` (`TABLE_NAME`, `CHILD_TABLE_NAME`, `SQL_QUERY`, `ERROR_DESC` ,`ERROR_DESC_JSON`) VALUES ('" &amp;$H82 &amp; "', '" &amp; $Y82 &amp; "', '" &amp; "select count(*) from "&amp; $Y82 &amp;" where " &amp; IF(COUNTIF(D:D,"IS_DESTROYED"),"IS_DESTROYED=0 and ","") &amp;   $D82 &amp; "={pid}" &amp; "', " &amp; "'【"&amp; $Z82 &amp;"】已使用此筆資料，故不可刪除!!'" &amp; ",'" &amp; SUBSTITUTE("{'zh_TW': '" &amp;  "【"&amp; $Z82 &amp;"】已使用此筆資料，不可刪除!!"  &amp; "' ,'en_US': '" &amp;  "Have used this information, it can not be deleted !!" &amp; "'  ,'zh_CN': '" &amp; "【"&amp; $Z82 &amp;"】已使用此筆資料，不可刪除!!" &amp; "' }", CHAR(39),CHAR(34))   &amp; "');","")</f>
        <v>#REF!</v>
      </c>
    </row>
    <row r="83" spans="28:28">
      <c r="AB83" s="4" t="e">
        <f>IF(#REF!="Y","INSERT INTO `sys_table_relation` (`TABLE_NAME`, `CHILD_TABLE_NAME`, `SQL_QUERY`, `ERROR_DESC` ,`ERROR_DESC_JSON`) VALUES ('" &amp;$H83 &amp; "', '" &amp; $Y83 &amp; "', '" &amp; "select count(*) from "&amp; $Y83 &amp;" where " &amp; IF(COUNTIF(D:D,"IS_DESTROYED"),"IS_DESTROYED=0 and ","") &amp;   $D83 &amp; "={pid}" &amp; "', " &amp; "'【"&amp; $Z83 &amp;"】已使用此筆資料，故不可刪除!!'" &amp; ",'" &amp; SUBSTITUTE("{'zh_TW': '" &amp;  "【"&amp; $Z83 &amp;"】已使用此筆資料，不可刪除!!"  &amp; "' ,'en_US': '" &amp;  "Have used this information, it can not be deleted !!" &amp; "'  ,'zh_CN': '" &amp; "【"&amp; $Z83 &amp;"】已使用此筆資料，不可刪除!!" &amp; "' }", CHAR(39),CHAR(34))   &amp; "');","")</f>
        <v>#REF!</v>
      </c>
    </row>
    <row r="84" spans="28:28">
      <c r="AB84" s="4" t="e">
        <f>IF(#REF!="Y","INSERT INTO `sys_table_relation` (`TABLE_NAME`, `CHILD_TABLE_NAME`, `SQL_QUERY`, `ERROR_DESC` ,`ERROR_DESC_JSON`) VALUES ('" &amp;$H84 &amp; "', '" &amp; $Y84 &amp; "', '" &amp; "select count(*) from "&amp; $Y84 &amp;" where " &amp; IF(COUNTIF(D:D,"IS_DESTROYED"),"IS_DESTROYED=0 and ","") &amp;   $D84 &amp; "={pid}" &amp; "', " &amp; "'【"&amp; $Z84 &amp;"】已使用此筆資料，故不可刪除!!'" &amp; ",'" &amp; SUBSTITUTE("{'zh_TW': '" &amp;  "【"&amp; $Z84 &amp;"】已使用此筆資料，不可刪除!!"  &amp; "' ,'en_US': '" &amp;  "Have used this information, it can not be deleted !!" &amp; "'  ,'zh_CN': '" &amp; "【"&amp; $Z84 &amp;"】已使用此筆資料，不可刪除!!" &amp; "' }", CHAR(39),CHAR(34))   &amp; "');","")</f>
        <v>#REF!</v>
      </c>
    </row>
    <row r="85" spans="28:28">
      <c r="AB85" s="4" t="e">
        <f>IF(#REF!="Y","INSERT INTO `sys_table_relation` (`TABLE_NAME`, `CHILD_TABLE_NAME`, `SQL_QUERY`, `ERROR_DESC` ,`ERROR_DESC_JSON`) VALUES ('" &amp;$H85 &amp; "', '" &amp; $Y85 &amp; "', '" &amp; "select count(*) from "&amp; $Y85 &amp;" where " &amp; IF(COUNTIF(D:D,"IS_DESTROYED"),"IS_DESTROYED=0 and ","") &amp;   $D85 &amp; "={pid}" &amp; "', " &amp; "'【"&amp; $Z85 &amp;"】已使用此筆資料，故不可刪除!!'" &amp; ",'" &amp; SUBSTITUTE("{'zh_TW': '" &amp;  "【"&amp; $Z85 &amp;"】已使用此筆資料，不可刪除!!"  &amp; "' ,'en_US': '" &amp;  "Have used this information, it can not be deleted !!" &amp; "'  ,'zh_CN': '" &amp; "【"&amp; $Z85 &amp;"】已使用此筆資料，不可刪除!!" &amp; "' }", CHAR(39),CHAR(34))   &amp; "');","")</f>
        <v>#REF!</v>
      </c>
    </row>
    <row r="86" spans="28:28">
      <c r="AB86" s="4" t="e">
        <f>IF(#REF!="Y","INSERT INTO `sys_table_relation` (`TABLE_NAME`, `CHILD_TABLE_NAME`, `SQL_QUERY`, `ERROR_DESC` ,`ERROR_DESC_JSON`) VALUES ('" &amp;$H86 &amp; "', '" &amp; $Y86 &amp; "', '" &amp; "select count(*) from "&amp; $Y86 &amp;" where " &amp; IF(COUNTIF(D:D,"IS_DESTROYED"),"IS_DESTROYED=0 and ","") &amp;   $D86 &amp; "={pid}" &amp; "', " &amp; "'【"&amp; $Z86 &amp;"】已使用此筆資料，故不可刪除!!'" &amp; ",'" &amp; SUBSTITUTE("{'zh_TW': '" &amp;  "【"&amp; $Z86 &amp;"】已使用此筆資料，不可刪除!!"  &amp; "' ,'en_US': '" &amp;  "Have used this information, it can not be deleted !!" &amp; "'  ,'zh_CN': '" &amp; "【"&amp; $Z86 &amp;"】已使用此筆資料，不可刪除!!" &amp; "' }", CHAR(39),CHAR(34))   &amp; "');","")</f>
        <v>#REF!</v>
      </c>
    </row>
    <row r="87" spans="28:28">
      <c r="AB87" s="4" t="e">
        <f>IF(#REF!="Y","INSERT INTO `sys_table_relation` (`TABLE_NAME`, `CHILD_TABLE_NAME`, `SQL_QUERY`, `ERROR_DESC` ,`ERROR_DESC_JSON`) VALUES ('" &amp;$H87 &amp; "', '" &amp; $Y87 &amp; "', '" &amp; "select count(*) from "&amp; $Y87 &amp;" where " &amp; IF(COUNTIF(D:D,"IS_DESTROYED"),"IS_DESTROYED=0 and ","") &amp;   $D87 &amp; "={pid}" &amp; "', " &amp; "'【"&amp; $Z87 &amp;"】已使用此筆資料，故不可刪除!!'" &amp; ",'" &amp; SUBSTITUTE("{'zh_TW': '" &amp;  "【"&amp; $Z87 &amp;"】已使用此筆資料，不可刪除!!"  &amp; "' ,'en_US': '" &amp;  "Have used this information, it can not be deleted !!" &amp; "'  ,'zh_CN': '" &amp; "【"&amp; $Z87 &amp;"】已使用此筆資料，不可刪除!!" &amp; "' }", CHAR(39),CHAR(34))   &amp; "');","")</f>
        <v>#REF!</v>
      </c>
    </row>
    <row r="88" spans="28:28">
      <c r="AB88" s="4" t="e">
        <f>IF(#REF!="Y","INSERT INTO `sys_table_relation` (`TABLE_NAME`, `CHILD_TABLE_NAME`, `SQL_QUERY`, `ERROR_DESC` ,`ERROR_DESC_JSON`) VALUES ('" &amp;$H88 &amp; "', '" &amp; $Y88 &amp; "', '" &amp; "select count(*) from "&amp; $Y88 &amp;" where " &amp; IF(COUNTIF(D:D,"IS_DESTROYED"),"IS_DESTROYED=0 and ","") &amp;   $D88 &amp; "={pid}" &amp; "', " &amp; "'【"&amp; $Z88 &amp;"】已使用此筆資料，故不可刪除!!'" &amp; ",'" &amp; SUBSTITUTE("{'zh_TW': '" &amp;  "【"&amp; $Z88 &amp;"】已使用此筆資料，不可刪除!!"  &amp; "' ,'en_US': '" &amp;  "Have used this information, it can not be deleted !!" &amp; "'  ,'zh_CN': '" &amp; "【"&amp; $Z88 &amp;"】已使用此筆資料，不可刪除!!" &amp; "' }", CHAR(39),CHAR(34))   &amp; "');","")</f>
        <v>#REF!</v>
      </c>
    </row>
    <row r="89" spans="28:28">
      <c r="AB89" s="4" t="e">
        <f>IF(#REF!="Y","INSERT INTO `sys_table_relation` (`TABLE_NAME`, `CHILD_TABLE_NAME`, `SQL_QUERY`, `ERROR_DESC` ,`ERROR_DESC_JSON`) VALUES ('" &amp;$H89 &amp; "', '" &amp; $Y89 &amp; "', '" &amp; "select count(*) from "&amp; $Y89 &amp;" where " &amp; IF(COUNTIF(D:D,"IS_DESTROYED"),"IS_DESTROYED=0 and ","") &amp;   $D89 &amp; "={pid}" &amp; "', " &amp; "'【"&amp; $Z89 &amp;"】已使用此筆資料，故不可刪除!!'" &amp; ",'" &amp; SUBSTITUTE("{'zh_TW': '" &amp;  "【"&amp; $Z89 &amp;"】已使用此筆資料，不可刪除!!"  &amp; "' ,'en_US': '" &amp;  "Have used this information, it can not be deleted !!" &amp; "'  ,'zh_CN': '" &amp; "【"&amp; $Z89 &amp;"】已使用此筆資料，不可刪除!!" &amp; "' }", CHAR(39),CHAR(34))   &amp; "');","")</f>
        <v>#REF!</v>
      </c>
    </row>
    <row r="90" spans="28:28">
      <c r="AB90" s="4" t="e">
        <f>IF(#REF!="Y","INSERT INTO `sys_table_relation` (`TABLE_NAME`, `CHILD_TABLE_NAME`, `SQL_QUERY`, `ERROR_DESC` ,`ERROR_DESC_JSON`) VALUES ('" &amp;$H90 &amp; "', '" &amp; $Y90 &amp; "', '" &amp; "select count(*) from "&amp; $Y90 &amp;" where " &amp; IF(COUNTIF(D:D,"IS_DESTROYED"),"IS_DESTROYED=0 and ","") &amp;   $D90 &amp; "={pid}" &amp; "', " &amp; "'【"&amp; $Z90 &amp;"】已使用此筆資料，故不可刪除!!'" &amp; ",'" &amp; SUBSTITUTE("{'zh_TW': '" &amp;  "【"&amp; $Z90 &amp;"】已使用此筆資料，不可刪除!!"  &amp; "' ,'en_US': '" &amp;  "Have used this information, it can not be deleted !!" &amp; "'  ,'zh_CN': '" &amp; "【"&amp; $Z90 &amp;"】已使用此筆資料，不可刪除!!" &amp; "' }", CHAR(39),CHAR(34))   &amp; "');","")</f>
        <v>#REF!</v>
      </c>
    </row>
    <row r="91" spans="28:28">
      <c r="AB91" s="4" t="e">
        <f>IF(#REF!="Y","INSERT INTO `sys_table_relation` (`TABLE_NAME`, `CHILD_TABLE_NAME`, `SQL_QUERY`, `ERROR_DESC` ,`ERROR_DESC_JSON`) VALUES ('" &amp;$H91 &amp; "', '" &amp; $Y91 &amp; "', '" &amp; "select count(*) from "&amp; $Y91 &amp;" where " &amp; IF(COUNTIF(D:D,"IS_DESTROYED"),"IS_DESTROYED=0 and ","") &amp;   $D91 &amp; "={pid}" &amp; "', " &amp; "'【"&amp; $Z91 &amp;"】已使用此筆資料，故不可刪除!!'" &amp; ",'" &amp; SUBSTITUTE("{'zh_TW': '" &amp;  "【"&amp; $Z91 &amp;"】已使用此筆資料，不可刪除!!"  &amp; "' ,'en_US': '" &amp;  "Have used this information, it can not be deleted !!" &amp; "'  ,'zh_CN': '" &amp; "【"&amp; $Z91 &amp;"】已使用此筆資料，不可刪除!!" &amp; "' }", CHAR(39),CHAR(34))   &amp; "');","")</f>
        <v>#REF!</v>
      </c>
    </row>
    <row r="92" spans="28:28">
      <c r="AB92" s="4" t="e">
        <f>IF(#REF!="Y","INSERT INTO `sys_table_relation` (`TABLE_NAME`, `CHILD_TABLE_NAME`, `SQL_QUERY`, `ERROR_DESC` ,`ERROR_DESC_JSON`) VALUES ('" &amp;$H92 &amp; "', '" &amp; $Y92 &amp; "', '" &amp; "select count(*) from "&amp; $Y92 &amp;" where " &amp; IF(COUNTIF(D:D,"IS_DESTROYED"),"IS_DESTROYED=0 and ","") &amp;   $D92 &amp; "={pid}" &amp; "', " &amp; "'【"&amp; $Z92 &amp;"】已使用此筆資料，故不可刪除!!'" &amp; ",'" &amp; SUBSTITUTE("{'zh_TW': '" &amp;  "【"&amp; $Z92 &amp;"】已使用此筆資料，不可刪除!!"  &amp; "' ,'en_US': '" &amp;  "Have used this information, it can not be deleted !!" &amp; "'  ,'zh_CN': '" &amp; "【"&amp; $Z92 &amp;"】已使用此筆資料，不可刪除!!" &amp; "' }", CHAR(39),CHAR(34))   &amp; "');","")</f>
        <v>#REF!</v>
      </c>
    </row>
    <row r="93" spans="28:28">
      <c r="AB93" s="4" t="e">
        <f>IF(#REF!="Y","INSERT INTO `sys_table_relation` (`TABLE_NAME`, `CHILD_TABLE_NAME`, `SQL_QUERY`, `ERROR_DESC` ,`ERROR_DESC_JSON`) VALUES ('" &amp;$H93 &amp; "', '" &amp; $Y93 &amp; "', '" &amp; "select count(*) from "&amp; $Y93 &amp;" where " &amp; IF(COUNTIF(D:D,"IS_DESTROYED"),"IS_DESTROYED=0 and ","") &amp;   $D93 &amp; "={pid}" &amp; "', " &amp; "'【"&amp; $Z93 &amp;"】已使用此筆資料，故不可刪除!!'" &amp; ",'" &amp; SUBSTITUTE("{'zh_TW': '" &amp;  "【"&amp; $Z93 &amp;"】已使用此筆資料，不可刪除!!"  &amp; "' ,'en_US': '" &amp;  "Have used this information, it can not be deleted !!" &amp; "'  ,'zh_CN': '" &amp; "【"&amp; $Z93 &amp;"】已使用此筆資料，不可刪除!!" &amp; "' }", CHAR(39),CHAR(34))   &amp; "');","")</f>
        <v>#REF!</v>
      </c>
    </row>
    <row r="94" spans="28:28">
      <c r="AB94" s="4" t="e">
        <f>IF(#REF!="Y","INSERT INTO `sys_table_relation` (`TABLE_NAME`, `CHILD_TABLE_NAME`, `SQL_QUERY`, `ERROR_DESC` ,`ERROR_DESC_JSON`) VALUES ('" &amp;$H94 &amp; "', '" &amp; $Y94 &amp; "', '" &amp; "select count(*) from "&amp; $Y94 &amp;" where " &amp; IF(COUNTIF(D:D,"IS_DESTROYED"),"IS_DESTROYED=0 and ","") &amp;   $D94 &amp; "={pid}" &amp; "', " &amp; "'【"&amp; $Z94 &amp;"】已使用此筆資料，故不可刪除!!'" &amp; ",'" &amp; SUBSTITUTE("{'zh_TW': '" &amp;  "【"&amp; $Z94 &amp;"】已使用此筆資料，不可刪除!!"  &amp; "' ,'en_US': '" &amp;  "Have used this information, it can not be deleted !!" &amp; "'  ,'zh_CN': '" &amp; "【"&amp; $Z94 &amp;"】已使用此筆資料，不可刪除!!" &amp; "' }", CHAR(39),CHAR(34))   &amp; "');","")</f>
        <v>#REF!</v>
      </c>
    </row>
    <row r="95" spans="28:28">
      <c r="AB95" s="4" t="e">
        <f>IF(#REF!="Y","INSERT INTO `sys_table_relation` (`TABLE_NAME`, `CHILD_TABLE_NAME`, `SQL_QUERY`, `ERROR_DESC` ,`ERROR_DESC_JSON`) VALUES ('" &amp;$H95 &amp; "', '" &amp; $Y95 &amp; "', '" &amp; "select count(*) from "&amp; $Y95 &amp;" where " &amp; IF(COUNTIF(D:D,"IS_DESTROYED"),"IS_DESTROYED=0 and ","") &amp;   $D95 &amp; "={pid}" &amp; "', " &amp; "'【"&amp; $Z95 &amp;"】已使用此筆資料，故不可刪除!!'" &amp; ",'" &amp; SUBSTITUTE("{'zh_TW': '" &amp;  "【"&amp; $Z95 &amp;"】已使用此筆資料，不可刪除!!"  &amp; "' ,'en_US': '" &amp;  "Have used this information, it can not be deleted !!" &amp; "'  ,'zh_CN': '" &amp; "【"&amp; $Z95 &amp;"】已使用此筆資料，不可刪除!!" &amp; "' }", CHAR(39),CHAR(34))   &amp; "');","")</f>
        <v>#REF!</v>
      </c>
    </row>
    <row r="96" spans="28:28">
      <c r="AB96" s="4" t="e">
        <f>IF(#REF!="Y","INSERT INTO `sys_table_relation` (`TABLE_NAME`, `CHILD_TABLE_NAME`, `SQL_QUERY`, `ERROR_DESC` ,`ERROR_DESC_JSON`) VALUES ('" &amp;$H96 &amp; "', '" &amp; $Y96 &amp; "', '" &amp; "select count(*) from "&amp; $Y96 &amp;" where " &amp; IF(COUNTIF(D:D,"IS_DESTROYED"),"IS_DESTROYED=0 and ","") &amp;   $D96 &amp; "={pid}" &amp; "', " &amp; "'【"&amp; $Z96 &amp;"】已使用此筆資料，故不可刪除!!'" &amp; ",'" &amp; SUBSTITUTE("{'zh_TW': '" &amp;  "【"&amp; $Z96 &amp;"】已使用此筆資料，不可刪除!!"  &amp; "' ,'en_US': '" &amp;  "Have used this information, it can not be deleted !!" &amp; "'  ,'zh_CN': '" &amp; "【"&amp; $Z96 &amp;"】已使用此筆資料，不可刪除!!" &amp; "' }", CHAR(39),CHAR(34))   &amp; "');","")</f>
        <v>#REF!</v>
      </c>
    </row>
    <row r="97" spans="28:28">
      <c r="AB97" s="4" t="e">
        <f>IF(#REF!="Y","INSERT INTO `sys_table_relation` (`TABLE_NAME`, `CHILD_TABLE_NAME`, `SQL_QUERY`, `ERROR_DESC` ,`ERROR_DESC_JSON`) VALUES ('" &amp;$H97 &amp; "', '" &amp; $Y97 &amp; "', '" &amp; "select count(*) from "&amp; $Y97 &amp;" where " &amp; IF(COUNTIF(D:D,"IS_DESTROYED"),"IS_DESTROYED=0 and ","") &amp;   $D97 &amp; "={pid}" &amp; "', " &amp; "'【"&amp; $Z97 &amp;"】已使用此筆資料，故不可刪除!!'" &amp; ",'" &amp; SUBSTITUTE("{'zh_TW': '" &amp;  "【"&amp; $Z97 &amp;"】已使用此筆資料，不可刪除!!"  &amp; "' ,'en_US': '" &amp;  "Have used this information, it can not be deleted !!" &amp; "'  ,'zh_CN': '" &amp; "【"&amp; $Z97 &amp;"】已使用此筆資料，不可刪除!!" &amp; "' }", CHAR(39),CHAR(34))   &amp; "');","")</f>
        <v>#REF!</v>
      </c>
    </row>
    <row r="98" spans="28:28">
      <c r="AB98" s="4" t="e">
        <f>IF(#REF!="Y","INSERT INTO `sys_table_relation` (`TABLE_NAME`, `CHILD_TABLE_NAME`, `SQL_QUERY`, `ERROR_DESC` ,`ERROR_DESC_JSON`) VALUES ('" &amp;$H98 &amp; "', '" &amp; $Y98 &amp; "', '" &amp; "select count(*) from "&amp; $Y98 &amp;" where " &amp; IF(COUNTIF(D:D,"IS_DESTROYED"),"IS_DESTROYED=0 and ","") &amp;   $D98 &amp; "={pid}" &amp; "', " &amp; "'【"&amp; $Z98 &amp;"】已使用此筆資料，故不可刪除!!'" &amp; ",'" &amp; SUBSTITUTE("{'zh_TW': '" &amp;  "【"&amp; $Z98 &amp;"】已使用此筆資料，不可刪除!!"  &amp; "' ,'en_US': '" &amp;  "Have used this information, it can not be deleted !!" &amp; "'  ,'zh_CN': '" &amp; "【"&amp; $Z98 &amp;"】已使用此筆資料，不可刪除!!" &amp; "' }", CHAR(39),CHAR(34))   &amp; "');","")</f>
        <v>#REF!</v>
      </c>
    </row>
    <row r="99" spans="28:28">
      <c r="AB99" s="4" t="e">
        <f>IF(#REF!="Y","INSERT INTO `sys_table_relation` (`TABLE_NAME`, `CHILD_TABLE_NAME`, `SQL_QUERY`, `ERROR_DESC` ,`ERROR_DESC_JSON`) VALUES ('" &amp;$H99 &amp; "', '" &amp; $Y99 &amp; "', '" &amp; "select count(*) from "&amp; $Y99 &amp;" where " &amp; IF(COUNTIF(D:D,"IS_DESTROYED"),"IS_DESTROYED=0 and ","") &amp;   $D99 &amp; "={pid}" &amp; "', " &amp; "'【"&amp; $Z99 &amp;"】已使用此筆資料，故不可刪除!!'" &amp; ",'" &amp; SUBSTITUTE("{'zh_TW': '" &amp;  "【"&amp; $Z99 &amp;"】已使用此筆資料，不可刪除!!"  &amp; "' ,'en_US': '" &amp;  "Have used this information, it can not be deleted !!" &amp; "'  ,'zh_CN': '" &amp; "【"&amp; $Z99 &amp;"】已使用此筆資料，不可刪除!!" &amp; "' }", CHAR(39),CHAR(34))   &amp; "');","")</f>
        <v>#REF!</v>
      </c>
    </row>
    <row r="100" spans="28:28">
      <c r="AB100" s="4" t="e">
        <f>IF(#REF!="Y","INSERT INTO `sys_table_relation` (`TABLE_NAME`, `CHILD_TABLE_NAME`, `SQL_QUERY`, `ERROR_DESC` ,`ERROR_DESC_JSON`) VALUES ('" &amp;$H100 &amp; "', '" &amp; $Y100 &amp; "', '" &amp; "select count(*) from "&amp; $Y100 &amp;" where " &amp; IF(COUNTIF(D:D,"IS_DESTROYED"),"IS_DESTROYED=0 and ","") &amp;   $D100 &amp; "={pid}" &amp; "', " &amp; "'【"&amp; $Z100 &amp;"】已使用此筆資料，故不可刪除!!'" &amp; ",'" &amp; SUBSTITUTE("{'zh_TW': '" &amp;  "【"&amp; $Z100 &amp;"】已使用此筆資料，不可刪除!!"  &amp; "' ,'en_US': '" &amp;  "Have used this information, it can not be deleted !!" &amp; "'  ,'zh_CN': '" &amp; "【"&amp; $Z100 &amp;"】已使用此筆資料，不可刪除!!" &amp; "' }", CHAR(39),CHAR(34))   &amp; "');","")</f>
        <v>#REF!</v>
      </c>
    </row>
    <row r="101" spans="28:28">
      <c r="AB101" s="4" t="e">
        <f>IF(#REF!="Y","INSERT INTO `sys_table_relation` (`TABLE_NAME`, `CHILD_TABLE_NAME`, `SQL_QUERY`, `ERROR_DESC` ,`ERROR_DESC_JSON`) VALUES ('" &amp;$H101 &amp; "', '" &amp; $Y101 &amp; "', '" &amp; "select count(*) from "&amp; $Y101 &amp;" where " &amp; IF(COUNTIF(D:D,"IS_DESTROYED"),"IS_DESTROYED=0 and ","") &amp;   $D101 &amp; "={pid}" &amp; "', " &amp; "'【"&amp; $Z101 &amp;"】已使用此筆資料，故不可刪除!!'" &amp; ",'" &amp; SUBSTITUTE("{'zh_TW': '" &amp;  "【"&amp; $Z101 &amp;"】已使用此筆資料，不可刪除!!"  &amp; "' ,'en_US': '" &amp;  "Have used this information, it can not be deleted !!" &amp; "'  ,'zh_CN': '" &amp; "【"&amp; $Z101 &amp;"】已使用此筆資料，不可刪除!!" &amp; "' }", CHAR(39),CHAR(34))   &amp; "');","")</f>
        <v>#REF!</v>
      </c>
    </row>
    <row r="102" spans="28:28">
      <c r="AB102" s="4" t="e">
        <f>IF(#REF!="Y","INSERT INTO `sys_table_relation` (`TABLE_NAME`, `CHILD_TABLE_NAME`, `SQL_QUERY`, `ERROR_DESC` ,`ERROR_DESC_JSON`) VALUES ('" &amp;$H102 &amp; "', '" &amp; $Y102 &amp; "', '" &amp; "select count(*) from "&amp; $Y102 &amp;" where " &amp; IF(COUNTIF(D:D,"IS_DESTROYED"),"IS_DESTROYED=0 and ","") &amp;   $D102 &amp; "={pid}" &amp; "', " &amp; "'【"&amp; $Z102 &amp;"】已使用此筆資料，故不可刪除!!'" &amp; ",'" &amp; SUBSTITUTE("{'zh_TW': '" &amp;  "【"&amp; $Z102 &amp;"】已使用此筆資料，不可刪除!!"  &amp; "' ,'en_US': '" &amp;  "Have used this information, it can not be deleted !!" &amp; "'  ,'zh_CN': '" &amp; "【"&amp; $Z102 &amp;"】已使用此筆資料，不可刪除!!" &amp; "' }", CHAR(39),CHAR(34))   &amp; "');","")</f>
        <v>#REF!</v>
      </c>
    </row>
    <row r="103" spans="28:28">
      <c r="AB103" s="4" t="e">
        <f>IF(#REF!="Y","INSERT INTO `sys_table_relation` (`TABLE_NAME`, `CHILD_TABLE_NAME`, `SQL_QUERY`, `ERROR_DESC` ,`ERROR_DESC_JSON`) VALUES ('" &amp;$H103 &amp; "', '" &amp; $Y103 &amp; "', '" &amp; "select count(*) from "&amp; $Y103 &amp;" where " &amp; IF(COUNTIF(D:D,"IS_DESTROYED"),"IS_DESTROYED=0 and ","") &amp;   $D103 &amp; "={pid}" &amp; "', " &amp; "'【"&amp; $Z103 &amp;"】已使用此筆資料，故不可刪除!!'" &amp; ",'" &amp; SUBSTITUTE("{'zh_TW': '" &amp;  "【"&amp; $Z103 &amp;"】已使用此筆資料，不可刪除!!"  &amp; "' ,'en_US': '" &amp;  "Have used this information, it can not be deleted !!" &amp; "'  ,'zh_CN': '" &amp; "【"&amp; $Z103 &amp;"】已使用此筆資料，不可刪除!!" &amp; "' }", CHAR(39),CHAR(34))   &amp; "');","")</f>
        <v>#REF!</v>
      </c>
    </row>
    <row r="104" spans="28:28">
      <c r="AB104" s="4" t="e">
        <f>IF(#REF!="Y","INSERT INTO `sys_table_relation` (`TABLE_NAME`, `CHILD_TABLE_NAME`, `SQL_QUERY`, `ERROR_DESC` ,`ERROR_DESC_JSON`) VALUES ('" &amp;$H104 &amp; "', '" &amp; $Y104 &amp; "', '" &amp; "select count(*) from "&amp; $Y104 &amp;" where " &amp; IF(COUNTIF(D:D,"IS_DESTROYED"),"IS_DESTROYED=0 and ","") &amp;   $D104 &amp; "={pid}" &amp; "', " &amp; "'【"&amp; $Z104 &amp;"】已使用此筆資料，故不可刪除!!'" &amp; ",'" &amp; SUBSTITUTE("{'zh_TW': '" &amp;  "【"&amp; $Z104 &amp;"】已使用此筆資料，不可刪除!!"  &amp; "' ,'en_US': '" &amp;  "Have used this information, it can not be deleted !!" &amp; "'  ,'zh_CN': '" &amp; "【"&amp; $Z104 &amp;"】已使用此筆資料，不可刪除!!" &amp; "' }", CHAR(39),CHAR(34))   &amp; "');","")</f>
        <v>#REF!</v>
      </c>
    </row>
    <row r="105" spans="28:28">
      <c r="AB105" s="4" t="e">
        <f>IF(#REF!="Y","INSERT INTO `sys_table_relation` (`TABLE_NAME`, `CHILD_TABLE_NAME`, `SQL_QUERY`, `ERROR_DESC` ,`ERROR_DESC_JSON`) VALUES ('" &amp;$H105 &amp; "', '" &amp; $Y105 &amp; "', '" &amp; "select count(*) from "&amp; $Y105 &amp;" where " &amp; IF(COUNTIF(D:D,"IS_DESTROYED"),"IS_DESTROYED=0 and ","") &amp;   $D105 &amp; "={pid}" &amp; "', " &amp; "'【"&amp; $Z105 &amp;"】已使用此筆資料，故不可刪除!!'" &amp; ",'" &amp; SUBSTITUTE("{'zh_TW': '" &amp;  "【"&amp; $Z105 &amp;"】已使用此筆資料，不可刪除!!"  &amp; "' ,'en_US': '" &amp;  "Have used this information, it can not be deleted !!" &amp; "'  ,'zh_CN': '" &amp; "【"&amp; $Z105 &amp;"】已使用此筆資料，不可刪除!!" &amp; "' }", CHAR(39),CHAR(34))   &amp; "');","")</f>
        <v>#REF!</v>
      </c>
    </row>
    <row r="106" spans="28:28">
      <c r="AB106" s="4" t="e">
        <f>IF(#REF!="Y","INSERT INTO `sys_table_relation` (`TABLE_NAME`, `CHILD_TABLE_NAME`, `SQL_QUERY`, `ERROR_DESC` ,`ERROR_DESC_JSON`) VALUES ('" &amp;$H106 &amp; "', '" &amp; $Y106 &amp; "', '" &amp; "select count(*) from "&amp; $Y106 &amp;" where " &amp; IF(COUNTIF(D:D,"IS_DESTROYED"),"IS_DESTROYED=0 and ","") &amp;   $D106 &amp; "={pid}" &amp; "', " &amp; "'【"&amp; $Z106 &amp;"】已使用此筆資料，故不可刪除!!'" &amp; ",'" &amp; SUBSTITUTE("{'zh_TW': '" &amp;  "【"&amp; $Z106 &amp;"】已使用此筆資料，不可刪除!!"  &amp; "' ,'en_US': '" &amp;  "Have used this information, it can not be deleted !!" &amp; "'  ,'zh_CN': '" &amp; "【"&amp; $Z106 &amp;"】已使用此筆資料，不可刪除!!" &amp; "' }", CHAR(39),CHAR(34))   &amp; "');","")</f>
        <v>#REF!</v>
      </c>
    </row>
    <row r="107" spans="28:28">
      <c r="AB107" s="4" t="e">
        <f>IF(#REF!="Y","INSERT INTO `sys_table_relation` (`TABLE_NAME`, `CHILD_TABLE_NAME`, `SQL_QUERY`, `ERROR_DESC` ,`ERROR_DESC_JSON`) VALUES ('" &amp;$H107 &amp; "', '" &amp; $Y107 &amp; "', '" &amp; "select count(*) from "&amp; $Y107 &amp;" where " &amp; IF(COUNTIF(D:D,"IS_DESTROYED"),"IS_DESTROYED=0 and ","") &amp;   $D107 &amp; "={pid}" &amp; "', " &amp; "'【"&amp; $Z107 &amp;"】已使用此筆資料，故不可刪除!!'" &amp; ",'" &amp; SUBSTITUTE("{'zh_TW': '" &amp;  "【"&amp; $Z107 &amp;"】已使用此筆資料，不可刪除!!"  &amp; "' ,'en_US': '" &amp;  "Have used this information, it can not be deleted !!" &amp; "'  ,'zh_CN': '" &amp; "【"&amp; $Z107 &amp;"】已使用此筆資料，不可刪除!!" &amp; "' }", CHAR(39),CHAR(34))   &amp; "');","")</f>
        <v>#REF!</v>
      </c>
    </row>
    <row r="108" spans="28:28">
      <c r="AB108" s="4" t="e">
        <f>IF(#REF!="Y","INSERT INTO `sys_table_relation` (`TABLE_NAME`, `CHILD_TABLE_NAME`, `SQL_QUERY`, `ERROR_DESC` ,`ERROR_DESC_JSON`) VALUES ('" &amp;$H108 &amp; "', '" &amp; $Y108 &amp; "', '" &amp; "select count(*) from "&amp; $Y108 &amp;" where " &amp; IF(COUNTIF(D:D,"IS_DESTROYED"),"IS_DESTROYED=0 and ","") &amp;   $D108 &amp; "={pid}" &amp; "', " &amp; "'【"&amp; $Z108 &amp;"】已使用此筆資料，故不可刪除!!'" &amp; ",'" &amp; SUBSTITUTE("{'zh_TW': '" &amp;  "【"&amp; $Z108 &amp;"】已使用此筆資料，不可刪除!!"  &amp; "' ,'en_US': '" &amp;  "Have used this information, it can not be deleted !!" &amp; "'  ,'zh_CN': '" &amp; "【"&amp; $Z108 &amp;"】已使用此筆資料，不可刪除!!" &amp; "' }", CHAR(39),CHAR(34))   &amp; "');","")</f>
        <v>#REF!</v>
      </c>
    </row>
    <row r="109" spans="28:28">
      <c r="AB109" s="4" t="e">
        <f>IF(#REF!="Y","INSERT INTO `sys_table_relation` (`TABLE_NAME`, `CHILD_TABLE_NAME`, `SQL_QUERY`, `ERROR_DESC` ,`ERROR_DESC_JSON`) VALUES ('" &amp;$H109 &amp; "', '" &amp; $Y109 &amp; "', '" &amp; "select count(*) from "&amp; $Y109 &amp;" where " &amp; IF(COUNTIF(D:D,"IS_DESTROYED"),"IS_DESTROYED=0 and ","") &amp;   $D109 &amp; "={pid}" &amp; "', " &amp; "'【"&amp; $Z109 &amp;"】已使用此筆資料，故不可刪除!!'" &amp; ",'" &amp; SUBSTITUTE("{'zh_TW': '" &amp;  "【"&amp; $Z109 &amp;"】已使用此筆資料，不可刪除!!"  &amp; "' ,'en_US': '" &amp;  "Have used this information, it can not be deleted !!" &amp; "'  ,'zh_CN': '" &amp; "【"&amp; $Z109 &amp;"】已使用此筆資料，不可刪除!!" &amp; "' }", CHAR(39),CHAR(34))   &amp; "');","")</f>
        <v>#REF!</v>
      </c>
    </row>
    <row r="110" spans="28:28">
      <c r="AB110" s="4" t="e">
        <f>IF(#REF!="Y","INSERT INTO `sys_table_relation` (`TABLE_NAME`, `CHILD_TABLE_NAME`, `SQL_QUERY`, `ERROR_DESC` ,`ERROR_DESC_JSON`) VALUES ('" &amp;$H110 &amp; "', '" &amp; $Y110 &amp; "', '" &amp; "select count(*) from "&amp; $Y110 &amp;" where " &amp; IF(COUNTIF(D:D,"IS_DESTROYED"),"IS_DESTROYED=0 and ","") &amp;   $D110 &amp; "={pid}" &amp; "', " &amp; "'【"&amp; $Z110 &amp;"】已使用此筆資料，故不可刪除!!'" &amp; ",'" &amp; SUBSTITUTE("{'zh_TW': '" &amp;  "【"&amp; $Z110 &amp;"】已使用此筆資料，不可刪除!!"  &amp; "' ,'en_US': '" &amp;  "Have used this information, it can not be deleted !!" &amp; "'  ,'zh_CN': '" &amp; "【"&amp; $Z110 &amp;"】已使用此筆資料，不可刪除!!" &amp; "' }", CHAR(39),CHAR(34))   &amp; "');","")</f>
        <v>#REF!</v>
      </c>
    </row>
    <row r="111" spans="28:28">
      <c r="AB111" s="4" t="e">
        <f>IF(#REF!="Y","INSERT INTO `sys_table_relation` (`TABLE_NAME`, `CHILD_TABLE_NAME`, `SQL_QUERY`, `ERROR_DESC` ,`ERROR_DESC_JSON`) VALUES ('" &amp;$H111 &amp; "', '" &amp; $Y111 &amp; "', '" &amp; "select count(*) from "&amp; $Y111 &amp;" where " &amp; IF(COUNTIF(D:D,"IS_DESTROYED"),"IS_DESTROYED=0 and ","") &amp;   $D111 &amp; "={pid}" &amp; "', " &amp; "'【"&amp; $Z111 &amp;"】已使用此筆資料，故不可刪除!!'" &amp; ",'" &amp; SUBSTITUTE("{'zh_TW': '" &amp;  "【"&amp; $Z111 &amp;"】已使用此筆資料，不可刪除!!"  &amp; "' ,'en_US': '" &amp;  "Have used this information, it can not be deleted !!" &amp; "'  ,'zh_CN': '" &amp; "【"&amp; $Z111 &amp;"】已使用此筆資料，不可刪除!!" &amp; "' }", CHAR(39),CHAR(34))   &amp; "');","")</f>
        <v>#REF!</v>
      </c>
    </row>
    <row r="112" spans="28:28">
      <c r="AB112" s="4" t="e">
        <f>IF(#REF!="Y","INSERT INTO `sys_table_relation` (`TABLE_NAME`, `CHILD_TABLE_NAME`, `SQL_QUERY`, `ERROR_DESC` ,`ERROR_DESC_JSON`) VALUES ('" &amp;$H112 &amp; "', '" &amp; $Y112 &amp; "', '" &amp; "select count(*) from "&amp; $Y112 &amp;" where " &amp; IF(COUNTIF(D:D,"IS_DESTROYED"),"IS_DESTROYED=0 and ","") &amp;   $D112 &amp; "={pid}" &amp; "', " &amp; "'【"&amp; $Z112 &amp;"】已使用此筆資料，故不可刪除!!'" &amp; ",'" &amp; SUBSTITUTE("{'zh_TW': '" &amp;  "【"&amp; $Z112 &amp;"】已使用此筆資料，不可刪除!!"  &amp; "' ,'en_US': '" &amp;  "Have used this information, it can not be deleted !!" &amp; "'  ,'zh_CN': '" &amp; "【"&amp; $Z112 &amp;"】已使用此筆資料，不可刪除!!" &amp; "' }", CHAR(39),CHAR(34))   &amp; "');","")</f>
        <v>#REF!</v>
      </c>
    </row>
    <row r="113" spans="28:28">
      <c r="AB113" s="4" t="e">
        <f>IF(#REF!="Y","INSERT INTO `sys_table_relation` (`TABLE_NAME`, `CHILD_TABLE_NAME`, `SQL_QUERY`, `ERROR_DESC` ,`ERROR_DESC_JSON`) VALUES ('" &amp;$H113 &amp; "', '" &amp; $Y113 &amp; "', '" &amp; "select count(*) from "&amp; $Y113 &amp;" where " &amp; IF(COUNTIF(D:D,"IS_DESTROYED"),"IS_DESTROYED=0 and ","") &amp;   $D113 &amp; "={pid}" &amp; "', " &amp; "'【"&amp; $Z113 &amp;"】已使用此筆資料，故不可刪除!!'" &amp; ",'" &amp; SUBSTITUTE("{'zh_TW': '" &amp;  "【"&amp; $Z113 &amp;"】已使用此筆資料，不可刪除!!"  &amp; "' ,'en_US': '" &amp;  "Have used this information, it can not be deleted !!" &amp; "'  ,'zh_CN': '" &amp; "【"&amp; $Z113 &amp;"】已使用此筆資料，不可刪除!!" &amp; "' }", CHAR(39),CHAR(34))   &amp; "');","")</f>
        <v>#REF!</v>
      </c>
    </row>
    <row r="114" spans="28:28">
      <c r="AB114" s="4" t="e">
        <f>IF(#REF!="Y","INSERT INTO `sys_table_relation` (`TABLE_NAME`, `CHILD_TABLE_NAME`, `SQL_QUERY`, `ERROR_DESC` ,`ERROR_DESC_JSON`) VALUES ('" &amp;$H114 &amp; "', '" &amp; $Y114 &amp; "', '" &amp; "select count(*) from "&amp; $Y114 &amp;" where " &amp; IF(COUNTIF(D:D,"IS_DESTROYED"),"IS_DESTROYED=0 and ","") &amp;   $D114 &amp; "={pid}" &amp; "', " &amp; "'【"&amp; $Z114 &amp;"】已使用此筆資料，故不可刪除!!'" &amp; ",'" &amp; SUBSTITUTE("{'zh_TW': '" &amp;  "【"&amp; $Z114 &amp;"】已使用此筆資料，不可刪除!!"  &amp; "' ,'en_US': '" &amp;  "Have used this information, it can not be deleted !!" &amp; "'  ,'zh_CN': '" &amp; "【"&amp; $Z114 &amp;"】已使用此筆資料，不可刪除!!" &amp; "' }", CHAR(39),CHAR(34))   &amp; "');","")</f>
        <v>#REF!</v>
      </c>
    </row>
    <row r="115" spans="28:28">
      <c r="AB115" s="4" t="e">
        <f>IF(#REF!="Y","INSERT INTO `sys_table_relation` (`TABLE_NAME`, `CHILD_TABLE_NAME`, `SQL_QUERY`, `ERROR_DESC` ,`ERROR_DESC_JSON`) VALUES ('" &amp;$H115 &amp; "', '" &amp; $Y115 &amp; "', '" &amp; "select count(*) from "&amp; $Y115 &amp;" where " &amp; IF(COUNTIF(D:D,"IS_DESTROYED"),"IS_DESTROYED=0 and ","") &amp;   $D115 &amp; "={pid}" &amp; "', " &amp; "'【"&amp; $Z115 &amp;"】已使用此筆資料，故不可刪除!!'" &amp; ",'" &amp; SUBSTITUTE("{'zh_TW': '" &amp;  "【"&amp; $Z115 &amp;"】已使用此筆資料，不可刪除!!"  &amp; "' ,'en_US': '" &amp;  "Have used this information, it can not be deleted !!" &amp; "'  ,'zh_CN': '" &amp; "【"&amp; $Z115 &amp;"】已使用此筆資料，不可刪除!!" &amp; "' }", CHAR(39),CHAR(34))   &amp; "');","")</f>
        <v>#REF!</v>
      </c>
    </row>
    <row r="116" spans="28:28">
      <c r="AB116" s="4" t="e">
        <f>IF(#REF!="Y","INSERT INTO `sys_table_relation` (`TABLE_NAME`, `CHILD_TABLE_NAME`, `SQL_QUERY`, `ERROR_DESC` ,`ERROR_DESC_JSON`) VALUES ('" &amp;$H116 &amp; "', '" &amp; $Y116 &amp; "', '" &amp; "select count(*) from "&amp; $Y116 &amp;" where " &amp; IF(COUNTIF(D:D,"IS_DESTROYED"),"IS_DESTROYED=0 and ","") &amp;   $D116 &amp; "={pid}" &amp; "', " &amp; "'【"&amp; $Z116 &amp;"】已使用此筆資料，故不可刪除!!'" &amp; ",'" &amp; SUBSTITUTE("{'zh_TW': '" &amp;  "【"&amp; $Z116 &amp;"】已使用此筆資料，不可刪除!!"  &amp; "' ,'en_US': '" &amp;  "Have used this information, it can not be deleted !!" &amp; "'  ,'zh_CN': '" &amp; "【"&amp; $Z116 &amp;"】已使用此筆資料，不可刪除!!" &amp; "' }", CHAR(39),CHAR(34))   &amp; "');","")</f>
        <v>#REF!</v>
      </c>
    </row>
    <row r="117" spans="28:28">
      <c r="AB117" s="4" t="e">
        <f>IF(#REF!="Y","INSERT INTO `sys_table_relation` (`TABLE_NAME`, `CHILD_TABLE_NAME`, `SQL_QUERY`, `ERROR_DESC` ,`ERROR_DESC_JSON`) VALUES ('" &amp;$H117 &amp; "', '" &amp; $Y117 &amp; "', '" &amp; "select count(*) from "&amp; $Y117 &amp;" where " &amp; IF(COUNTIF(D:D,"IS_DESTROYED"),"IS_DESTROYED=0 and ","") &amp;   $D117 &amp; "={pid}" &amp; "', " &amp; "'【"&amp; $Z117 &amp;"】已使用此筆資料，故不可刪除!!'" &amp; ",'" &amp; SUBSTITUTE("{'zh_TW': '" &amp;  "【"&amp; $Z117 &amp;"】已使用此筆資料，不可刪除!!"  &amp; "' ,'en_US': '" &amp;  "Have used this information, it can not be deleted !!" &amp; "'  ,'zh_CN': '" &amp; "【"&amp; $Z117 &amp;"】已使用此筆資料，不可刪除!!" &amp; "' }", CHAR(39),CHAR(34))   &amp; "');","")</f>
        <v>#REF!</v>
      </c>
    </row>
    <row r="118" spans="28:28">
      <c r="AB118" s="4" t="e">
        <f>IF(#REF!="Y","INSERT INTO `sys_table_relation` (`TABLE_NAME`, `CHILD_TABLE_NAME`, `SQL_QUERY`, `ERROR_DESC` ,`ERROR_DESC_JSON`) VALUES ('" &amp;$H118 &amp; "', '" &amp; $Y118 &amp; "', '" &amp; "select count(*) from "&amp; $Y118 &amp;" where " &amp; IF(COUNTIF(D:D,"IS_DESTROYED"),"IS_DESTROYED=0 and ","") &amp;   $D118 &amp; "={pid}" &amp; "', " &amp; "'【"&amp; $Z118 &amp;"】已使用此筆資料，故不可刪除!!'" &amp; ",'" &amp; SUBSTITUTE("{'zh_TW': '" &amp;  "【"&amp; $Z118 &amp;"】已使用此筆資料，不可刪除!!"  &amp; "' ,'en_US': '" &amp;  "Have used this information, it can not be deleted !!" &amp; "'  ,'zh_CN': '" &amp; "【"&amp; $Z118 &amp;"】已使用此筆資料，不可刪除!!" &amp; "' }", CHAR(39),CHAR(34))   &amp; "');","")</f>
        <v>#REF!</v>
      </c>
    </row>
    <row r="119" spans="28:28">
      <c r="AB119" s="4" t="e">
        <f>IF(#REF!="Y","INSERT INTO `sys_table_relation` (`TABLE_NAME`, `CHILD_TABLE_NAME`, `SQL_QUERY`, `ERROR_DESC` ,`ERROR_DESC_JSON`) VALUES ('" &amp;$H119 &amp; "', '" &amp; $Y119 &amp; "', '" &amp; "select count(*) from "&amp; $Y119 &amp;" where " &amp; IF(COUNTIF(D:D,"IS_DESTROYED"),"IS_DESTROYED=0 and ","") &amp;   $D119 &amp; "={pid}" &amp; "', " &amp; "'【"&amp; $Z119 &amp;"】已使用此筆資料，故不可刪除!!'" &amp; ",'" &amp; SUBSTITUTE("{'zh_TW': '" &amp;  "【"&amp; $Z119 &amp;"】已使用此筆資料，不可刪除!!"  &amp; "' ,'en_US': '" &amp;  "Have used this information, it can not be deleted !!" &amp; "'  ,'zh_CN': '" &amp; "【"&amp; $Z119 &amp;"】已使用此筆資料，不可刪除!!" &amp; "' }", CHAR(39),CHAR(34))   &amp; "');","")</f>
        <v>#REF!</v>
      </c>
    </row>
    <row r="120" spans="28:28">
      <c r="AB120" s="4" t="e">
        <f>IF(#REF!="Y","INSERT INTO `sys_table_relation` (`TABLE_NAME`, `CHILD_TABLE_NAME`, `SQL_QUERY`, `ERROR_DESC` ,`ERROR_DESC_JSON`) VALUES ('" &amp;$H120 &amp; "', '" &amp; $Y120 &amp; "', '" &amp; "select count(*) from "&amp; $Y120 &amp;" where " &amp; IF(COUNTIF(D:D,"IS_DESTROYED"),"IS_DESTROYED=0 and ","") &amp;   $D120 &amp; "={pid}" &amp; "', " &amp; "'【"&amp; $Z120 &amp;"】已使用此筆資料，故不可刪除!!'" &amp; ",'" &amp; SUBSTITUTE("{'zh_TW': '" &amp;  "【"&amp; $Z120 &amp;"】已使用此筆資料，不可刪除!!"  &amp; "' ,'en_US': '" &amp;  "Have used this information, it can not be deleted !!" &amp; "'  ,'zh_CN': '" &amp; "【"&amp; $Z120 &amp;"】已使用此筆資料，不可刪除!!" &amp; "' }", CHAR(39),CHAR(34))   &amp; "');","")</f>
        <v>#REF!</v>
      </c>
    </row>
    <row r="121" spans="28:28">
      <c r="AB121" s="4" t="e">
        <f>IF(#REF!="Y","INSERT INTO `sys_table_relation` (`TABLE_NAME`, `CHILD_TABLE_NAME`, `SQL_QUERY`, `ERROR_DESC` ,`ERROR_DESC_JSON`) VALUES ('" &amp;$H121 &amp; "', '" &amp; $Y121 &amp; "', '" &amp; "select count(*) from "&amp; $Y121 &amp;" where " &amp; IF(COUNTIF(D:D,"IS_DESTROYED"),"IS_DESTROYED=0 and ","") &amp;   $D121 &amp; "={pid}" &amp; "', " &amp; "'【"&amp; $Z121 &amp;"】已使用此筆資料，故不可刪除!!'" &amp; ",'" &amp; SUBSTITUTE("{'zh_TW': '" &amp;  "【"&amp; $Z121 &amp;"】已使用此筆資料，不可刪除!!"  &amp; "' ,'en_US': '" &amp;  "Have used this information, it can not be deleted !!" &amp; "'  ,'zh_CN': '" &amp; "【"&amp; $Z121 &amp;"】已使用此筆資料，不可刪除!!" &amp; "' }", CHAR(39),CHAR(34))   &amp; "');","")</f>
        <v>#REF!</v>
      </c>
    </row>
    <row r="122" spans="28:28">
      <c r="AB122" s="4" t="e">
        <f>IF(#REF!="Y","INSERT INTO `sys_table_relation` (`TABLE_NAME`, `CHILD_TABLE_NAME`, `SQL_QUERY`, `ERROR_DESC` ,`ERROR_DESC_JSON`) VALUES ('" &amp;$H122 &amp; "', '" &amp; $Y122 &amp; "', '" &amp; "select count(*) from "&amp; $Y122 &amp;" where " &amp; IF(COUNTIF(D:D,"IS_DESTROYED"),"IS_DESTROYED=0 and ","") &amp;   $D122 &amp; "={pid}" &amp; "', " &amp; "'【"&amp; $Z122 &amp;"】已使用此筆資料，故不可刪除!!'" &amp; ",'" &amp; SUBSTITUTE("{'zh_TW': '" &amp;  "【"&amp; $Z122 &amp;"】已使用此筆資料，不可刪除!!"  &amp; "' ,'en_US': '" &amp;  "Have used this information, it can not be deleted !!" &amp; "'  ,'zh_CN': '" &amp; "【"&amp; $Z122 &amp;"】已使用此筆資料，不可刪除!!" &amp; "' }", CHAR(39),CHAR(34))   &amp; "');","")</f>
        <v>#REF!</v>
      </c>
    </row>
    <row r="123" spans="28:28">
      <c r="AB123" s="4" t="e">
        <f>IF(#REF!="Y","INSERT INTO `sys_table_relation` (`TABLE_NAME`, `CHILD_TABLE_NAME`, `SQL_QUERY`, `ERROR_DESC` ,`ERROR_DESC_JSON`) VALUES ('" &amp;$H123 &amp; "', '" &amp; $Y123 &amp; "', '" &amp; "select count(*) from "&amp; $Y123 &amp;" where " &amp; IF(COUNTIF(D:D,"IS_DESTROYED"),"IS_DESTROYED=0 and ","") &amp;   $D123 &amp; "={pid}" &amp; "', " &amp; "'【"&amp; $Z123 &amp;"】已使用此筆資料，故不可刪除!!'" &amp; ",'" &amp; SUBSTITUTE("{'zh_TW': '" &amp;  "【"&amp; $Z123 &amp;"】已使用此筆資料，不可刪除!!"  &amp; "' ,'en_US': '" &amp;  "Have used this information, it can not be deleted !!" &amp; "'  ,'zh_CN': '" &amp; "【"&amp; $Z123 &amp;"】已使用此筆資料，不可刪除!!" &amp; "' }", CHAR(39),CHAR(34))   &amp; "');","")</f>
        <v>#REF!</v>
      </c>
    </row>
    <row r="124" spans="28:28">
      <c r="AB124" s="4" t="e">
        <f>IF(#REF!="Y","INSERT INTO `sys_table_relation` (`TABLE_NAME`, `CHILD_TABLE_NAME`, `SQL_QUERY`, `ERROR_DESC` ,`ERROR_DESC_JSON`) VALUES ('" &amp;$H124 &amp; "', '" &amp; $Y124 &amp; "', '" &amp; "select count(*) from "&amp; $Y124 &amp;" where " &amp; IF(COUNTIF(D:D,"IS_DESTROYED"),"IS_DESTROYED=0 and ","") &amp;   $D124 &amp; "={pid}" &amp; "', " &amp; "'【"&amp; $Z124 &amp;"】已使用此筆資料，故不可刪除!!'" &amp; ",'" &amp; SUBSTITUTE("{'zh_TW': '" &amp;  "【"&amp; $Z124 &amp;"】已使用此筆資料，不可刪除!!"  &amp; "' ,'en_US': '" &amp;  "Have used this information, it can not be deleted !!" &amp; "'  ,'zh_CN': '" &amp; "【"&amp; $Z124 &amp;"】已使用此筆資料，不可刪除!!" &amp; "' }", CHAR(39),CHAR(34))   &amp; "');","")</f>
        <v>#REF!</v>
      </c>
    </row>
    <row r="125" spans="28:28">
      <c r="AB125" s="4" t="e">
        <f>IF(#REF!="Y","INSERT INTO `sys_table_relation` (`TABLE_NAME`, `CHILD_TABLE_NAME`, `SQL_QUERY`, `ERROR_DESC` ,`ERROR_DESC_JSON`) VALUES ('" &amp;$H125 &amp; "', '" &amp; $Y125 &amp; "', '" &amp; "select count(*) from "&amp; $Y125 &amp;" where " &amp; IF(COUNTIF(D:D,"IS_DESTROYED"),"IS_DESTROYED=0 and ","") &amp;   $D125 &amp; "={pid}" &amp; "', " &amp; "'【"&amp; $Z125 &amp;"】已使用此筆資料，故不可刪除!!'" &amp; ",'" &amp; SUBSTITUTE("{'zh_TW': '" &amp;  "【"&amp; $Z125 &amp;"】已使用此筆資料，不可刪除!!"  &amp; "' ,'en_US': '" &amp;  "Have used this information, it can not be deleted !!" &amp; "'  ,'zh_CN': '" &amp; "【"&amp; $Z125 &amp;"】已使用此筆資料，不可刪除!!" &amp; "' }", CHAR(39),CHAR(34))   &amp; "');","")</f>
        <v>#REF!</v>
      </c>
    </row>
    <row r="126" spans="28:28">
      <c r="AB126" s="4" t="e">
        <f>IF(#REF!="Y","INSERT INTO `sys_table_relation` (`TABLE_NAME`, `CHILD_TABLE_NAME`, `SQL_QUERY`, `ERROR_DESC` ,`ERROR_DESC_JSON`) VALUES ('" &amp;$H126 &amp; "', '" &amp; $Y126 &amp; "', '" &amp; "select count(*) from "&amp; $Y126 &amp;" where " &amp; IF(COUNTIF(D:D,"IS_DESTROYED"),"IS_DESTROYED=0 and ","") &amp;   $D126 &amp; "={pid}" &amp; "', " &amp; "'【"&amp; $Z126 &amp;"】已使用此筆資料，故不可刪除!!'" &amp; ",'" &amp; SUBSTITUTE("{'zh_TW': '" &amp;  "【"&amp; $Z126 &amp;"】已使用此筆資料，不可刪除!!"  &amp; "' ,'en_US': '" &amp;  "Have used this information, it can not be deleted !!" &amp; "'  ,'zh_CN': '" &amp; "【"&amp; $Z126 &amp;"】已使用此筆資料，不可刪除!!" &amp; "' }", CHAR(39),CHAR(34))   &amp; "');","")</f>
        <v>#REF!</v>
      </c>
    </row>
    <row r="127" spans="28:28">
      <c r="AB127" s="4" t="e">
        <f>IF(#REF!="Y","INSERT INTO `sys_table_relation` (`TABLE_NAME`, `CHILD_TABLE_NAME`, `SQL_QUERY`, `ERROR_DESC` ,`ERROR_DESC_JSON`) VALUES ('" &amp;$H127 &amp; "', '" &amp; $Y127 &amp; "', '" &amp; "select count(*) from "&amp; $Y127 &amp;" where " &amp; IF(COUNTIF(D:D,"IS_DESTROYED"),"IS_DESTROYED=0 and ","") &amp;   $D127 &amp; "={pid}" &amp; "', " &amp; "'【"&amp; $Z127 &amp;"】已使用此筆資料，故不可刪除!!'" &amp; ",'" &amp; SUBSTITUTE("{'zh_TW': '" &amp;  "【"&amp; $Z127 &amp;"】已使用此筆資料，不可刪除!!"  &amp; "' ,'en_US': '" &amp;  "Have used this information, it can not be deleted !!" &amp; "'  ,'zh_CN': '" &amp; "【"&amp; $Z127 &amp;"】已使用此筆資料，不可刪除!!" &amp; "' }", CHAR(39),CHAR(34))   &amp; "');","")</f>
        <v>#REF!</v>
      </c>
    </row>
    <row r="128" spans="28:28">
      <c r="AB128" s="4" t="e">
        <f>IF(#REF!="Y","INSERT INTO `sys_table_relation` (`TABLE_NAME`, `CHILD_TABLE_NAME`, `SQL_QUERY`, `ERROR_DESC` ,`ERROR_DESC_JSON`) VALUES ('" &amp;$H128 &amp; "', '" &amp; $Y128 &amp; "', '" &amp; "select count(*) from "&amp; $Y128 &amp;" where " &amp; IF(COUNTIF(D:D,"IS_DESTROYED"),"IS_DESTROYED=0 and ","") &amp;   $D128 &amp; "={pid}" &amp; "', " &amp; "'【"&amp; $Z128 &amp;"】已使用此筆資料，故不可刪除!!'" &amp; ",'" &amp; SUBSTITUTE("{'zh_TW': '" &amp;  "【"&amp; $Z128 &amp;"】已使用此筆資料，不可刪除!!"  &amp; "' ,'en_US': '" &amp;  "Have used this information, it can not be deleted !!" &amp; "'  ,'zh_CN': '" &amp; "【"&amp; $Z128 &amp;"】已使用此筆資料，不可刪除!!" &amp; "' }", CHAR(39),CHAR(34))   &amp; "');","")</f>
        <v>#REF!</v>
      </c>
    </row>
    <row r="129" spans="28:28">
      <c r="AB129" s="4" t="e">
        <f>IF(#REF!="Y","INSERT INTO `sys_table_relation` (`TABLE_NAME`, `CHILD_TABLE_NAME`, `SQL_QUERY`, `ERROR_DESC` ,`ERROR_DESC_JSON`) VALUES ('" &amp;$H129 &amp; "', '" &amp; $Y129 &amp; "', '" &amp; "select count(*) from "&amp; $Y129 &amp;" where " &amp; IF(COUNTIF(D:D,"IS_DESTROYED"),"IS_DESTROYED=0 and ","") &amp;   $D129 &amp; "={pid}" &amp; "', " &amp; "'【"&amp; $Z129 &amp;"】已使用此筆資料，故不可刪除!!'" &amp; ",'" &amp; SUBSTITUTE("{'zh_TW': '" &amp;  "【"&amp; $Z129 &amp;"】已使用此筆資料，不可刪除!!"  &amp; "' ,'en_US': '" &amp;  "Have used this information, it can not be deleted !!" &amp; "'  ,'zh_CN': '" &amp; "【"&amp; $Z129 &amp;"】已使用此筆資料，不可刪除!!" &amp; "' }", CHAR(39),CHAR(34))   &amp; "');","")</f>
        <v>#REF!</v>
      </c>
    </row>
    <row r="130" spans="28:28">
      <c r="AB130" s="4" t="e">
        <f>IF(#REF!="Y","INSERT INTO `sys_table_relation` (`TABLE_NAME`, `CHILD_TABLE_NAME`, `SQL_QUERY`, `ERROR_DESC` ,`ERROR_DESC_JSON`) VALUES ('" &amp;$H130 &amp; "', '" &amp; $Y130 &amp; "', '" &amp; "select count(*) from "&amp; $Y130 &amp;" where " &amp; IF(COUNTIF(D:D,"IS_DESTROYED"),"IS_DESTROYED=0 and ","") &amp;   $D130 &amp; "={pid}" &amp; "', " &amp; "'【"&amp; $Z130 &amp;"】已使用此筆資料，故不可刪除!!'" &amp; ",'" &amp; SUBSTITUTE("{'zh_TW': '" &amp;  "【"&amp; $Z130 &amp;"】已使用此筆資料，不可刪除!!"  &amp; "' ,'en_US': '" &amp;  "Have used this information, it can not be deleted !!" &amp; "'  ,'zh_CN': '" &amp; "【"&amp; $Z130 &amp;"】已使用此筆資料，不可刪除!!" &amp; "' }", CHAR(39),CHAR(34))   &amp; "');","")</f>
        <v>#REF!</v>
      </c>
    </row>
    <row r="131" spans="28:28">
      <c r="AB131" s="4" t="e">
        <f>IF(#REF!="Y","INSERT INTO `sys_table_relation` (`TABLE_NAME`, `CHILD_TABLE_NAME`, `SQL_QUERY`, `ERROR_DESC` ,`ERROR_DESC_JSON`) VALUES ('" &amp;$H131 &amp; "', '" &amp; $Y131 &amp; "', '" &amp; "select count(*) from "&amp; $Y131 &amp;" where " &amp; IF(COUNTIF(D:D,"IS_DESTROYED"),"IS_DESTROYED=0 and ","") &amp;   $D131 &amp; "={pid}" &amp; "', " &amp; "'【"&amp; $Z131 &amp;"】已使用此筆資料，故不可刪除!!'" &amp; ",'" &amp; SUBSTITUTE("{'zh_TW': '" &amp;  "【"&amp; $Z131 &amp;"】已使用此筆資料，不可刪除!!"  &amp; "' ,'en_US': '" &amp;  "Have used this information, it can not be deleted !!" &amp; "'  ,'zh_CN': '" &amp; "【"&amp; $Z131 &amp;"】已使用此筆資料，不可刪除!!" &amp; "' }", CHAR(39),CHAR(34))   &amp; "');","")</f>
        <v>#REF!</v>
      </c>
    </row>
    <row r="132" spans="28:28">
      <c r="AB132" s="4" t="e">
        <f>IF(#REF!="Y","INSERT INTO `sys_table_relation` (`TABLE_NAME`, `CHILD_TABLE_NAME`, `SQL_QUERY`, `ERROR_DESC` ,`ERROR_DESC_JSON`) VALUES ('" &amp;$H132 &amp; "', '" &amp; $Y132 &amp; "', '" &amp; "select count(*) from "&amp; $Y132 &amp;" where " &amp; IF(COUNTIF(D:D,"IS_DESTROYED"),"IS_DESTROYED=0 and ","") &amp;   $D132 &amp; "={pid}" &amp; "', " &amp; "'【"&amp; $Z132 &amp;"】已使用此筆資料，故不可刪除!!'" &amp; ",'" &amp; SUBSTITUTE("{'zh_TW': '" &amp;  "【"&amp; $Z132 &amp;"】已使用此筆資料，不可刪除!!"  &amp; "' ,'en_US': '" &amp;  "Have used this information, it can not be deleted !!" &amp; "'  ,'zh_CN': '" &amp; "【"&amp; $Z132 &amp;"】已使用此筆資料，不可刪除!!" &amp; "' }", CHAR(39),CHAR(34))   &amp; "');","")</f>
        <v>#REF!</v>
      </c>
    </row>
    <row r="133" spans="28:28">
      <c r="AB133" s="4" t="e">
        <f>IF(#REF!="Y","INSERT INTO `sys_table_relation` (`TABLE_NAME`, `CHILD_TABLE_NAME`, `SQL_QUERY`, `ERROR_DESC` ,`ERROR_DESC_JSON`) VALUES ('" &amp;$H133 &amp; "', '" &amp; $Y133 &amp; "', '" &amp; "select count(*) from "&amp; $Y133 &amp;" where " &amp; IF(COUNTIF(D:D,"IS_DESTROYED"),"IS_DESTROYED=0 and ","") &amp;   $D133 &amp; "={pid}" &amp; "', " &amp; "'【"&amp; $Z133 &amp;"】已使用此筆資料，故不可刪除!!'" &amp; ",'" &amp; SUBSTITUTE("{'zh_TW': '" &amp;  "【"&amp; $Z133 &amp;"】已使用此筆資料，不可刪除!!"  &amp; "' ,'en_US': '" &amp;  "Have used this information, it can not be deleted !!" &amp; "'  ,'zh_CN': '" &amp; "【"&amp; $Z133 &amp;"】已使用此筆資料，不可刪除!!" &amp; "' }", CHAR(39),CHAR(34))   &amp; "');","")</f>
        <v>#REF!</v>
      </c>
    </row>
    <row r="134" spans="28:28">
      <c r="AB134" s="4" t="e">
        <f>IF(#REF!="Y","INSERT INTO `sys_table_relation` (`TABLE_NAME`, `CHILD_TABLE_NAME`, `SQL_QUERY`, `ERROR_DESC` ,`ERROR_DESC_JSON`) VALUES ('" &amp;$H134 &amp; "', '" &amp; $Y134 &amp; "', '" &amp; "select count(*) from "&amp; $Y134 &amp;" where " &amp; IF(COUNTIF(D:D,"IS_DESTROYED"),"IS_DESTROYED=0 and ","") &amp;   $D134 &amp; "={pid}" &amp; "', " &amp; "'【"&amp; $Z134 &amp;"】已使用此筆資料，故不可刪除!!'" &amp; ",'" &amp; SUBSTITUTE("{'zh_TW': '" &amp;  "【"&amp; $Z134 &amp;"】已使用此筆資料，不可刪除!!"  &amp; "' ,'en_US': '" &amp;  "Have used this information, it can not be deleted !!" &amp; "'  ,'zh_CN': '" &amp; "【"&amp; $Z134 &amp;"】已使用此筆資料，不可刪除!!" &amp; "' }", CHAR(39),CHAR(34))   &amp; "');","")</f>
        <v>#REF!</v>
      </c>
    </row>
    <row r="135" spans="28:28">
      <c r="AB135" s="4" t="e">
        <f>IF(#REF!="Y","INSERT INTO `sys_table_relation` (`TABLE_NAME`, `CHILD_TABLE_NAME`, `SQL_QUERY`, `ERROR_DESC` ,`ERROR_DESC_JSON`) VALUES ('" &amp;$H135 &amp; "', '" &amp; $Y135 &amp; "', '" &amp; "select count(*) from "&amp; $Y135 &amp;" where " &amp; IF(COUNTIF(D:D,"IS_DESTROYED"),"IS_DESTROYED=0 and ","") &amp;   $D135 &amp; "={pid}" &amp; "', " &amp; "'【"&amp; $Z135 &amp;"】已使用此筆資料，故不可刪除!!'" &amp; ",'" &amp; SUBSTITUTE("{'zh_TW': '" &amp;  "【"&amp; $Z135 &amp;"】已使用此筆資料，不可刪除!!"  &amp; "' ,'en_US': '" &amp;  "Have used this information, it can not be deleted !!" &amp; "'  ,'zh_CN': '" &amp; "【"&amp; $Z135 &amp;"】已使用此筆資料，不可刪除!!" &amp; "' }", CHAR(39),CHAR(34))   &amp; "');","")</f>
        <v>#REF!</v>
      </c>
    </row>
    <row r="136" spans="28:28">
      <c r="AB136" s="4" t="e">
        <f>IF(#REF!="Y","INSERT INTO `sys_table_relation` (`TABLE_NAME`, `CHILD_TABLE_NAME`, `SQL_QUERY`, `ERROR_DESC` ,`ERROR_DESC_JSON`) VALUES ('" &amp;$H136 &amp; "', '" &amp; $Y136 &amp; "', '" &amp; "select count(*) from "&amp; $Y136 &amp;" where " &amp; IF(COUNTIF(D:D,"IS_DESTROYED"),"IS_DESTROYED=0 and ","") &amp;   $D136 &amp; "={pid}" &amp; "', " &amp; "'【"&amp; $Z136 &amp;"】已使用此筆資料，故不可刪除!!'" &amp; ",'" &amp; SUBSTITUTE("{'zh_TW': '" &amp;  "【"&amp; $Z136 &amp;"】已使用此筆資料，不可刪除!!"  &amp; "' ,'en_US': '" &amp;  "Have used this information, it can not be deleted !!" &amp; "'  ,'zh_CN': '" &amp; "【"&amp; $Z136 &amp;"】已使用此筆資料，不可刪除!!" &amp; "' }", CHAR(39),CHAR(34))   &amp; "');","")</f>
        <v>#REF!</v>
      </c>
    </row>
    <row r="137" spans="28:28">
      <c r="AB137" s="4" t="e">
        <f>IF(#REF!="Y","INSERT INTO `sys_table_relation` (`TABLE_NAME`, `CHILD_TABLE_NAME`, `SQL_QUERY`, `ERROR_DESC` ,`ERROR_DESC_JSON`) VALUES ('" &amp;$H137 &amp; "', '" &amp; $Y137 &amp; "', '" &amp; "select count(*) from "&amp; $Y137 &amp;" where " &amp; IF(COUNTIF(D:D,"IS_DESTROYED"),"IS_DESTROYED=0 and ","") &amp;   $D137 &amp; "={pid}" &amp; "', " &amp; "'【"&amp; $Z137 &amp;"】已使用此筆資料，故不可刪除!!'" &amp; ",'" &amp; SUBSTITUTE("{'zh_TW': '" &amp;  "【"&amp; $Z137 &amp;"】已使用此筆資料，不可刪除!!"  &amp; "' ,'en_US': '" &amp;  "Have used this information, it can not be deleted !!" &amp; "'  ,'zh_CN': '" &amp; "【"&amp; $Z137 &amp;"】已使用此筆資料，不可刪除!!" &amp; "' }", CHAR(39),CHAR(34))   &amp; "');","")</f>
        <v>#REF!</v>
      </c>
    </row>
    <row r="138" spans="28:28">
      <c r="AB138" s="4" t="e">
        <f>IF(#REF!="Y","INSERT INTO `sys_table_relation` (`TABLE_NAME`, `CHILD_TABLE_NAME`, `SQL_QUERY`, `ERROR_DESC` ,`ERROR_DESC_JSON`) VALUES ('" &amp;$H138 &amp; "', '" &amp; $Y138 &amp; "', '" &amp; "select count(*) from "&amp; $Y138 &amp;" where " &amp; IF(COUNTIF(D:D,"IS_DESTROYED"),"IS_DESTROYED=0 and ","") &amp;   $D138 &amp; "={pid}" &amp; "', " &amp; "'【"&amp; $Z138 &amp;"】已使用此筆資料，故不可刪除!!'" &amp; ",'" &amp; SUBSTITUTE("{'zh_TW': '" &amp;  "【"&amp; $Z138 &amp;"】已使用此筆資料，不可刪除!!"  &amp; "' ,'en_US': '" &amp;  "Have used this information, it can not be deleted !!" &amp; "'  ,'zh_CN': '" &amp; "【"&amp; $Z138 &amp;"】已使用此筆資料，不可刪除!!" &amp; "' }", CHAR(39),CHAR(34))   &amp; "');","")</f>
        <v>#REF!</v>
      </c>
    </row>
    <row r="139" spans="28:28">
      <c r="AB139" s="4" t="e">
        <f>IF(#REF!="Y","INSERT INTO `sys_table_relation` (`TABLE_NAME`, `CHILD_TABLE_NAME`, `SQL_QUERY`, `ERROR_DESC` ,`ERROR_DESC_JSON`) VALUES ('" &amp;$H139 &amp; "', '" &amp; $Y139 &amp; "', '" &amp; "select count(*) from "&amp; $Y139 &amp;" where " &amp; IF(COUNTIF(D:D,"IS_DESTROYED"),"IS_DESTROYED=0 and ","") &amp;   $D139 &amp; "={pid}" &amp; "', " &amp; "'【"&amp; $Z139 &amp;"】已使用此筆資料，故不可刪除!!'" &amp; ",'" &amp; SUBSTITUTE("{'zh_TW': '" &amp;  "【"&amp; $Z139 &amp;"】已使用此筆資料，不可刪除!!"  &amp; "' ,'en_US': '" &amp;  "Have used this information, it can not be deleted !!" &amp; "'  ,'zh_CN': '" &amp; "【"&amp; $Z139 &amp;"】已使用此筆資料，不可刪除!!" &amp; "' }", CHAR(39),CHAR(34))   &amp; "');","")</f>
        <v>#REF!</v>
      </c>
    </row>
    <row r="140" spans="28:28">
      <c r="AB140" s="4" t="e">
        <f>IF(#REF!="Y","INSERT INTO `sys_table_relation` (`TABLE_NAME`, `CHILD_TABLE_NAME`, `SQL_QUERY`, `ERROR_DESC` ,`ERROR_DESC_JSON`) VALUES ('" &amp;$H140 &amp; "', '" &amp; $Y140 &amp; "', '" &amp; "select count(*) from "&amp; $Y140 &amp;" where " &amp; IF(COUNTIF(D:D,"IS_DESTROYED"),"IS_DESTROYED=0 and ","") &amp;   $D140 &amp; "={pid}" &amp; "', " &amp; "'【"&amp; $Z140 &amp;"】已使用此筆資料，故不可刪除!!'" &amp; ",'" &amp; SUBSTITUTE("{'zh_TW': '" &amp;  "【"&amp; $Z140 &amp;"】已使用此筆資料，不可刪除!!"  &amp; "' ,'en_US': '" &amp;  "Have used this information, it can not be deleted !!" &amp; "'  ,'zh_CN': '" &amp; "【"&amp; $Z140 &amp;"】已使用此筆資料，不可刪除!!" &amp; "' }", CHAR(39),CHAR(34))   &amp; "');","")</f>
        <v>#REF!</v>
      </c>
    </row>
    <row r="141" spans="28:28">
      <c r="AB141" s="4" t="e">
        <f>IF(#REF!="Y","INSERT INTO `sys_table_relation` (`TABLE_NAME`, `CHILD_TABLE_NAME`, `SQL_QUERY`, `ERROR_DESC` ,`ERROR_DESC_JSON`) VALUES ('" &amp;$H141 &amp; "', '" &amp; $Y141 &amp; "', '" &amp; "select count(*) from "&amp; $Y141 &amp;" where " &amp; IF(COUNTIF(D:D,"IS_DESTROYED"),"IS_DESTROYED=0 and ","") &amp;   $D141 &amp; "={pid}" &amp; "', " &amp; "'【"&amp; $Z141 &amp;"】已使用此筆資料，故不可刪除!!'" &amp; ",'" &amp; SUBSTITUTE("{'zh_TW': '" &amp;  "【"&amp; $Z141 &amp;"】已使用此筆資料，不可刪除!!"  &amp; "' ,'en_US': '" &amp;  "Have used this information, it can not be deleted !!" &amp; "'  ,'zh_CN': '" &amp; "【"&amp; $Z141 &amp;"】已使用此筆資料，不可刪除!!" &amp; "' }", CHAR(39),CHAR(34))   &amp; "');","")</f>
        <v>#REF!</v>
      </c>
    </row>
    <row r="142" spans="28:28">
      <c r="AB142" s="4" t="e">
        <f>IF(#REF!="Y","INSERT INTO `sys_table_relation` (`TABLE_NAME`, `CHILD_TABLE_NAME`, `SQL_QUERY`, `ERROR_DESC` ,`ERROR_DESC_JSON`) VALUES ('" &amp;$H142 &amp; "', '" &amp; $Y142 &amp; "', '" &amp; "select count(*) from "&amp; $Y142 &amp;" where " &amp; IF(COUNTIF(D:D,"IS_DESTROYED"),"IS_DESTROYED=0 and ","") &amp;   $D142 &amp; "={pid}" &amp; "', " &amp; "'【"&amp; $Z142 &amp;"】已使用此筆資料，故不可刪除!!'" &amp; ",'" &amp; SUBSTITUTE("{'zh_TW': '" &amp;  "【"&amp; $Z142 &amp;"】已使用此筆資料，不可刪除!!"  &amp; "' ,'en_US': '" &amp;  "Have used this information, it can not be deleted !!" &amp; "'  ,'zh_CN': '" &amp; "【"&amp; $Z142 &amp;"】已使用此筆資料，不可刪除!!" &amp; "' }", CHAR(39),CHAR(34))   &amp; "');","")</f>
        <v>#REF!</v>
      </c>
    </row>
    <row r="143" spans="28:28">
      <c r="AB143" s="4" t="e">
        <f>IF(#REF!="Y","INSERT INTO `sys_table_relation` (`TABLE_NAME`, `CHILD_TABLE_NAME`, `SQL_QUERY`, `ERROR_DESC` ,`ERROR_DESC_JSON`) VALUES ('" &amp;$H143 &amp; "', '" &amp; $Y143 &amp; "', '" &amp; "select count(*) from "&amp; $Y143 &amp;" where " &amp; IF(COUNTIF(D:D,"IS_DESTROYED"),"IS_DESTROYED=0 and ","") &amp;   $D143 &amp; "={pid}" &amp; "', " &amp; "'【"&amp; $Z143 &amp;"】已使用此筆資料，故不可刪除!!'" &amp; ",'" &amp; SUBSTITUTE("{'zh_TW': '" &amp;  "【"&amp; $Z143 &amp;"】已使用此筆資料，不可刪除!!"  &amp; "' ,'en_US': '" &amp;  "Have used this information, it can not be deleted !!" &amp; "'  ,'zh_CN': '" &amp; "【"&amp; $Z143 &amp;"】已使用此筆資料，不可刪除!!" &amp; "' }", CHAR(39),CHAR(34))   &amp; "');","")</f>
        <v>#REF!</v>
      </c>
    </row>
    <row r="144" spans="28:28">
      <c r="AB144" s="4" t="e">
        <f>IF(#REF!="Y","INSERT INTO `sys_table_relation` (`TABLE_NAME`, `CHILD_TABLE_NAME`, `SQL_QUERY`, `ERROR_DESC` ,`ERROR_DESC_JSON`) VALUES ('" &amp;$H144 &amp; "', '" &amp; $Y144 &amp; "', '" &amp; "select count(*) from "&amp; $Y144 &amp;" where " &amp; IF(COUNTIF(D:D,"IS_DESTROYED"),"IS_DESTROYED=0 and ","") &amp;   $D144 &amp; "={pid}" &amp; "', " &amp; "'【"&amp; $Z144 &amp;"】已使用此筆資料，故不可刪除!!'" &amp; ",'" &amp; SUBSTITUTE("{'zh_TW': '" &amp;  "【"&amp; $Z144 &amp;"】已使用此筆資料，不可刪除!!"  &amp; "' ,'en_US': '" &amp;  "Have used this information, it can not be deleted !!" &amp; "'  ,'zh_CN': '" &amp; "【"&amp; $Z144 &amp;"】已使用此筆資料，不可刪除!!" &amp; "' }", CHAR(39),CHAR(34))   &amp; "');","")</f>
        <v>#REF!</v>
      </c>
    </row>
    <row r="145" spans="28:28">
      <c r="AB145" s="4" t="e">
        <f>IF(#REF!="Y","INSERT INTO `sys_table_relation` (`TABLE_NAME`, `CHILD_TABLE_NAME`, `SQL_QUERY`, `ERROR_DESC` ,`ERROR_DESC_JSON`) VALUES ('" &amp;$H145 &amp; "', '" &amp; $Y145 &amp; "', '" &amp; "select count(*) from "&amp; $Y145 &amp;" where " &amp; IF(COUNTIF(D:D,"IS_DESTROYED"),"IS_DESTROYED=0 and ","") &amp;   $D145 &amp; "={pid}" &amp; "', " &amp; "'【"&amp; $Z145 &amp;"】已使用此筆資料，故不可刪除!!'" &amp; ",'" &amp; SUBSTITUTE("{'zh_TW': '" &amp;  "【"&amp; $Z145 &amp;"】已使用此筆資料，不可刪除!!"  &amp; "' ,'en_US': '" &amp;  "Have used this information, it can not be deleted !!" &amp; "'  ,'zh_CN': '" &amp; "【"&amp; $Z145 &amp;"】已使用此筆資料，不可刪除!!" &amp; "' }", CHAR(39),CHAR(34))   &amp; "');","")</f>
        <v>#REF!</v>
      </c>
    </row>
    <row r="146" spans="28:28">
      <c r="AB146" s="4" t="e">
        <f>IF(#REF!="Y","INSERT INTO `sys_table_relation` (`TABLE_NAME`, `CHILD_TABLE_NAME`, `SQL_QUERY`, `ERROR_DESC` ,`ERROR_DESC_JSON`) VALUES ('" &amp;$H146 &amp; "', '" &amp; $Y146 &amp; "', '" &amp; "select count(*) from "&amp; $Y146 &amp;" where " &amp; IF(COUNTIF(D:D,"IS_DESTROYED"),"IS_DESTROYED=0 and ","") &amp;   $D146 &amp; "={pid}" &amp; "', " &amp; "'【"&amp; $Z146 &amp;"】已使用此筆資料，故不可刪除!!'" &amp; ",'" &amp; SUBSTITUTE("{'zh_TW': '" &amp;  "【"&amp; $Z146 &amp;"】已使用此筆資料，不可刪除!!"  &amp; "' ,'en_US': '" &amp;  "Have used this information, it can not be deleted !!" &amp; "'  ,'zh_CN': '" &amp; "【"&amp; $Z146 &amp;"】已使用此筆資料，不可刪除!!" &amp; "' }", CHAR(39),CHAR(34))   &amp; "');","")</f>
        <v>#REF!</v>
      </c>
    </row>
    <row r="147" spans="28:28">
      <c r="AB147" s="4" t="e">
        <f>IF(#REF!="Y","INSERT INTO `sys_table_relation` (`TABLE_NAME`, `CHILD_TABLE_NAME`, `SQL_QUERY`, `ERROR_DESC` ,`ERROR_DESC_JSON`) VALUES ('" &amp;$H147 &amp; "', '" &amp; $Y147 &amp; "', '" &amp; "select count(*) from "&amp; $Y147 &amp;" where " &amp; IF(COUNTIF(D:D,"IS_DESTROYED"),"IS_DESTROYED=0 and ","") &amp;   $D147 &amp; "={pid}" &amp; "', " &amp; "'【"&amp; $Z147 &amp;"】已使用此筆資料，故不可刪除!!'" &amp; ",'" &amp; SUBSTITUTE("{'zh_TW': '" &amp;  "【"&amp; $Z147 &amp;"】已使用此筆資料，不可刪除!!"  &amp; "' ,'en_US': '" &amp;  "Have used this information, it can not be deleted !!" &amp; "'  ,'zh_CN': '" &amp; "【"&amp; $Z147 &amp;"】已使用此筆資料，不可刪除!!" &amp; "' }", CHAR(39),CHAR(34))   &amp; "');","")</f>
        <v>#REF!</v>
      </c>
    </row>
    <row r="148" spans="28:28">
      <c r="AB148" s="4" t="e">
        <f>IF(#REF!="Y","INSERT INTO `sys_table_relation` (`TABLE_NAME`, `CHILD_TABLE_NAME`, `SQL_QUERY`, `ERROR_DESC` ,`ERROR_DESC_JSON`) VALUES ('" &amp;$H148 &amp; "', '" &amp; $Y148 &amp; "', '" &amp; "select count(*) from "&amp; $Y148 &amp;" where " &amp; IF(COUNTIF(D:D,"IS_DESTROYED"),"IS_DESTROYED=0 and ","") &amp;   $D148 &amp; "={pid}" &amp; "', " &amp; "'【"&amp; $Z148 &amp;"】已使用此筆資料，故不可刪除!!'" &amp; ",'" &amp; SUBSTITUTE("{'zh_TW': '" &amp;  "【"&amp; $Z148 &amp;"】已使用此筆資料，不可刪除!!"  &amp; "' ,'en_US': '" &amp;  "Have used this information, it can not be deleted !!" &amp; "'  ,'zh_CN': '" &amp; "【"&amp; $Z148 &amp;"】已使用此筆資料，不可刪除!!" &amp; "' }", CHAR(39),CHAR(34))   &amp; "');","")</f>
        <v>#REF!</v>
      </c>
    </row>
    <row r="149" spans="28:28">
      <c r="AB149" s="4" t="e">
        <f>IF(#REF!="Y","INSERT INTO `sys_table_relation` (`TABLE_NAME`, `CHILD_TABLE_NAME`, `SQL_QUERY`, `ERROR_DESC` ,`ERROR_DESC_JSON`) VALUES ('" &amp;$H149 &amp; "', '" &amp; $Y149 &amp; "', '" &amp; "select count(*) from "&amp; $Y149 &amp;" where " &amp; IF(COUNTIF(D:D,"IS_DESTROYED"),"IS_DESTROYED=0 and ","") &amp;   $D149 &amp; "={pid}" &amp; "', " &amp; "'【"&amp; $Z149 &amp;"】已使用此筆資料，故不可刪除!!'" &amp; ",'" &amp; SUBSTITUTE("{'zh_TW': '" &amp;  "【"&amp; $Z149 &amp;"】已使用此筆資料，不可刪除!!"  &amp; "' ,'en_US': '" &amp;  "Have used this information, it can not be deleted !!" &amp; "'  ,'zh_CN': '" &amp; "【"&amp; $Z149 &amp;"】已使用此筆資料，不可刪除!!" &amp; "' }", CHAR(39),CHAR(34))   &amp; "');","")</f>
        <v>#REF!</v>
      </c>
    </row>
    <row r="150" spans="28:28">
      <c r="AB150" s="4" t="e">
        <f>IF(#REF!="Y","INSERT INTO `sys_table_relation` (`TABLE_NAME`, `CHILD_TABLE_NAME`, `SQL_QUERY`, `ERROR_DESC` ,`ERROR_DESC_JSON`) VALUES ('" &amp;$H150 &amp; "', '" &amp; $Y150 &amp; "', '" &amp; "select count(*) from "&amp; $Y150 &amp;" where " &amp; IF(COUNTIF(D:D,"IS_DESTROYED"),"IS_DESTROYED=0 and ","") &amp;   $D150 &amp; "={pid}" &amp; "', " &amp; "'【"&amp; $Z150 &amp;"】已使用此筆資料，故不可刪除!!'" &amp; ",'" &amp; SUBSTITUTE("{'zh_TW': '" &amp;  "【"&amp; $Z150 &amp;"】已使用此筆資料，不可刪除!!"  &amp; "' ,'en_US': '" &amp;  "Have used this information, it can not be deleted !!" &amp; "'  ,'zh_CN': '" &amp; "【"&amp; $Z150 &amp;"】已使用此筆資料，不可刪除!!" &amp; "' }", CHAR(39),CHAR(34))   &amp; "');","")</f>
        <v>#REF!</v>
      </c>
    </row>
    <row r="151" spans="28:28">
      <c r="AB151" s="4" t="e">
        <f>IF(#REF!="Y","INSERT INTO `sys_table_relation` (`TABLE_NAME`, `CHILD_TABLE_NAME`, `SQL_QUERY`, `ERROR_DESC` ,`ERROR_DESC_JSON`) VALUES ('" &amp;$H151 &amp; "', '" &amp; $Y151 &amp; "', '" &amp; "select count(*) from "&amp; $Y151 &amp;" where " &amp; IF(COUNTIF(D:D,"IS_DESTROYED"),"IS_DESTROYED=0 and ","") &amp;   $D151 &amp; "={pid}" &amp; "', " &amp; "'【"&amp; $Z151 &amp;"】已使用此筆資料，故不可刪除!!'" &amp; ",'" &amp; SUBSTITUTE("{'zh_TW': '" &amp;  "【"&amp; $Z151 &amp;"】已使用此筆資料，不可刪除!!"  &amp; "' ,'en_US': '" &amp;  "Have used this information, it can not be deleted !!" &amp; "'  ,'zh_CN': '" &amp; "【"&amp; $Z151 &amp;"】已使用此筆資料，不可刪除!!" &amp; "' }", CHAR(39),CHAR(34))   &amp; "');","")</f>
        <v>#REF!</v>
      </c>
    </row>
    <row r="152" spans="28:28">
      <c r="AB152" s="4" t="e">
        <f>IF(#REF!="Y","INSERT INTO `sys_table_relation` (`TABLE_NAME`, `CHILD_TABLE_NAME`, `SQL_QUERY`, `ERROR_DESC` ,`ERROR_DESC_JSON`) VALUES ('" &amp;$H152 &amp; "', '" &amp; $Y152 &amp; "', '" &amp; "select count(*) from "&amp; $Y152 &amp;" where " &amp; IF(COUNTIF(D:D,"IS_DESTROYED"),"IS_DESTROYED=0 and ","") &amp;   $D152 &amp; "={pid}" &amp; "', " &amp; "'【"&amp; $Z152 &amp;"】已使用此筆資料，故不可刪除!!'" &amp; ",'" &amp; SUBSTITUTE("{'zh_TW': '" &amp;  "【"&amp; $Z152 &amp;"】已使用此筆資料，不可刪除!!"  &amp; "' ,'en_US': '" &amp;  "Have used this information, it can not be deleted !!" &amp; "'  ,'zh_CN': '" &amp; "【"&amp; $Z152 &amp;"】已使用此筆資料，不可刪除!!" &amp; "' }", CHAR(39),CHAR(34))   &amp; "');","")</f>
        <v>#REF!</v>
      </c>
    </row>
    <row r="153" spans="28:28">
      <c r="AB153" s="4" t="e">
        <f>IF(#REF!="Y","INSERT INTO `sys_table_relation` (`TABLE_NAME`, `CHILD_TABLE_NAME`, `SQL_QUERY`, `ERROR_DESC` ,`ERROR_DESC_JSON`) VALUES ('" &amp;$H153 &amp; "', '" &amp; $Y153 &amp; "', '" &amp; "select count(*) from "&amp; $Y153 &amp;" where " &amp; IF(COUNTIF(D:D,"IS_DESTROYED"),"IS_DESTROYED=0 and ","") &amp;   $D153 &amp; "={pid}" &amp; "', " &amp; "'【"&amp; $Z153 &amp;"】已使用此筆資料，故不可刪除!!'" &amp; ",'" &amp; SUBSTITUTE("{'zh_TW': '" &amp;  "【"&amp; $Z153 &amp;"】已使用此筆資料，不可刪除!!"  &amp; "' ,'en_US': '" &amp;  "Have used this information, it can not be deleted !!" &amp; "'  ,'zh_CN': '" &amp; "【"&amp; $Z153 &amp;"】已使用此筆資料，不可刪除!!" &amp; "' }", CHAR(39),CHAR(34))   &amp; "');","")</f>
        <v>#REF!</v>
      </c>
    </row>
    <row r="154" spans="28:28">
      <c r="AB154" s="4" t="e">
        <f>IF(#REF!="Y","INSERT INTO `sys_table_relation` (`TABLE_NAME`, `CHILD_TABLE_NAME`, `SQL_QUERY`, `ERROR_DESC` ,`ERROR_DESC_JSON`) VALUES ('" &amp;$H154 &amp; "', '" &amp; $Y154 &amp; "', '" &amp; "select count(*) from "&amp; $Y154 &amp;" where " &amp; IF(COUNTIF(D:D,"IS_DESTROYED"),"IS_DESTROYED=0 and ","") &amp;   $D154 &amp; "={pid}" &amp; "', " &amp; "'【"&amp; $Z154 &amp;"】已使用此筆資料，故不可刪除!!'" &amp; ",'" &amp; SUBSTITUTE("{'zh_TW': '" &amp;  "【"&amp; $Z154 &amp;"】已使用此筆資料，不可刪除!!"  &amp; "' ,'en_US': '" &amp;  "Have used this information, it can not be deleted !!" &amp; "'  ,'zh_CN': '" &amp; "【"&amp; $Z154 &amp;"】已使用此筆資料，不可刪除!!" &amp; "' }", CHAR(39),CHAR(34))   &amp; "');","")</f>
        <v>#REF!</v>
      </c>
    </row>
    <row r="155" spans="28:28">
      <c r="AB155" s="4" t="e">
        <f>IF(#REF!="Y","INSERT INTO `sys_table_relation` (`TABLE_NAME`, `CHILD_TABLE_NAME`, `SQL_QUERY`, `ERROR_DESC` ,`ERROR_DESC_JSON`) VALUES ('" &amp;$H155 &amp; "', '" &amp; $Y155 &amp; "', '" &amp; "select count(*) from "&amp; $Y155 &amp;" where " &amp; IF(COUNTIF(D:D,"IS_DESTROYED"),"IS_DESTROYED=0 and ","") &amp;   $D155 &amp; "={pid}" &amp; "', " &amp; "'【"&amp; $Z155 &amp;"】已使用此筆資料，故不可刪除!!'" &amp; ",'" &amp; SUBSTITUTE("{'zh_TW': '" &amp;  "【"&amp; $Z155 &amp;"】已使用此筆資料，不可刪除!!"  &amp; "' ,'en_US': '" &amp;  "Have used this information, it can not be deleted !!" &amp; "'  ,'zh_CN': '" &amp; "【"&amp; $Z155 &amp;"】已使用此筆資料，不可刪除!!" &amp; "' }", CHAR(39),CHAR(34))   &amp; "');","")</f>
        <v>#REF!</v>
      </c>
    </row>
    <row r="156" spans="28:28">
      <c r="AB156" s="4" t="e">
        <f>IF(#REF!="Y","INSERT INTO `sys_table_relation` (`TABLE_NAME`, `CHILD_TABLE_NAME`, `SQL_QUERY`, `ERROR_DESC` ,`ERROR_DESC_JSON`) VALUES ('" &amp;$H156 &amp; "', '" &amp; $Y156 &amp; "', '" &amp; "select count(*) from "&amp; $Y156 &amp;" where " &amp; IF(COUNTIF(D:D,"IS_DESTROYED"),"IS_DESTROYED=0 and ","") &amp;   $D156 &amp; "={pid}" &amp; "', " &amp; "'【"&amp; $Z156 &amp;"】已使用此筆資料，故不可刪除!!'" &amp; ",'" &amp; SUBSTITUTE("{'zh_TW': '" &amp;  "【"&amp; $Z156 &amp;"】已使用此筆資料，不可刪除!!"  &amp; "' ,'en_US': '" &amp;  "Have used this information, it can not be deleted !!" &amp; "'  ,'zh_CN': '" &amp; "【"&amp; $Z156 &amp;"】已使用此筆資料，不可刪除!!" &amp; "' }", CHAR(39),CHAR(34))   &amp; "');","")</f>
        <v>#REF!</v>
      </c>
    </row>
    <row r="157" spans="28:28">
      <c r="AB157" s="4" t="e">
        <f>IF(#REF!="Y","INSERT INTO `sys_table_relation` (`TABLE_NAME`, `CHILD_TABLE_NAME`, `SQL_QUERY`, `ERROR_DESC` ,`ERROR_DESC_JSON`) VALUES ('" &amp;$H157 &amp; "', '" &amp; $Y157 &amp; "', '" &amp; "select count(*) from "&amp; $Y157 &amp;" where " &amp; IF(COUNTIF(D:D,"IS_DESTROYED"),"IS_DESTROYED=0 and ","") &amp;   $D157 &amp; "={pid}" &amp; "', " &amp; "'【"&amp; $Z157 &amp;"】已使用此筆資料，故不可刪除!!'" &amp; ",'" &amp; SUBSTITUTE("{'zh_TW': '" &amp;  "【"&amp; $Z157 &amp;"】已使用此筆資料，不可刪除!!"  &amp; "' ,'en_US': '" &amp;  "Have used this information, it can not be deleted !!" &amp; "'  ,'zh_CN': '" &amp; "【"&amp; $Z157 &amp;"】已使用此筆資料，不可刪除!!" &amp; "' }", CHAR(39),CHAR(34))   &amp; "');","")</f>
        <v>#REF!</v>
      </c>
    </row>
    <row r="158" spans="28:28">
      <c r="AB158" s="4" t="e">
        <f>IF(#REF!="Y","INSERT INTO `sys_table_relation` (`TABLE_NAME`, `CHILD_TABLE_NAME`, `SQL_QUERY`, `ERROR_DESC` ,`ERROR_DESC_JSON`) VALUES ('" &amp;$H158 &amp; "', '" &amp; $Y158 &amp; "', '" &amp; "select count(*) from "&amp; $Y158 &amp;" where " &amp; IF(COUNTIF(D:D,"IS_DESTROYED"),"IS_DESTROYED=0 and ","") &amp;   $D158 &amp; "={pid}" &amp; "', " &amp; "'【"&amp; $Z158 &amp;"】已使用此筆資料，故不可刪除!!'" &amp; ",'" &amp; SUBSTITUTE("{'zh_TW': '" &amp;  "【"&amp; $Z158 &amp;"】已使用此筆資料，不可刪除!!"  &amp; "' ,'en_US': '" &amp;  "Have used this information, it can not be deleted !!" &amp; "'  ,'zh_CN': '" &amp; "【"&amp; $Z158 &amp;"】已使用此筆資料，不可刪除!!" &amp; "' }", CHAR(39),CHAR(34))   &amp; "');","")</f>
        <v>#REF!</v>
      </c>
    </row>
    <row r="159" spans="28:28">
      <c r="AB159" s="4" t="e">
        <f>IF(#REF!="Y","INSERT INTO `sys_table_relation` (`TABLE_NAME`, `CHILD_TABLE_NAME`, `SQL_QUERY`, `ERROR_DESC` ,`ERROR_DESC_JSON`) VALUES ('" &amp;$H159 &amp; "', '" &amp; $Y159 &amp; "', '" &amp; "select count(*) from "&amp; $Y159 &amp;" where " &amp; IF(COUNTIF(D:D,"IS_DESTROYED"),"IS_DESTROYED=0 and ","") &amp;   $D159 &amp; "={pid}" &amp; "', " &amp; "'【"&amp; $Z159 &amp;"】已使用此筆資料，故不可刪除!!'" &amp; ",'" &amp; SUBSTITUTE("{'zh_TW': '" &amp;  "【"&amp; $Z159 &amp;"】已使用此筆資料，不可刪除!!"  &amp; "' ,'en_US': '" &amp;  "Have used this information, it can not be deleted !!" &amp; "'  ,'zh_CN': '" &amp; "【"&amp; $Z159 &amp;"】已使用此筆資料，不可刪除!!" &amp; "' }", CHAR(39),CHAR(34))   &amp; "');","")</f>
        <v>#REF!</v>
      </c>
    </row>
    <row r="160" spans="28:28">
      <c r="AB160" s="4" t="e">
        <f>IF(#REF!="Y","INSERT INTO `sys_table_relation` (`TABLE_NAME`, `CHILD_TABLE_NAME`, `SQL_QUERY`, `ERROR_DESC` ,`ERROR_DESC_JSON`) VALUES ('" &amp;$H160 &amp; "', '" &amp; $Y160 &amp; "', '" &amp; "select count(*) from "&amp; $Y160 &amp;" where " &amp; IF(COUNTIF(D:D,"IS_DESTROYED"),"IS_DESTROYED=0 and ","") &amp;   $D160 &amp; "={pid}" &amp; "', " &amp; "'【"&amp; $Z160 &amp;"】已使用此筆資料，故不可刪除!!'" &amp; ",'" &amp; SUBSTITUTE("{'zh_TW': '" &amp;  "【"&amp; $Z160 &amp;"】已使用此筆資料，不可刪除!!"  &amp; "' ,'en_US': '" &amp;  "Have used this information, it can not be deleted !!" &amp; "'  ,'zh_CN': '" &amp; "【"&amp; $Z160 &amp;"】已使用此筆資料，不可刪除!!" &amp; "' }", CHAR(39),CHAR(34))   &amp; "');","")</f>
        <v>#REF!</v>
      </c>
    </row>
    <row r="161" spans="28:28">
      <c r="AB161" s="4" t="e">
        <f>IF(#REF!="Y","INSERT INTO `sys_table_relation` (`TABLE_NAME`, `CHILD_TABLE_NAME`, `SQL_QUERY`, `ERROR_DESC` ,`ERROR_DESC_JSON`) VALUES ('" &amp;$H161 &amp; "', '" &amp; $Y161 &amp; "', '" &amp; "select count(*) from "&amp; $Y161 &amp;" where " &amp; IF(COUNTIF(D:D,"IS_DESTROYED"),"IS_DESTROYED=0 and ","") &amp;   $D161 &amp; "={pid}" &amp; "', " &amp; "'【"&amp; $Z161 &amp;"】已使用此筆資料，故不可刪除!!'" &amp; ",'" &amp; SUBSTITUTE("{'zh_TW': '" &amp;  "【"&amp; $Z161 &amp;"】已使用此筆資料，不可刪除!!"  &amp; "' ,'en_US': '" &amp;  "Have used this information, it can not be deleted !!" &amp; "'  ,'zh_CN': '" &amp; "【"&amp; $Z161 &amp;"】已使用此筆資料，不可刪除!!" &amp; "' }", CHAR(39),CHAR(34))   &amp; "');","")</f>
        <v>#REF!</v>
      </c>
    </row>
    <row r="162" spans="28:28">
      <c r="AB162" s="4" t="e">
        <f>IF(#REF!="Y","INSERT INTO `sys_table_relation` (`TABLE_NAME`, `CHILD_TABLE_NAME`, `SQL_QUERY`, `ERROR_DESC` ,`ERROR_DESC_JSON`) VALUES ('" &amp;$H162 &amp; "', '" &amp; $Y162 &amp; "', '" &amp; "select count(*) from "&amp; $Y162 &amp;" where " &amp; IF(COUNTIF(D:D,"IS_DESTROYED"),"IS_DESTROYED=0 and ","") &amp;   $D162 &amp; "={pid}" &amp; "', " &amp; "'【"&amp; $Z162 &amp;"】已使用此筆資料，故不可刪除!!'" &amp; ",'" &amp; SUBSTITUTE("{'zh_TW': '" &amp;  "【"&amp; $Z162 &amp;"】已使用此筆資料，不可刪除!!"  &amp; "' ,'en_US': '" &amp;  "Have used this information, it can not be deleted !!" &amp; "'  ,'zh_CN': '" &amp; "【"&amp; $Z162 &amp;"】已使用此筆資料，不可刪除!!" &amp; "' }", CHAR(39),CHAR(34))   &amp; "');","")</f>
        <v>#REF!</v>
      </c>
    </row>
    <row r="163" spans="28:28">
      <c r="AB163" s="4" t="e">
        <f>IF(#REF!="Y","INSERT INTO `sys_table_relation` (`TABLE_NAME`, `CHILD_TABLE_NAME`, `SQL_QUERY`, `ERROR_DESC` ,`ERROR_DESC_JSON`) VALUES ('" &amp;$H163 &amp; "', '" &amp; $Y163 &amp; "', '" &amp; "select count(*) from "&amp; $Y163 &amp;" where " &amp; IF(COUNTIF(D:D,"IS_DESTROYED"),"IS_DESTROYED=0 and ","") &amp;   $D163 &amp; "={pid}" &amp; "', " &amp; "'【"&amp; $Z163 &amp;"】已使用此筆資料，故不可刪除!!'" &amp; ",'" &amp; SUBSTITUTE("{'zh_TW': '" &amp;  "【"&amp; $Z163 &amp;"】已使用此筆資料，不可刪除!!"  &amp; "' ,'en_US': '" &amp;  "Have used this information, it can not be deleted !!" &amp; "'  ,'zh_CN': '" &amp; "【"&amp; $Z163 &amp;"】已使用此筆資料，不可刪除!!" &amp; "' }", CHAR(39),CHAR(34))   &amp; "');","")</f>
        <v>#REF!</v>
      </c>
    </row>
    <row r="164" spans="28:28">
      <c r="AB164" s="4" t="e">
        <f>IF(#REF!="Y","INSERT INTO `sys_table_relation` (`TABLE_NAME`, `CHILD_TABLE_NAME`, `SQL_QUERY`, `ERROR_DESC` ,`ERROR_DESC_JSON`) VALUES ('" &amp;$H164 &amp; "', '" &amp; $Y164 &amp; "', '" &amp; "select count(*) from "&amp; $Y164 &amp;" where " &amp; IF(COUNTIF(D:D,"IS_DESTROYED"),"IS_DESTROYED=0 and ","") &amp;   $D164 &amp; "={pid}" &amp; "', " &amp; "'【"&amp; $Z164 &amp;"】已使用此筆資料，故不可刪除!!'" &amp; ",'" &amp; SUBSTITUTE("{'zh_TW': '" &amp;  "【"&amp; $Z164 &amp;"】已使用此筆資料，不可刪除!!"  &amp; "' ,'en_US': '" &amp;  "Have used this information, it can not be deleted !!" &amp; "'  ,'zh_CN': '" &amp; "【"&amp; $Z164 &amp;"】已使用此筆資料，不可刪除!!" &amp; "' }", CHAR(39),CHAR(34))   &amp; "');","")</f>
        <v>#REF!</v>
      </c>
    </row>
    <row r="165" spans="28:28">
      <c r="AB165" s="4" t="e">
        <f>IF(#REF!="Y","INSERT INTO `sys_table_relation` (`TABLE_NAME`, `CHILD_TABLE_NAME`, `SQL_QUERY`, `ERROR_DESC` ,`ERROR_DESC_JSON`) VALUES ('" &amp;$H165 &amp; "', '" &amp; $Y165 &amp; "', '" &amp; "select count(*) from "&amp; $Y165 &amp;" where " &amp; IF(COUNTIF(D:D,"IS_DESTROYED"),"IS_DESTROYED=0 and ","") &amp;   $D165 &amp; "={pid}" &amp; "', " &amp; "'【"&amp; $Z165 &amp;"】已使用此筆資料，故不可刪除!!'" &amp; ",'" &amp; SUBSTITUTE("{'zh_TW': '" &amp;  "【"&amp; $Z165 &amp;"】已使用此筆資料，不可刪除!!"  &amp; "' ,'en_US': '" &amp;  "Have used this information, it can not be deleted !!" &amp; "'  ,'zh_CN': '" &amp; "【"&amp; $Z165 &amp;"】已使用此筆資料，不可刪除!!" &amp; "' }", CHAR(39),CHAR(34))   &amp; "');","")</f>
        <v>#REF!</v>
      </c>
    </row>
    <row r="166" spans="28:28">
      <c r="AB166" s="4" t="e">
        <f>IF(#REF!="Y","INSERT INTO `sys_table_relation` (`TABLE_NAME`, `CHILD_TABLE_NAME`, `SQL_QUERY`, `ERROR_DESC` ,`ERROR_DESC_JSON`) VALUES ('" &amp;$H166 &amp; "', '" &amp; $Y166 &amp; "', '" &amp; "select count(*) from "&amp; $Y166 &amp;" where " &amp; IF(COUNTIF(D:D,"IS_DESTROYED"),"IS_DESTROYED=0 and ","") &amp;   $D166 &amp; "={pid}" &amp; "', " &amp; "'【"&amp; $Z166 &amp;"】已使用此筆資料，故不可刪除!!'" &amp; ",'" &amp; SUBSTITUTE("{'zh_TW': '" &amp;  "【"&amp; $Z166 &amp;"】已使用此筆資料，不可刪除!!"  &amp; "' ,'en_US': '" &amp;  "Have used this information, it can not be deleted !!" &amp; "'  ,'zh_CN': '" &amp; "【"&amp; $Z166 &amp;"】已使用此筆資料，不可刪除!!" &amp; "' }", CHAR(39),CHAR(34))   &amp; "');","")</f>
        <v>#REF!</v>
      </c>
    </row>
    <row r="167" spans="28:28">
      <c r="AB167" s="4" t="e">
        <f>IF(#REF!="Y","INSERT INTO `sys_table_relation` (`TABLE_NAME`, `CHILD_TABLE_NAME`, `SQL_QUERY`, `ERROR_DESC` ,`ERROR_DESC_JSON`) VALUES ('" &amp;$H167 &amp; "', '" &amp; $Y167 &amp; "', '" &amp; "select count(*) from "&amp; $Y167 &amp;" where " &amp; IF(COUNTIF(D:D,"IS_DESTROYED"),"IS_DESTROYED=0 and ","") &amp;   $D167 &amp; "={pid}" &amp; "', " &amp; "'【"&amp; $Z167 &amp;"】已使用此筆資料，故不可刪除!!'" &amp; ",'" &amp; SUBSTITUTE("{'zh_TW': '" &amp;  "【"&amp; $Z167 &amp;"】已使用此筆資料，不可刪除!!"  &amp; "' ,'en_US': '" &amp;  "Have used this information, it can not be deleted !!" &amp; "'  ,'zh_CN': '" &amp; "【"&amp; $Z167 &amp;"】已使用此筆資料，不可刪除!!" &amp; "' }", CHAR(39),CHAR(34))   &amp; "');","")</f>
        <v>#REF!</v>
      </c>
    </row>
    <row r="168" spans="28:28">
      <c r="AB168" s="4" t="e">
        <f>IF(#REF!="Y","INSERT INTO `sys_table_relation` (`TABLE_NAME`, `CHILD_TABLE_NAME`, `SQL_QUERY`, `ERROR_DESC` ,`ERROR_DESC_JSON`) VALUES ('" &amp;$H168 &amp; "', '" &amp; $Y168 &amp; "', '" &amp; "select count(*) from "&amp; $Y168 &amp;" where " &amp; IF(COUNTIF(D:D,"IS_DESTROYED"),"IS_DESTROYED=0 and ","") &amp;   $D168 &amp; "={pid}" &amp; "', " &amp; "'【"&amp; $Z168 &amp;"】已使用此筆資料，故不可刪除!!'" &amp; ",'" &amp; SUBSTITUTE("{'zh_TW': '" &amp;  "【"&amp; $Z168 &amp;"】已使用此筆資料，不可刪除!!"  &amp; "' ,'en_US': '" &amp;  "Have used this information, it can not be deleted !!" &amp; "'  ,'zh_CN': '" &amp; "【"&amp; $Z168 &amp;"】已使用此筆資料，不可刪除!!" &amp; "' }", CHAR(39),CHAR(34))   &amp; "');","")</f>
        <v>#REF!</v>
      </c>
    </row>
    <row r="169" spans="28:28">
      <c r="AB169" s="4" t="e">
        <f>IF(#REF!="Y","INSERT INTO `sys_table_relation` (`TABLE_NAME`, `CHILD_TABLE_NAME`, `SQL_QUERY`, `ERROR_DESC` ,`ERROR_DESC_JSON`) VALUES ('" &amp;$H169 &amp; "', '" &amp; $Y169 &amp; "', '" &amp; "select count(*) from "&amp; $Y169 &amp;" where " &amp; IF(COUNTIF(D:D,"IS_DESTROYED"),"IS_DESTROYED=0 and ","") &amp;   $D169 &amp; "={pid}" &amp; "', " &amp; "'【"&amp; $Z169 &amp;"】已使用此筆資料，故不可刪除!!'" &amp; ",'" &amp; SUBSTITUTE("{'zh_TW': '" &amp;  "【"&amp; $Z169 &amp;"】已使用此筆資料，不可刪除!!"  &amp; "' ,'en_US': '" &amp;  "Have used this information, it can not be deleted !!" &amp; "'  ,'zh_CN': '" &amp; "【"&amp; $Z169 &amp;"】已使用此筆資料，不可刪除!!" &amp; "' }", CHAR(39),CHAR(34))   &amp; "');","")</f>
        <v>#REF!</v>
      </c>
    </row>
    <row r="170" spans="28:28">
      <c r="AB170" s="4" t="e">
        <f>IF(#REF!="Y","INSERT INTO `sys_table_relation` (`TABLE_NAME`, `CHILD_TABLE_NAME`, `SQL_QUERY`, `ERROR_DESC` ,`ERROR_DESC_JSON`) VALUES ('" &amp;$H170 &amp; "', '" &amp; $Y170 &amp; "', '" &amp; "select count(*) from "&amp; $Y170 &amp;" where " &amp; IF(COUNTIF(D:D,"IS_DESTROYED"),"IS_DESTROYED=0 and ","") &amp;   $D170 &amp; "={pid}" &amp; "', " &amp; "'【"&amp; $Z170 &amp;"】已使用此筆資料，故不可刪除!!'" &amp; ",'" &amp; SUBSTITUTE("{'zh_TW': '" &amp;  "【"&amp; $Z170 &amp;"】已使用此筆資料，不可刪除!!"  &amp; "' ,'en_US': '" &amp;  "Have used this information, it can not be deleted !!" &amp; "'  ,'zh_CN': '" &amp; "【"&amp; $Z170 &amp;"】已使用此筆資料，不可刪除!!" &amp; "' }", CHAR(39),CHAR(34))   &amp; "');","")</f>
        <v>#REF!</v>
      </c>
    </row>
    <row r="171" spans="28:28">
      <c r="AB171" s="4" t="e">
        <f>IF(#REF!="Y","INSERT INTO `sys_table_relation` (`TABLE_NAME`, `CHILD_TABLE_NAME`, `SQL_QUERY`, `ERROR_DESC` ,`ERROR_DESC_JSON`) VALUES ('" &amp;$H171 &amp; "', '" &amp; $Y171 &amp; "', '" &amp; "select count(*) from "&amp; $Y171 &amp;" where " &amp; IF(COUNTIF(D:D,"IS_DESTROYED"),"IS_DESTROYED=0 and ","") &amp;   $D171 &amp; "={pid}" &amp; "', " &amp; "'【"&amp; $Z171 &amp;"】已使用此筆資料，故不可刪除!!'" &amp; ",'" &amp; SUBSTITUTE("{'zh_TW': '" &amp;  "【"&amp; $Z171 &amp;"】已使用此筆資料，不可刪除!!"  &amp; "' ,'en_US': '" &amp;  "Have used this information, it can not be deleted !!" &amp; "'  ,'zh_CN': '" &amp; "【"&amp; $Z171 &amp;"】已使用此筆資料，不可刪除!!" &amp; "' }", CHAR(39),CHAR(34))   &amp; "');","")</f>
        <v>#REF!</v>
      </c>
    </row>
    <row r="172" spans="28:28">
      <c r="AB172" s="4" t="e">
        <f>IF(#REF!="Y","INSERT INTO `sys_table_relation` (`TABLE_NAME`, `CHILD_TABLE_NAME`, `SQL_QUERY`, `ERROR_DESC` ,`ERROR_DESC_JSON`) VALUES ('" &amp;$H172 &amp; "', '" &amp; $Y172 &amp; "', '" &amp; "select count(*) from "&amp; $Y172 &amp;" where " &amp; IF(COUNTIF(D:D,"IS_DESTROYED"),"IS_DESTROYED=0 and ","") &amp;   $D172 &amp; "={pid}" &amp; "', " &amp; "'【"&amp; $Z172 &amp;"】已使用此筆資料，故不可刪除!!'" &amp; ",'" &amp; SUBSTITUTE("{'zh_TW': '" &amp;  "【"&amp; $Z172 &amp;"】已使用此筆資料，不可刪除!!"  &amp; "' ,'en_US': '" &amp;  "Have used this information, it can not be deleted !!" &amp; "'  ,'zh_CN': '" &amp; "【"&amp; $Z172 &amp;"】已使用此筆資料，不可刪除!!" &amp; "' }", CHAR(39),CHAR(34))   &amp; "');","")</f>
        <v>#REF!</v>
      </c>
    </row>
    <row r="173" spans="28:28">
      <c r="AB173" s="4" t="e">
        <f>IF(#REF!="Y","INSERT INTO `sys_table_relation` (`TABLE_NAME`, `CHILD_TABLE_NAME`, `SQL_QUERY`, `ERROR_DESC` ,`ERROR_DESC_JSON`) VALUES ('" &amp;$H173 &amp; "', '" &amp; $Y173 &amp; "', '" &amp; "select count(*) from "&amp; $Y173 &amp;" where " &amp; IF(COUNTIF(D:D,"IS_DESTROYED"),"IS_DESTROYED=0 and ","") &amp;   $D173 &amp; "={pid}" &amp; "', " &amp; "'【"&amp; $Z173 &amp;"】已使用此筆資料，故不可刪除!!'" &amp; ",'" &amp; SUBSTITUTE("{'zh_TW': '" &amp;  "【"&amp; $Z173 &amp;"】已使用此筆資料，不可刪除!!"  &amp; "' ,'en_US': '" &amp;  "Have used this information, it can not be deleted !!" &amp; "'  ,'zh_CN': '" &amp; "【"&amp; $Z173 &amp;"】已使用此筆資料，不可刪除!!" &amp; "' }", CHAR(39),CHAR(34))   &amp; "');","")</f>
        <v>#REF!</v>
      </c>
    </row>
    <row r="174" spans="28:28">
      <c r="AB174" s="4" t="e">
        <f>IF(#REF!="Y","INSERT INTO `sys_table_relation` (`TABLE_NAME`, `CHILD_TABLE_NAME`, `SQL_QUERY`, `ERROR_DESC` ,`ERROR_DESC_JSON`) VALUES ('" &amp;$H174 &amp; "', '" &amp; $Y174 &amp; "', '" &amp; "select count(*) from "&amp; $Y174 &amp;" where " &amp; IF(COUNTIF(D:D,"IS_DESTROYED"),"IS_DESTROYED=0 and ","") &amp;   $D174 &amp; "={pid}" &amp; "', " &amp; "'【"&amp; $Z174 &amp;"】已使用此筆資料，故不可刪除!!'" &amp; ",'" &amp; SUBSTITUTE("{'zh_TW': '" &amp;  "【"&amp; $Z174 &amp;"】已使用此筆資料，不可刪除!!"  &amp; "' ,'en_US': '" &amp;  "Have used this information, it can not be deleted !!" &amp; "'  ,'zh_CN': '" &amp; "【"&amp; $Z174 &amp;"】已使用此筆資料，不可刪除!!" &amp; "' }", CHAR(39),CHAR(34))   &amp; "');","")</f>
        <v>#REF!</v>
      </c>
    </row>
    <row r="175" spans="28:28">
      <c r="AB175" s="4" t="e">
        <f>IF(#REF!="Y","INSERT INTO `sys_table_relation` (`TABLE_NAME`, `CHILD_TABLE_NAME`, `SQL_QUERY`, `ERROR_DESC` ,`ERROR_DESC_JSON`) VALUES ('" &amp;$H175 &amp; "', '" &amp; $Y175 &amp; "', '" &amp; "select count(*) from "&amp; $Y175 &amp;" where " &amp; IF(COUNTIF(D:D,"IS_DESTROYED"),"IS_DESTROYED=0 and ","") &amp;   $D175 &amp; "={pid}" &amp; "', " &amp; "'【"&amp; $Z175 &amp;"】已使用此筆資料，故不可刪除!!'" &amp; ",'" &amp; SUBSTITUTE("{'zh_TW': '" &amp;  "【"&amp; $Z175 &amp;"】已使用此筆資料，不可刪除!!"  &amp; "' ,'en_US': '" &amp;  "Have used this information, it can not be deleted !!" &amp; "'  ,'zh_CN': '" &amp; "【"&amp; $Z175 &amp;"】已使用此筆資料，不可刪除!!" &amp; "' }", CHAR(39),CHAR(34))   &amp; "');","")</f>
        <v>#REF!</v>
      </c>
    </row>
    <row r="176" spans="28:28">
      <c r="AB176" s="4" t="e">
        <f>IF(#REF!="Y","INSERT INTO `sys_table_relation` (`TABLE_NAME`, `CHILD_TABLE_NAME`, `SQL_QUERY`, `ERROR_DESC` ,`ERROR_DESC_JSON`) VALUES ('" &amp;$H176 &amp; "', '" &amp; $Y176 &amp; "', '" &amp; "select count(*) from "&amp; $Y176 &amp;" where " &amp; IF(COUNTIF(D:D,"IS_DESTROYED"),"IS_DESTROYED=0 and ","") &amp;   $D176 &amp; "={pid}" &amp; "', " &amp; "'【"&amp; $Z176 &amp;"】已使用此筆資料，故不可刪除!!'" &amp; ",'" &amp; SUBSTITUTE("{'zh_TW': '" &amp;  "【"&amp; $Z176 &amp;"】已使用此筆資料，不可刪除!!"  &amp; "' ,'en_US': '" &amp;  "Have used this information, it can not be deleted !!" &amp; "'  ,'zh_CN': '" &amp; "【"&amp; $Z176 &amp;"】已使用此筆資料，不可刪除!!" &amp; "' }", CHAR(39),CHAR(34))   &amp; "');","")</f>
        <v>#REF!</v>
      </c>
    </row>
    <row r="177" spans="28:28">
      <c r="AB177" s="4" t="e">
        <f>IF(#REF!="Y","INSERT INTO `sys_table_relation` (`TABLE_NAME`, `CHILD_TABLE_NAME`, `SQL_QUERY`, `ERROR_DESC` ,`ERROR_DESC_JSON`) VALUES ('" &amp;$H177 &amp; "', '" &amp; $Y177 &amp; "', '" &amp; "select count(*) from "&amp; $Y177 &amp;" where " &amp; IF(COUNTIF(D:D,"IS_DESTROYED"),"IS_DESTROYED=0 and ","") &amp;   $D177 &amp; "={pid}" &amp; "', " &amp; "'【"&amp; $Z177 &amp;"】已使用此筆資料，故不可刪除!!'" &amp; ",'" &amp; SUBSTITUTE("{'zh_TW': '" &amp;  "【"&amp; $Z177 &amp;"】已使用此筆資料，不可刪除!!"  &amp; "' ,'en_US': '" &amp;  "Have used this information, it can not be deleted !!" &amp; "'  ,'zh_CN': '" &amp; "【"&amp; $Z177 &amp;"】已使用此筆資料，不可刪除!!" &amp; "' }", CHAR(39),CHAR(34))   &amp; "');","")</f>
        <v>#REF!</v>
      </c>
    </row>
    <row r="178" spans="28:28">
      <c r="AB178" s="4" t="e">
        <f>IF(#REF!="Y","INSERT INTO `sys_table_relation` (`TABLE_NAME`, `CHILD_TABLE_NAME`, `SQL_QUERY`, `ERROR_DESC` ,`ERROR_DESC_JSON`) VALUES ('" &amp;$H178 &amp; "', '" &amp; $Y178 &amp; "', '" &amp; "select count(*) from "&amp; $Y178 &amp;" where " &amp; IF(COUNTIF(D:D,"IS_DESTROYED"),"IS_DESTROYED=0 and ","") &amp;   $D178 &amp; "={pid}" &amp; "', " &amp; "'【"&amp; $Z178 &amp;"】已使用此筆資料，故不可刪除!!'" &amp; ",'" &amp; SUBSTITUTE("{'zh_TW': '" &amp;  "【"&amp; $Z178 &amp;"】已使用此筆資料，不可刪除!!"  &amp; "' ,'en_US': '" &amp;  "Have used this information, it can not be deleted !!" &amp; "'  ,'zh_CN': '" &amp; "【"&amp; $Z178 &amp;"】已使用此筆資料，不可刪除!!" &amp; "' }", CHAR(39),CHAR(34))   &amp; "');","")</f>
        <v>#REF!</v>
      </c>
    </row>
    <row r="179" spans="28:28">
      <c r="AB179" s="4" t="e">
        <f>IF(#REF!="Y","INSERT INTO `sys_table_relation` (`TABLE_NAME`, `CHILD_TABLE_NAME`, `SQL_QUERY`, `ERROR_DESC` ,`ERROR_DESC_JSON`) VALUES ('" &amp;$H179 &amp; "', '" &amp; $Y179 &amp; "', '" &amp; "select count(*) from "&amp; $Y179 &amp;" where " &amp; IF(COUNTIF(D:D,"IS_DESTROYED"),"IS_DESTROYED=0 and ","") &amp;   $D179 &amp; "={pid}" &amp; "', " &amp; "'【"&amp; $Z179 &amp;"】已使用此筆資料，故不可刪除!!'" &amp; ",'" &amp; SUBSTITUTE("{'zh_TW': '" &amp;  "【"&amp; $Z179 &amp;"】已使用此筆資料，不可刪除!!"  &amp; "' ,'en_US': '" &amp;  "Have used this information, it can not be deleted !!" &amp; "'  ,'zh_CN': '" &amp; "【"&amp; $Z179 &amp;"】已使用此筆資料，不可刪除!!" &amp; "' }", CHAR(39),CHAR(34))   &amp; "');","")</f>
        <v>#REF!</v>
      </c>
    </row>
    <row r="180" spans="28:28">
      <c r="AB180" s="4" t="e">
        <f>IF(#REF!="Y","INSERT INTO `sys_table_relation` (`TABLE_NAME`, `CHILD_TABLE_NAME`, `SQL_QUERY`, `ERROR_DESC` ,`ERROR_DESC_JSON`) VALUES ('" &amp;$H180 &amp; "', '" &amp; $Y180 &amp; "', '" &amp; "select count(*) from "&amp; $Y180 &amp;" where " &amp; IF(COUNTIF(D:D,"IS_DESTROYED"),"IS_DESTROYED=0 and ","") &amp;   $D180 &amp; "={pid}" &amp; "', " &amp; "'【"&amp; $Z180 &amp;"】已使用此筆資料，故不可刪除!!'" &amp; ",'" &amp; SUBSTITUTE("{'zh_TW': '" &amp;  "【"&amp; $Z180 &amp;"】已使用此筆資料，不可刪除!!"  &amp; "' ,'en_US': '" &amp;  "Have used this information, it can not be deleted !!" &amp; "'  ,'zh_CN': '" &amp; "【"&amp; $Z180 &amp;"】已使用此筆資料，不可刪除!!" &amp; "' }", CHAR(39),CHAR(34))   &amp; "');","")</f>
        <v>#REF!</v>
      </c>
    </row>
    <row r="181" spans="28:28">
      <c r="AB181" s="4" t="e">
        <f>IF(#REF!="Y","INSERT INTO `sys_table_relation` (`TABLE_NAME`, `CHILD_TABLE_NAME`, `SQL_QUERY`, `ERROR_DESC` ,`ERROR_DESC_JSON`) VALUES ('" &amp;$H181 &amp; "', '" &amp; $Y181 &amp; "', '" &amp; "select count(*) from "&amp; $Y181 &amp;" where " &amp; IF(COUNTIF(D:D,"IS_DESTROYED"),"IS_DESTROYED=0 and ","") &amp;   $D181 &amp; "={pid}" &amp; "', " &amp; "'【"&amp; $Z181 &amp;"】已使用此筆資料，故不可刪除!!'" &amp; ",'" &amp; SUBSTITUTE("{'zh_TW': '" &amp;  "【"&amp; $Z181 &amp;"】已使用此筆資料，不可刪除!!"  &amp; "' ,'en_US': '" &amp;  "Have used this information, it can not be deleted !!" &amp; "'  ,'zh_CN': '" &amp; "【"&amp; $Z181 &amp;"】已使用此筆資料，不可刪除!!" &amp; "' }", CHAR(39),CHAR(34))   &amp; "');","")</f>
        <v>#REF!</v>
      </c>
    </row>
    <row r="182" spans="28:28">
      <c r="AB182" s="4" t="e">
        <f>IF(#REF!="Y","INSERT INTO `sys_table_relation` (`TABLE_NAME`, `CHILD_TABLE_NAME`, `SQL_QUERY`, `ERROR_DESC` ,`ERROR_DESC_JSON`) VALUES ('" &amp;$H182 &amp; "', '" &amp; $Y182 &amp; "', '" &amp; "select count(*) from "&amp; $Y182 &amp;" where " &amp; IF(COUNTIF(D:D,"IS_DESTROYED"),"IS_DESTROYED=0 and ","") &amp;   $D182 &amp; "={pid}" &amp; "', " &amp; "'【"&amp; $Z182 &amp;"】已使用此筆資料，故不可刪除!!'" &amp; ",'" &amp; SUBSTITUTE("{'zh_TW': '" &amp;  "【"&amp; $Z182 &amp;"】已使用此筆資料，不可刪除!!"  &amp; "' ,'en_US': '" &amp;  "Have used this information, it can not be deleted !!" &amp; "'  ,'zh_CN': '" &amp; "【"&amp; $Z182 &amp;"】已使用此筆資料，不可刪除!!" &amp; "' }", CHAR(39),CHAR(34))   &amp; "');","")</f>
        <v>#REF!</v>
      </c>
    </row>
    <row r="183" spans="28:28">
      <c r="AB183" s="4" t="e">
        <f>IF(#REF!="Y","INSERT INTO `sys_table_relation` (`TABLE_NAME`, `CHILD_TABLE_NAME`, `SQL_QUERY`, `ERROR_DESC` ,`ERROR_DESC_JSON`) VALUES ('" &amp;$H183 &amp; "', '" &amp; $Y183 &amp; "', '" &amp; "select count(*) from "&amp; $Y183 &amp;" where " &amp; IF(COUNTIF(D:D,"IS_DESTROYED"),"IS_DESTROYED=0 and ","") &amp;   $D183 &amp; "={pid}" &amp; "', " &amp; "'【"&amp; $Z183 &amp;"】已使用此筆資料，故不可刪除!!'" &amp; ",'" &amp; SUBSTITUTE("{'zh_TW': '" &amp;  "【"&amp; $Z183 &amp;"】已使用此筆資料，不可刪除!!"  &amp; "' ,'en_US': '" &amp;  "Have used this information, it can not be deleted !!" &amp; "'  ,'zh_CN': '" &amp; "【"&amp; $Z183 &amp;"】已使用此筆資料，不可刪除!!" &amp; "' }", CHAR(39),CHAR(34))   &amp; "');","")</f>
        <v>#REF!</v>
      </c>
    </row>
    <row r="184" spans="28:28">
      <c r="AB184" s="4" t="e">
        <f>IF(#REF!="Y","INSERT INTO `sys_table_relation` (`TABLE_NAME`, `CHILD_TABLE_NAME`, `SQL_QUERY`, `ERROR_DESC` ,`ERROR_DESC_JSON`) VALUES ('" &amp;$H184 &amp; "', '" &amp; $Y184 &amp; "', '" &amp; "select count(*) from "&amp; $Y184 &amp;" where " &amp; IF(COUNTIF(D:D,"IS_DESTROYED"),"IS_DESTROYED=0 and ","") &amp;   $D184 &amp; "={pid}" &amp; "', " &amp; "'【"&amp; $Z184 &amp;"】已使用此筆資料，故不可刪除!!'" &amp; ",'" &amp; SUBSTITUTE("{'zh_TW': '" &amp;  "【"&amp; $Z184 &amp;"】已使用此筆資料，不可刪除!!"  &amp; "' ,'en_US': '" &amp;  "Have used this information, it can not be deleted !!" &amp; "'  ,'zh_CN': '" &amp; "【"&amp; $Z184 &amp;"】已使用此筆資料，不可刪除!!" &amp; "' }", CHAR(39),CHAR(34))   &amp; "');","")</f>
        <v>#REF!</v>
      </c>
    </row>
    <row r="185" spans="28:28">
      <c r="AB185" s="4" t="e">
        <f>IF(#REF!="Y","INSERT INTO `sys_table_relation` (`TABLE_NAME`, `CHILD_TABLE_NAME`, `SQL_QUERY`, `ERROR_DESC` ,`ERROR_DESC_JSON`) VALUES ('" &amp;$H185 &amp; "', '" &amp; $Y185 &amp; "', '" &amp; "select count(*) from "&amp; $Y185 &amp;" where " &amp; IF(COUNTIF(D:D,"IS_DESTROYED"),"IS_DESTROYED=0 and ","") &amp;   $D185 &amp; "={pid}" &amp; "', " &amp; "'【"&amp; $Z185 &amp;"】已使用此筆資料，故不可刪除!!'" &amp; ",'" &amp; SUBSTITUTE("{'zh_TW': '" &amp;  "【"&amp; $Z185 &amp;"】已使用此筆資料，不可刪除!!"  &amp; "' ,'en_US': '" &amp;  "Have used this information, it can not be deleted !!" &amp; "'  ,'zh_CN': '" &amp; "【"&amp; $Z185 &amp;"】已使用此筆資料，不可刪除!!" &amp; "' }", CHAR(39),CHAR(34))   &amp; "');","")</f>
        <v>#REF!</v>
      </c>
    </row>
    <row r="186" spans="28:28">
      <c r="AB186" s="4" t="e">
        <f>IF(#REF!="Y","INSERT INTO `sys_table_relation` (`TABLE_NAME`, `CHILD_TABLE_NAME`, `SQL_QUERY`, `ERROR_DESC` ,`ERROR_DESC_JSON`) VALUES ('" &amp;$H186 &amp; "', '" &amp; $Y186 &amp; "', '" &amp; "select count(*) from "&amp; $Y186 &amp;" where " &amp; IF(COUNTIF(D:D,"IS_DESTROYED"),"IS_DESTROYED=0 and ","") &amp;   $D186 &amp; "={pid}" &amp; "', " &amp; "'【"&amp; $Z186 &amp;"】已使用此筆資料，故不可刪除!!'" &amp; ",'" &amp; SUBSTITUTE("{'zh_TW': '" &amp;  "【"&amp; $Z186 &amp;"】已使用此筆資料，不可刪除!!"  &amp; "' ,'en_US': '" &amp;  "Have used this information, it can not be deleted !!" &amp; "'  ,'zh_CN': '" &amp; "【"&amp; $Z186 &amp;"】已使用此筆資料，不可刪除!!" &amp; "' }", CHAR(39),CHAR(34))   &amp; "');","")</f>
        <v>#REF!</v>
      </c>
    </row>
    <row r="187" spans="28:28">
      <c r="AB187" s="4" t="e">
        <f>IF(#REF!="Y","INSERT INTO `sys_table_relation` (`TABLE_NAME`, `CHILD_TABLE_NAME`, `SQL_QUERY`, `ERROR_DESC` ,`ERROR_DESC_JSON`) VALUES ('" &amp;$H187 &amp; "', '" &amp; $Y187 &amp; "', '" &amp; "select count(*) from "&amp; $Y187 &amp;" where " &amp; IF(COUNTIF(D:D,"IS_DESTROYED"),"IS_DESTROYED=0 and ","") &amp;   $D187 &amp; "={pid}" &amp; "', " &amp; "'【"&amp; $Z187 &amp;"】已使用此筆資料，故不可刪除!!'" &amp; ",'" &amp; SUBSTITUTE("{'zh_TW': '" &amp;  "【"&amp; $Z187 &amp;"】已使用此筆資料，不可刪除!!"  &amp; "' ,'en_US': '" &amp;  "Have used this information, it can not be deleted !!" &amp; "'  ,'zh_CN': '" &amp; "【"&amp; $Z187 &amp;"】已使用此筆資料，不可刪除!!" &amp; "' }", CHAR(39),CHAR(34))   &amp; "');","")</f>
        <v>#REF!</v>
      </c>
    </row>
    <row r="188" spans="28:28">
      <c r="AB188" s="4" t="e">
        <f>IF(#REF!="Y","INSERT INTO `sys_table_relation` (`TABLE_NAME`, `CHILD_TABLE_NAME`, `SQL_QUERY`, `ERROR_DESC` ,`ERROR_DESC_JSON`) VALUES ('" &amp;$H188 &amp; "', '" &amp; $Y188 &amp; "', '" &amp; "select count(*) from "&amp; $Y188 &amp;" where " &amp; IF(COUNTIF(D:D,"IS_DESTROYED"),"IS_DESTROYED=0 and ","") &amp;   $D188 &amp; "={pid}" &amp; "', " &amp; "'【"&amp; $Z188 &amp;"】已使用此筆資料，故不可刪除!!'" &amp; ",'" &amp; SUBSTITUTE("{'zh_TW': '" &amp;  "【"&amp; $Z188 &amp;"】已使用此筆資料，不可刪除!!"  &amp; "' ,'en_US': '" &amp;  "Have used this information, it can not be deleted !!" &amp; "'  ,'zh_CN': '" &amp; "【"&amp; $Z188 &amp;"】已使用此筆資料，不可刪除!!" &amp; "' }", CHAR(39),CHAR(34))   &amp; "');","")</f>
        <v>#REF!</v>
      </c>
    </row>
    <row r="189" spans="28:28">
      <c r="AB189" s="4" t="e">
        <f>IF(#REF!="Y","INSERT INTO `sys_table_relation` (`TABLE_NAME`, `CHILD_TABLE_NAME`, `SQL_QUERY`, `ERROR_DESC` ,`ERROR_DESC_JSON`) VALUES ('" &amp;$H189 &amp; "', '" &amp; $Y189 &amp; "', '" &amp; "select count(*) from "&amp; $Y189 &amp;" where " &amp; IF(COUNTIF(D:D,"IS_DESTROYED"),"IS_DESTROYED=0 and ","") &amp;   $D189 &amp; "={pid}" &amp; "', " &amp; "'【"&amp; $Z189 &amp;"】已使用此筆資料，故不可刪除!!'" &amp; ",'" &amp; SUBSTITUTE("{'zh_TW': '" &amp;  "【"&amp; $Z189 &amp;"】已使用此筆資料，不可刪除!!"  &amp; "' ,'en_US': '" &amp;  "Have used this information, it can not be deleted !!" &amp; "'  ,'zh_CN': '" &amp; "【"&amp; $Z189 &amp;"】已使用此筆資料，不可刪除!!" &amp; "' }", CHAR(39),CHAR(34))   &amp; "');","")</f>
        <v>#REF!</v>
      </c>
    </row>
    <row r="190" spans="28:28">
      <c r="AB190" s="4" t="e">
        <f>IF(#REF!="Y","INSERT INTO `sys_table_relation` (`TABLE_NAME`, `CHILD_TABLE_NAME`, `SQL_QUERY`, `ERROR_DESC` ,`ERROR_DESC_JSON`) VALUES ('" &amp;$H190 &amp; "', '" &amp; $Y190 &amp; "', '" &amp; "select count(*) from "&amp; $Y190 &amp;" where " &amp; IF(COUNTIF(D:D,"IS_DESTROYED"),"IS_DESTROYED=0 and ","") &amp;   $D190 &amp; "={pid}" &amp; "', " &amp; "'【"&amp; $Z190 &amp;"】已使用此筆資料，故不可刪除!!'" &amp; ",'" &amp; SUBSTITUTE("{'zh_TW': '" &amp;  "【"&amp; $Z190 &amp;"】已使用此筆資料，不可刪除!!"  &amp; "' ,'en_US': '" &amp;  "Have used this information, it can not be deleted !!" &amp; "'  ,'zh_CN': '" &amp; "【"&amp; $Z190 &amp;"】已使用此筆資料，不可刪除!!" &amp; "' }", CHAR(39),CHAR(34))   &amp; "');","")</f>
        <v>#REF!</v>
      </c>
    </row>
    <row r="191" spans="28:28">
      <c r="AB191" s="4" t="e">
        <f>IF(#REF!="Y","INSERT INTO `sys_table_relation` (`TABLE_NAME`, `CHILD_TABLE_NAME`, `SQL_QUERY`, `ERROR_DESC` ,`ERROR_DESC_JSON`) VALUES ('" &amp;$H191 &amp; "', '" &amp; $Y191 &amp; "', '" &amp; "select count(*) from "&amp; $Y191 &amp;" where " &amp; IF(COUNTIF(D:D,"IS_DESTROYED"),"IS_DESTROYED=0 and ","") &amp;   $D191 &amp; "={pid}" &amp; "', " &amp; "'【"&amp; $Z191 &amp;"】已使用此筆資料，故不可刪除!!'" &amp; ",'" &amp; SUBSTITUTE("{'zh_TW': '" &amp;  "【"&amp; $Z191 &amp;"】已使用此筆資料，不可刪除!!"  &amp; "' ,'en_US': '" &amp;  "Have used this information, it can not be deleted !!" &amp; "'  ,'zh_CN': '" &amp; "【"&amp; $Z191 &amp;"】已使用此筆資料，不可刪除!!" &amp; "' }", CHAR(39),CHAR(34))   &amp; "');","")</f>
        <v>#REF!</v>
      </c>
    </row>
    <row r="192" spans="28:28">
      <c r="AB192" s="4" t="e">
        <f>IF(#REF!="Y","INSERT INTO `sys_table_relation` (`TABLE_NAME`, `CHILD_TABLE_NAME`, `SQL_QUERY`, `ERROR_DESC` ,`ERROR_DESC_JSON`) VALUES ('" &amp;$H192 &amp; "', '" &amp; $Y192 &amp; "', '" &amp; "select count(*) from "&amp; $Y192 &amp;" where " &amp; IF(COUNTIF(D:D,"IS_DESTROYED"),"IS_DESTROYED=0 and ","") &amp;   $D192 &amp; "={pid}" &amp; "', " &amp; "'【"&amp; $Z192 &amp;"】已使用此筆資料，故不可刪除!!'" &amp; ",'" &amp; SUBSTITUTE("{'zh_TW': '" &amp;  "【"&amp; $Z192 &amp;"】已使用此筆資料，不可刪除!!"  &amp; "' ,'en_US': '" &amp;  "Have used this information, it can not be deleted !!" &amp; "'  ,'zh_CN': '" &amp; "【"&amp; $Z192 &amp;"】已使用此筆資料，不可刪除!!" &amp; "' }", CHAR(39),CHAR(34))   &amp; "');","")</f>
        <v>#REF!</v>
      </c>
    </row>
    <row r="193" spans="28:28">
      <c r="AB193" s="4" t="e">
        <f>IF(#REF!="Y","INSERT INTO `sys_table_relation` (`TABLE_NAME`, `CHILD_TABLE_NAME`, `SQL_QUERY`, `ERROR_DESC` ,`ERROR_DESC_JSON`) VALUES ('" &amp;$H193 &amp; "', '" &amp; $Y193 &amp; "', '" &amp; "select count(*) from "&amp; $Y193 &amp;" where " &amp; IF(COUNTIF(D:D,"IS_DESTROYED"),"IS_DESTROYED=0 and ","") &amp;   $D193 &amp; "={pid}" &amp; "', " &amp; "'【"&amp; $Z193 &amp;"】已使用此筆資料，故不可刪除!!'" &amp; ",'" &amp; SUBSTITUTE("{'zh_TW': '" &amp;  "【"&amp; $Z193 &amp;"】已使用此筆資料，不可刪除!!"  &amp; "' ,'en_US': '" &amp;  "Have used this information, it can not be deleted !!" &amp; "'  ,'zh_CN': '" &amp; "【"&amp; $Z193 &amp;"】已使用此筆資料，不可刪除!!" &amp; "' }", CHAR(39),CHAR(34))   &amp; "');","")</f>
        <v>#REF!</v>
      </c>
    </row>
    <row r="194" spans="28:28">
      <c r="AB194" s="4" t="e">
        <f>IF(#REF!="Y","INSERT INTO `sys_table_relation` (`TABLE_NAME`, `CHILD_TABLE_NAME`, `SQL_QUERY`, `ERROR_DESC` ,`ERROR_DESC_JSON`) VALUES ('" &amp;$H194 &amp; "', '" &amp; $Y194 &amp; "', '" &amp; "select count(*) from "&amp; $Y194 &amp;" where " &amp; IF(COUNTIF(D:D,"IS_DESTROYED"),"IS_DESTROYED=0 and ","") &amp;   $D194 &amp; "={pid}" &amp; "', " &amp; "'【"&amp; $Z194 &amp;"】已使用此筆資料，故不可刪除!!'" &amp; ",'" &amp; SUBSTITUTE("{'zh_TW': '" &amp;  "【"&amp; $Z194 &amp;"】已使用此筆資料，不可刪除!!"  &amp; "' ,'en_US': '" &amp;  "Have used this information, it can not be deleted !!" &amp; "'  ,'zh_CN': '" &amp; "【"&amp; $Z194 &amp;"】已使用此筆資料，不可刪除!!" &amp; "' }", CHAR(39),CHAR(34))   &amp; "');","")</f>
        <v>#REF!</v>
      </c>
    </row>
    <row r="195" spans="28:28">
      <c r="AB195" s="4" t="e">
        <f>IF(#REF!="Y","INSERT INTO `sys_table_relation` (`TABLE_NAME`, `CHILD_TABLE_NAME`, `SQL_QUERY`, `ERROR_DESC` ,`ERROR_DESC_JSON`) VALUES ('" &amp;$H195 &amp; "', '" &amp; $Y195 &amp; "', '" &amp; "select count(*) from "&amp; $Y195 &amp;" where " &amp; IF(COUNTIF(D:D,"IS_DESTROYED"),"IS_DESTROYED=0 and ","") &amp;   $D195 &amp; "={pid}" &amp; "', " &amp; "'【"&amp; $Z195 &amp;"】已使用此筆資料，故不可刪除!!'" &amp; ",'" &amp; SUBSTITUTE("{'zh_TW': '" &amp;  "【"&amp; $Z195 &amp;"】已使用此筆資料，不可刪除!!"  &amp; "' ,'en_US': '" &amp;  "Have used this information, it can not be deleted !!" &amp; "'  ,'zh_CN': '" &amp; "【"&amp; $Z195 &amp;"】已使用此筆資料，不可刪除!!" &amp; "' }", CHAR(39),CHAR(34))   &amp; "');","")</f>
        <v>#REF!</v>
      </c>
    </row>
    <row r="196" spans="28:28">
      <c r="AB196" s="4" t="e">
        <f>IF(#REF!="Y","INSERT INTO `sys_table_relation` (`TABLE_NAME`, `CHILD_TABLE_NAME`, `SQL_QUERY`, `ERROR_DESC` ,`ERROR_DESC_JSON`) VALUES ('" &amp;$H196 &amp; "', '" &amp; $Y196 &amp; "', '" &amp; "select count(*) from "&amp; $Y196 &amp;" where " &amp; IF(COUNTIF(D:D,"IS_DESTROYED"),"IS_DESTROYED=0 and ","") &amp;   $D196 &amp; "={pid}" &amp; "', " &amp; "'【"&amp; $Z196 &amp;"】已使用此筆資料，故不可刪除!!'" &amp; ",'" &amp; SUBSTITUTE("{'zh_TW': '" &amp;  "【"&amp; $Z196 &amp;"】已使用此筆資料，不可刪除!!"  &amp; "' ,'en_US': '" &amp;  "Have used this information, it can not be deleted !!" &amp; "'  ,'zh_CN': '" &amp; "【"&amp; $Z196 &amp;"】已使用此筆資料，不可刪除!!" &amp; "' }", CHAR(39),CHAR(34))   &amp; "');","")</f>
        <v>#REF!</v>
      </c>
    </row>
    <row r="197" spans="28:28">
      <c r="AB197" s="4" t="e">
        <f>IF(#REF!="Y","INSERT INTO `sys_table_relation` (`TABLE_NAME`, `CHILD_TABLE_NAME`, `SQL_QUERY`, `ERROR_DESC` ,`ERROR_DESC_JSON`) VALUES ('" &amp;$H197 &amp; "', '" &amp; $Y197 &amp; "', '" &amp; "select count(*) from "&amp; $Y197 &amp;" where " &amp; IF(COUNTIF(D:D,"IS_DESTROYED"),"IS_DESTROYED=0 and ","") &amp;   $D197 &amp; "={pid}" &amp; "', " &amp; "'【"&amp; $Z197 &amp;"】已使用此筆資料，故不可刪除!!'" &amp; ",'" &amp; SUBSTITUTE("{'zh_TW': '" &amp;  "【"&amp; $Z197 &amp;"】已使用此筆資料，不可刪除!!"  &amp; "' ,'en_US': '" &amp;  "Have used this information, it can not be deleted !!" &amp; "'  ,'zh_CN': '" &amp; "【"&amp; $Z197 &amp;"】已使用此筆資料，不可刪除!!" &amp; "' }", CHAR(39),CHAR(34))   &amp; "');","")</f>
        <v>#REF!</v>
      </c>
    </row>
    <row r="198" spans="28:28">
      <c r="AB198" s="4" t="e">
        <f>IF(#REF!="Y","INSERT INTO `sys_table_relation` (`TABLE_NAME`, `CHILD_TABLE_NAME`, `SQL_QUERY`, `ERROR_DESC` ,`ERROR_DESC_JSON`) VALUES ('" &amp;$H198 &amp; "', '" &amp; $Y198 &amp; "', '" &amp; "select count(*) from "&amp; $Y198 &amp;" where " &amp; IF(COUNTIF(D:D,"IS_DESTROYED"),"IS_DESTROYED=0 and ","") &amp;   $D198 &amp; "={pid}" &amp; "', " &amp; "'【"&amp; $Z198 &amp;"】已使用此筆資料，故不可刪除!!'" &amp; ",'" &amp; SUBSTITUTE("{'zh_TW': '" &amp;  "【"&amp; $Z198 &amp;"】已使用此筆資料，不可刪除!!"  &amp; "' ,'en_US': '" &amp;  "Have used this information, it can not be deleted !!" &amp; "'  ,'zh_CN': '" &amp; "【"&amp; $Z198 &amp;"】已使用此筆資料，不可刪除!!" &amp; "' }", CHAR(39),CHAR(34))   &amp; "');","")</f>
        <v>#REF!</v>
      </c>
    </row>
    <row r="199" spans="28:28">
      <c r="AB199" s="4" t="e">
        <f>IF(#REF!="Y","INSERT INTO `sys_table_relation` (`TABLE_NAME`, `CHILD_TABLE_NAME`, `SQL_QUERY`, `ERROR_DESC` ,`ERROR_DESC_JSON`) VALUES ('" &amp;$H199 &amp; "', '" &amp; $Y199 &amp; "', '" &amp; "select count(*) from "&amp; $Y199 &amp;" where " &amp; IF(COUNTIF(D:D,"IS_DESTROYED"),"IS_DESTROYED=0 and ","") &amp;   $D199 &amp; "={pid}" &amp; "', " &amp; "'【"&amp; $Z199 &amp;"】已使用此筆資料，故不可刪除!!'" &amp; ",'" &amp; SUBSTITUTE("{'zh_TW': '" &amp;  "【"&amp; $Z199 &amp;"】已使用此筆資料，不可刪除!!"  &amp; "' ,'en_US': '" &amp;  "Have used this information, it can not be deleted !!" &amp; "'  ,'zh_CN': '" &amp; "【"&amp; $Z199 &amp;"】已使用此筆資料，不可刪除!!" &amp; "' }", CHAR(39),CHAR(34))   &amp; "');","")</f>
        <v>#REF!</v>
      </c>
    </row>
    <row r="200" spans="28:28">
      <c r="AB200" s="4" t="e">
        <f>IF(#REF!="Y","INSERT INTO `sys_table_relation` (`TABLE_NAME`, `CHILD_TABLE_NAME`, `SQL_QUERY`, `ERROR_DESC` ,`ERROR_DESC_JSON`) VALUES ('" &amp;$H200 &amp; "', '" &amp; $Y200 &amp; "', '" &amp; "select count(*) from "&amp; $Y200 &amp;" where " &amp; IF(COUNTIF(D:D,"IS_DESTROYED"),"IS_DESTROYED=0 and ","") &amp;   $D200 &amp; "={pid}" &amp; "', " &amp; "'【"&amp; $Z200 &amp;"】已使用此筆資料，故不可刪除!!'" &amp; ",'" &amp; SUBSTITUTE("{'zh_TW': '" &amp;  "【"&amp; $Z200 &amp;"】已使用此筆資料，不可刪除!!"  &amp; "' ,'en_US': '" &amp;  "Have used this information, it can not be deleted !!" &amp; "'  ,'zh_CN': '" &amp; "【"&amp; $Z200 &amp;"】已使用此筆資料，不可刪除!!" &amp; "' }", CHAR(39),CHAR(34))   &amp; "');","")</f>
        <v>#REF!</v>
      </c>
    </row>
    <row r="201" spans="28:28">
      <c r="AB201" s="4" t="e">
        <f>IF(#REF!="Y","INSERT INTO `sys_table_relation` (`TABLE_NAME`, `CHILD_TABLE_NAME`, `SQL_QUERY`, `ERROR_DESC` ,`ERROR_DESC_JSON`) VALUES ('" &amp;$H201 &amp; "', '" &amp; $Y201 &amp; "', '" &amp; "select count(*) from "&amp; $Y201 &amp;" where " &amp; IF(COUNTIF(D:D,"IS_DESTROYED"),"IS_DESTROYED=0 and ","") &amp;   $D201 &amp; "={pid}" &amp; "', " &amp; "'【"&amp; $Z201 &amp;"】已使用此筆資料，故不可刪除!!'" &amp; ",'" &amp; SUBSTITUTE("{'zh_TW': '" &amp;  "【"&amp; $Z201 &amp;"】已使用此筆資料，不可刪除!!"  &amp; "' ,'en_US': '" &amp;  "Have used this information, it can not be deleted !!" &amp; "'  ,'zh_CN': '" &amp; "【"&amp; $Z201 &amp;"】已使用此筆資料，不可刪除!!" &amp; "' }", CHAR(39),CHAR(34))   &amp; "');","")</f>
        <v>#REF!</v>
      </c>
    </row>
    <row r="202" spans="28:28">
      <c r="AB202" s="4" t="e">
        <f>IF(#REF!="Y","INSERT INTO `sys_table_relation` (`TABLE_NAME`, `CHILD_TABLE_NAME`, `SQL_QUERY`, `ERROR_DESC` ,`ERROR_DESC_JSON`) VALUES ('" &amp;$H202 &amp; "', '" &amp; $Y202 &amp; "', '" &amp; "select count(*) from "&amp; $Y202 &amp;" where " &amp; IF(COUNTIF(D:D,"IS_DESTROYED"),"IS_DESTROYED=0 and ","") &amp;   $D202 &amp; "={pid}" &amp; "', " &amp; "'【"&amp; $Z202 &amp;"】已使用此筆資料，故不可刪除!!'" &amp; ",'" &amp; SUBSTITUTE("{'zh_TW': '" &amp;  "【"&amp; $Z202 &amp;"】已使用此筆資料，不可刪除!!"  &amp; "' ,'en_US': '" &amp;  "Have used this information, it can not be deleted !!" &amp; "'  ,'zh_CN': '" &amp; "【"&amp; $Z202 &amp;"】已使用此筆資料，不可刪除!!" &amp; "' }", CHAR(39),CHAR(34))   &amp; "');","")</f>
        <v>#REF!</v>
      </c>
    </row>
    <row r="203" spans="28:28">
      <c r="AB203" s="4" t="e">
        <f>IF(#REF!="Y","INSERT INTO `sys_table_relation` (`TABLE_NAME`, `CHILD_TABLE_NAME`, `SQL_QUERY`, `ERROR_DESC` ,`ERROR_DESC_JSON`) VALUES ('" &amp;$H203 &amp; "', '" &amp; $Y203 &amp; "', '" &amp; "select count(*) from "&amp; $Y203 &amp;" where " &amp; IF(COUNTIF(D:D,"IS_DESTROYED"),"IS_DESTROYED=0 and ","") &amp;   $D203 &amp; "={pid}" &amp; "', " &amp; "'【"&amp; $Z203 &amp;"】已使用此筆資料，故不可刪除!!'" &amp; ",'" &amp; SUBSTITUTE("{'zh_TW': '" &amp;  "【"&amp; $Z203 &amp;"】已使用此筆資料，不可刪除!!"  &amp; "' ,'en_US': '" &amp;  "Have used this information, it can not be deleted !!" &amp; "'  ,'zh_CN': '" &amp; "【"&amp; $Z203 &amp;"】已使用此筆資料，不可刪除!!" &amp; "' }", CHAR(39),CHAR(34))   &amp; "');","")</f>
        <v>#REF!</v>
      </c>
    </row>
    <row r="204" spans="28:28">
      <c r="AB204" s="4" t="e">
        <f>IF(#REF!="Y","INSERT INTO `sys_table_relation` (`TABLE_NAME`, `CHILD_TABLE_NAME`, `SQL_QUERY`, `ERROR_DESC` ,`ERROR_DESC_JSON`) VALUES ('" &amp;$H204 &amp; "', '" &amp; $Y204 &amp; "', '" &amp; "select count(*) from "&amp; $Y204 &amp;" where " &amp; IF(COUNTIF(D:D,"IS_DESTROYED"),"IS_DESTROYED=0 and ","") &amp;   $D204 &amp; "={pid}" &amp; "', " &amp; "'【"&amp; $Z204 &amp;"】已使用此筆資料，故不可刪除!!'" &amp; ",'" &amp; SUBSTITUTE("{'zh_TW': '" &amp;  "【"&amp; $Z204 &amp;"】已使用此筆資料，不可刪除!!"  &amp; "' ,'en_US': '" &amp;  "Have used this information, it can not be deleted !!" &amp; "'  ,'zh_CN': '" &amp; "【"&amp; $Z204 &amp;"】已使用此筆資料，不可刪除!!" &amp; "' }", CHAR(39),CHAR(34))   &amp; "');","")</f>
        <v>#REF!</v>
      </c>
    </row>
    <row r="205" spans="28:28">
      <c r="AB205" s="4" t="e">
        <f>IF(#REF!="Y","INSERT INTO `sys_table_relation` (`TABLE_NAME`, `CHILD_TABLE_NAME`, `SQL_QUERY`, `ERROR_DESC` ,`ERROR_DESC_JSON`) VALUES ('" &amp;$H205 &amp; "', '" &amp; $Y205 &amp; "', '" &amp; "select count(*) from "&amp; $Y205 &amp;" where " &amp; IF(COUNTIF(D:D,"IS_DESTROYED"),"IS_DESTROYED=0 and ","") &amp;   $D205 &amp; "={pid}" &amp; "', " &amp; "'【"&amp; $Z205 &amp;"】已使用此筆資料，故不可刪除!!'" &amp; ",'" &amp; SUBSTITUTE("{'zh_TW': '" &amp;  "【"&amp; $Z205 &amp;"】已使用此筆資料，不可刪除!!"  &amp; "' ,'en_US': '" &amp;  "Have used this information, it can not be deleted !!" &amp; "'  ,'zh_CN': '" &amp; "【"&amp; $Z205 &amp;"】已使用此筆資料，不可刪除!!" &amp; "' }", CHAR(39),CHAR(34))   &amp; "');","")</f>
        <v>#REF!</v>
      </c>
    </row>
    <row r="206" spans="28:28">
      <c r="AB206" s="4" t="e">
        <f>IF(#REF!="Y","INSERT INTO `sys_table_relation` (`TABLE_NAME`, `CHILD_TABLE_NAME`, `SQL_QUERY`, `ERROR_DESC` ,`ERROR_DESC_JSON`) VALUES ('" &amp;$H206 &amp; "', '" &amp; $Y206 &amp; "', '" &amp; "select count(*) from "&amp; $Y206 &amp;" where " &amp; IF(COUNTIF(D:D,"IS_DESTROYED"),"IS_DESTROYED=0 and ","") &amp;   $D206 &amp; "={pid}" &amp; "', " &amp; "'【"&amp; $Z206 &amp;"】已使用此筆資料，故不可刪除!!'" &amp; ",'" &amp; SUBSTITUTE("{'zh_TW': '" &amp;  "【"&amp; $Z206 &amp;"】已使用此筆資料，不可刪除!!"  &amp; "' ,'en_US': '" &amp;  "Have used this information, it can not be deleted !!" &amp; "'  ,'zh_CN': '" &amp; "【"&amp; $Z206 &amp;"】已使用此筆資料，不可刪除!!" &amp; "' }", CHAR(39),CHAR(34))   &amp; "');","")</f>
        <v>#REF!</v>
      </c>
    </row>
    <row r="207" spans="28:28">
      <c r="AB207" s="4" t="e">
        <f>IF(#REF!="Y","INSERT INTO `sys_table_relation` (`TABLE_NAME`, `CHILD_TABLE_NAME`, `SQL_QUERY`, `ERROR_DESC` ,`ERROR_DESC_JSON`) VALUES ('" &amp;$H207 &amp; "', '" &amp; $Y207 &amp; "', '" &amp; "select count(*) from "&amp; $Y207 &amp;" where " &amp; IF(COUNTIF(D:D,"IS_DESTROYED"),"IS_DESTROYED=0 and ","") &amp;   $D207 &amp; "={pid}" &amp; "', " &amp; "'【"&amp; $Z207 &amp;"】已使用此筆資料，故不可刪除!!'" &amp; ",'" &amp; SUBSTITUTE("{'zh_TW': '" &amp;  "【"&amp; $Z207 &amp;"】已使用此筆資料，不可刪除!!"  &amp; "' ,'en_US': '" &amp;  "Have used this information, it can not be deleted !!" &amp; "'  ,'zh_CN': '" &amp; "【"&amp; $Z207 &amp;"】已使用此筆資料，不可刪除!!" &amp; "' }", CHAR(39),CHAR(34))   &amp; "');","")</f>
        <v>#REF!</v>
      </c>
    </row>
    <row r="208" spans="28:28">
      <c r="AB208" s="4" t="e">
        <f>IF(#REF!="Y","INSERT INTO `sys_table_relation` (`TABLE_NAME`, `CHILD_TABLE_NAME`, `SQL_QUERY`, `ERROR_DESC` ,`ERROR_DESC_JSON`) VALUES ('" &amp;$H208 &amp; "', '" &amp; $Y208 &amp; "', '" &amp; "select count(*) from "&amp; $Y208 &amp;" where " &amp; IF(COUNTIF(D:D,"IS_DESTROYED"),"IS_DESTROYED=0 and ","") &amp;   $D208 &amp; "={pid}" &amp; "', " &amp; "'【"&amp; $Z208 &amp;"】已使用此筆資料，故不可刪除!!'" &amp; ",'" &amp; SUBSTITUTE("{'zh_TW': '" &amp;  "【"&amp; $Z208 &amp;"】已使用此筆資料，不可刪除!!"  &amp; "' ,'en_US': '" &amp;  "Have used this information, it can not be deleted !!" &amp; "'  ,'zh_CN': '" &amp; "【"&amp; $Z208 &amp;"】已使用此筆資料，不可刪除!!" &amp; "' }", CHAR(39),CHAR(34))   &amp; "');","")</f>
        <v>#REF!</v>
      </c>
    </row>
    <row r="209" spans="28:28">
      <c r="AB209" s="4" t="e">
        <f>IF(#REF!="Y","INSERT INTO `sys_table_relation` (`TABLE_NAME`, `CHILD_TABLE_NAME`, `SQL_QUERY`, `ERROR_DESC` ,`ERROR_DESC_JSON`) VALUES ('" &amp;$H209 &amp; "', '" &amp; $Y209 &amp; "', '" &amp; "select count(*) from "&amp; $Y209 &amp;" where " &amp; IF(COUNTIF(D:D,"IS_DESTROYED"),"IS_DESTROYED=0 and ","") &amp;   $D209 &amp; "={pid}" &amp; "', " &amp; "'【"&amp; $Z209 &amp;"】已使用此筆資料，故不可刪除!!'" &amp; ",'" &amp; SUBSTITUTE("{'zh_TW': '" &amp;  "【"&amp; $Z209 &amp;"】已使用此筆資料，不可刪除!!"  &amp; "' ,'en_US': '" &amp;  "Have used this information, it can not be deleted !!" &amp; "'  ,'zh_CN': '" &amp; "【"&amp; $Z209 &amp;"】已使用此筆資料，不可刪除!!" &amp; "' }", CHAR(39),CHAR(34))   &amp; "');","")</f>
        <v>#REF!</v>
      </c>
    </row>
    <row r="210" spans="28:28">
      <c r="AB210" s="4" t="e">
        <f>IF(#REF!="Y","INSERT INTO `sys_table_relation` (`TABLE_NAME`, `CHILD_TABLE_NAME`, `SQL_QUERY`, `ERROR_DESC` ,`ERROR_DESC_JSON`) VALUES ('" &amp;$H210 &amp; "', '" &amp; $Y210 &amp; "', '" &amp; "select count(*) from "&amp; $Y210 &amp;" where " &amp; IF(COUNTIF(D:D,"IS_DESTROYED"),"IS_DESTROYED=0 and ","") &amp;   $D210 &amp; "={pid}" &amp; "', " &amp; "'【"&amp; $Z210 &amp;"】已使用此筆資料，故不可刪除!!'" &amp; ",'" &amp; SUBSTITUTE("{'zh_TW': '" &amp;  "【"&amp; $Z210 &amp;"】已使用此筆資料，不可刪除!!"  &amp; "' ,'en_US': '" &amp;  "Have used this information, it can not be deleted !!" &amp; "'  ,'zh_CN': '" &amp; "【"&amp; $Z210 &amp;"】已使用此筆資料，不可刪除!!" &amp; "' }", CHAR(39),CHAR(34))   &amp; "');","")</f>
        <v>#REF!</v>
      </c>
    </row>
    <row r="211" spans="28:28">
      <c r="AB211" s="4" t="e">
        <f>IF(#REF!="Y","INSERT INTO `sys_table_relation` (`TABLE_NAME`, `CHILD_TABLE_NAME`, `SQL_QUERY`, `ERROR_DESC` ,`ERROR_DESC_JSON`) VALUES ('" &amp;$H211 &amp; "', '" &amp; $Y211 &amp; "', '" &amp; "select count(*) from "&amp; $Y211 &amp;" where " &amp; IF(COUNTIF(D:D,"IS_DESTROYED"),"IS_DESTROYED=0 and ","") &amp;   $D211 &amp; "={pid}" &amp; "', " &amp; "'【"&amp; $Z211 &amp;"】已使用此筆資料，故不可刪除!!'" &amp; ",'" &amp; SUBSTITUTE("{'zh_TW': '" &amp;  "【"&amp; $Z211 &amp;"】已使用此筆資料，不可刪除!!"  &amp; "' ,'en_US': '" &amp;  "Have used this information, it can not be deleted !!" &amp; "'  ,'zh_CN': '" &amp; "【"&amp; $Z211 &amp;"】已使用此筆資料，不可刪除!!" &amp; "' }", CHAR(39),CHAR(34))   &amp; "');","")</f>
        <v>#REF!</v>
      </c>
    </row>
    <row r="212" spans="28:28">
      <c r="AB212" s="4" t="e">
        <f>IF(#REF!="Y","INSERT INTO `sys_table_relation` (`TABLE_NAME`, `CHILD_TABLE_NAME`, `SQL_QUERY`, `ERROR_DESC` ,`ERROR_DESC_JSON`) VALUES ('" &amp;$H212 &amp; "', '" &amp; $Y212 &amp; "', '" &amp; "select count(*) from "&amp; $Y212 &amp;" where " &amp; IF(COUNTIF(D:D,"IS_DESTROYED"),"IS_DESTROYED=0 and ","") &amp;   $D212 &amp; "={pid}" &amp; "', " &amp; "'【"&amp; $Z212 &amp;"】已使用此筆資料，故不可刪除!!'" &amp; ",'" &amp; SUBSTITUTE("{'zh_TW': '" &amp;  "【"&amp; $Z212 &amp;"】已使用此筆資料，不可刪除!!"  &amp; "' ,'en_US': '" &amp;  "Have used this information, it can not be deleted !!" &amp; "'  ,'zh_CN': '" &amp; "【"&amp; $Z212 &amp;"】已使用此筆資料，不可刪除!!" &amp; "' }", CHAR(39),CHAR(34))   &amp; "');","")</f>
        <v>#REF!</v>
      </c>
    </row>
    <row r="213" spans="28:28">
      <c r="AB213" s="4" t="e">
        <f>IF(#REF!="Y","INSERT INTO `sys_table_relation` (`TABLE_NAME`, `CHILD_TABLE_NAME`, `SQL_QUERY`, `ERROR_DESC` ,`ERROR_DESC_JSON`) VALUES ('" &amp;$H213 &amp; "', '" &amp; $Y213 &amp; "', '" &amp; "select count(*) from "&amp; $Y213 &amp;" where " &amp; IF(COUNTIF(D:D,"IS_DESTROYED"),"IS_DESTROYED=0 and ","") &amp;   $D213 &amp; "={pid}" &amp; "', " &amp; "'【"&amp; $Z213 &amp;"】已使用此筆資料，故不可刪除!!'" &amp; ",'" &amp; SUBSTITUTE("{'zh_TW': '" &amp;  "【"&amp; $Z213 &amp;"】已使用此筆資料，不可刪除!!"  &amp; "' ,'en_US': '" &amp;  "Have used this information, it can not be deleted !!" &amp; "'  ,'zh_CN': '" &amp; "【"&amp; $Z213 &amp;"】已使用此筆資料，不可刪除!!" &amp; "' }", CHAR(39),CHAR(34))   &amp; "');","")</f>
        <v>#REF!</v>
      </c>
    </row>
    <row r="214" spans="28:28">
      <c r="AB214" s="4" t="e">
        <f>IF(#REF!="Y","INSERT INTO `sys_table_relation` (`TABLE_NAME`, `CHILD_TABLE_NAME`, `SQL_QUERY`, `ERROR_DESC` ,`ERROR_DESC_JSON`) VALUES ('" &amp;$H214 &amp; "', '" &amp; $Y214 &amp; "', '" &amp; "select count(*) from "&amp; $Y214 &amp;" where " &amp; IF(COUNTIF(D:D,"IS_DESTROYED"),"IS_DESTROYED=0 and ","") &amp;   $D214 &amp; "={pid}" &amp; "', " &amp; "'【"&amp; $Z214 &amp;"】已使用此筆資料，故不可刪除!!'" &amp; ",'" &amp; SUBSTITUTE("{'zh_TW': '" &amp;  "【"&amp; $Z214 &amp;"】已使用此筆資料，不可刪除!!"  &amp; "' ,'en_US': '" &amp;  "Have used this information, it can not be deleted !!" &amp; "'  ,'zh_CN': '" &amp; "【"&amp; $Z214 &amp;"】已使用此筆資料，不可刪除!!" &amp; "' }", CHAR(39),CHAR(34))   &amp; "');","")</f>
        <v>#REF!</v>
      </c>
    </row>
    <row r="215" spans="28:28">
      <c r="AB215" s="4" t="e">
        <f>IF(#REF!="Y","INSERT INTO `sys_table_relation` (`TABLE_NAME`, `CHILD_TABLE_NAME`, `SQL_QUERY`, `ERROR_DESC` ,`ERROR_DESC_JSON`) VALUES ('" &amp;$H215 &amp; "', '" &amp; $Y215 &amp; "', '" &amp; "select count(*) from "&amp; $Y215 &amp;" where " &amp; IF(COUNTIF(D:D,"IS_DESTROYED"),"IS_DESTROYED=0 and ","") &amp;   $D215 &amp; "={pid}" &amp; "', " &amp; "'【"&amp; $Z215 &amp;"】已使用此筆資料，故不可刪除!!'" &amp; ",'" &amp; SUBSTITUTE("{'zh_TW': '" &amp;  "【"&amp; $Z215 &amp;"】已使用此筆資料，不可刪除!!"  &amp; "' ,'en_US': '" &amp;  "Have used this information, it can not be deleted !!" &amp; "'  ,'zh_CN': '" &amp; "【"&amp; $Z215 &amp;"】已使用此筆資料，不可刪除!!" &amp; "' }", CHAR(39),CHAR(34))   &amp; "');","")</f>
        <v>#REF!</v>
      </c>
    </row>
    <row r="216" spans="28:28">
      <c r="AB216" s="4" t="e">
        <f>IF(#REF!="Y","INSERT INTO `sys_table_relation` (`TABLE_NAME`, `CHILD_TABLE_NAME`, `SQL_QUERY`, `ERROR_DESC` ,`ERROR_DESC_JSON`) VALUES ('" &amp;$H216 &amp; "', '" &amp; $Y216 &amp; "', '" &amp; "select count(*) from "&amp; $Y216 &amp;" where " &amp; IF(COUNTIF(D:D,"IS_DESTROYED"),"IS_DESTROYED=0 and ","") &amp;   $D216 &amp; "={pid}" &amp; "', " &amp; "'【"&amp; $Z216 &amp;"】已使用此筆資料，故不可刪除!!'" &amp; ",'" &amp; SUBSTITUTE("{'zh_TW': '" &amp;  "【"&amp; $Z216 &amp;"】已使用此筆資料，不可刪除!!"  &amp; "' ,'en_US': '" &amp;  "Have used this information, it can not be deleted !!" &amp; "'  ,'zh_CN': '" &amp; "【"&amp; $Z216 &amp;"】已使用此筆資料，不可刪除!!" &amp; "' }", CHAR(39),CHAR(34))   &amp; "');","")</f>
        <v>#REF!</v>
      </c>
    </row>
    <row r="217" spans="28:28">
      <c r="AB217" s="4" t="e">
        <f>IF(#REF!="Y","INSERT INTO `sys_table_relation` (`TABLE_NAME`, `CHILD_TABLE_NAME`, `SQL_QUERY`, `ERROR_DESC` ,`ERROR_DESC_JSON`) VALUES ('" &amp;$H217 &amp; "', '" &amp; $Y217 &amp; "', '" &amp; "select count(*) from "&amp; $Y217 &amp;" where " &amp; IF(COUNTIF(D:D,"IS_DESTROYED"),"IS_DESTROYED=0 and ","") &amp;   $D217 &amp; "={pid}" &amp; "', " &amp; "'【"&amp; $Z217 &amp;"】已使用此筆資料，故不可刪除!!'" &amp; ",'" &amp; SUBSTITUTE("{'zh_TW': '" &amp;  "【"&amp; $Z217 &amp;"】已使用此筆資料，不可刪除!!"  &amp; "' ,'en_US': '" &amp;  "Have used this information, it can not be deleted !!" &amp; "'  ,'zh_CN': '" &amp; "【"&amp; $Z217 &amp;"】已使用此筆資料，不可刪除!!" &amp; "' }", CHAR(39),CHAR(34))   &amp; "');","")</f>
        <v>#REF!</v>
      </c>
    </row>
    <row r="218" spans="28:28">
      <c r="AB218" s="4" t="e">
        <f>IF(#REF!="Y","INSERT INTO `sys_table_relation` (`TABLE_NAME`, `CHILD_TABLE_NAME`, `SQL_QUERY`, `ERROR_DESC` ,`ERROR_DESC_JSON`) VALUES ('" &amp;$H218 &amp; "', '" &amp; $Y218 &amp; "', '" &amp; "select count(*) from "&amp; $Y218 &amp;" where " &amp; IF(COUNTIF(D:D,"IS_DESTROYED"),"IS_DESTROYED=0 and ","") &amp;   $D218 &amp; "={pid}" &amp; "', " &amp; "'【"&amp; $Z218 &amp;"】已使用此筆資料，故不可刪除!!'" &amp; ",'" &amp; SUBSTITUTE("{'zh_TW': '" &amp;  "【"&amp; $Z218 &amp;"】已使用此筆資料，不可刪除!!"  &amp; "' ,'en_US': '" &amp;  "Have used this information, it can not be deleted !!" &amp; "'  ,'zh_CN': '" &amp; "【"&amp; $Z218 &amp;"】已使用此筆資料，不可刪除!!" &amp; "' }", CHAR(39),CHAR(34))   &amp; "');","")</f>
        <v>#REF!</v>
      </c>
    </row>
    <row r="219" spans="28:28">
      <c r="AB219" s="4" t="e">
        <f>IF(#REF!="Y","INSERT INTO `sys_table_relation` (`TABLE_NAME`, `CHILD_TABLE_NAME`, `SQL_QUERY`, `ERROR_DESC` ,`ERROR_DESC_JSON`) VALUES ('" &amp;$H219 &amp; "', '" &amp; $Y219 &amp; "', '" &amp; "select count(*) from "&amp; $Y219 &amp;" where " &amp; IF(COUNTIF(D:D,"IS_DESTROYED"),"IS_DESTROYED=0 and ","") &amp;   $D219 &amp; "={pid}" &amp; "', " &amp; "'【"&amp; $Z219 &amp;"】已使用此筆資料，故不可刪除!!'" &amp; ",'" &amp; SUBSTITUTE("{'zh_TW': '" &amp;  "【"&amp; $Z219 &amp;"】已使用此筆資料，不可刪除!!"  &amp; "' ,'en_US': '" &amp;  "Have used this information, it can not be deleted !!" &amp; "'  ,'zh_CN': '" &amp; "【"&amp; $Z219 &amp;"】已使用此筆資料，不可刪除!!" &amp; "' }", CHAR(39),CHAR(34))   &amp; "');","")</f>
        <v>#REF!</v>
      </c>
    </row>
    <row r="220" spans="28:28">
      <c r="AB220" s="4" t="e">
        <f>IF(#REF!="Y","INSERT INTO `sys_table_relation` (`TABLE_NAME`, `CHILD_TABLE_NAME`, `SQL_QUERY`, `ERROR_DESC` ,`ERROR_DESC_JSON`) VALUES ('" &amp;$H220 &amp; "', '" &amp; $Y220 &amp; "', '" &amp; "select count(*) from "&amp; $Y220 &amp;" where " &amp; IF(COUNTIF(D:D,"IS_DESTROYED"),"IS_DESTROYED=0 and ","") &amp;   $D220 &amp; "={pid}" &amp; "', " &amp; "'【"&amp; $Z220 &amp;"】已使用此筆資料，故不可刪除!!'" &amp; ",'" &amp; SUBSTITUTE("{'zh_TW': '" &amp;  "【"&amp; $Z220 &amp;"】已使用此筆資料，不可刪除!!"  &amp; "' ,'en_US': '" &amp;  "Have used this information, it can not be deleted !!" &amp; "'  ,'zh_CN': '" &amp; "【"&amp; $Z220 &amp;"】已使用此筆資料，不可刪除!!" &amp; "' }", CHAR(39),CHAR(34))   &amp; "');","")</f>
        <v>#REF!</v>
      </c>
    </row>
    <row r="221" spans="28:28">
      <c r="AB221" s="4" t="e">
        <f>IF(#REF!="Y","INSERT INTO `sys_table_relation` (`TABLE_NAME`, `CHILD_TABLE_NAME`, `SQL_QUERY`, `ERROR_DESC` ,`ERROR_DESC_JSON`) VALUES ('" &amp;$H221 &amp; "', '" &amp; $Y221 &amp; "', '" &amp; "select count(*) from "&amp; $Y221 &amp;" where " &amp; IF(COUNTIF(D:D,"IS_DESTROYED"),"IS_DESTROYED=0 and ","") &amp;   $D221 &amp; "={pid}" &amp; "', " &amp; "'【"&amp; $Z221 &amp;"】已使用此筆資料，故不可刪除!!'" &amp; ",'" &amp; SUBSTITUTE("{'zh_TW': '" &amp;  "【"&amp; $Z221 &amp;"】已使用此筆資料，不可刪除!!"  &amp; "' ,'en_US': '" &amp;  "Have used this information, it can not be deleted !!" &amp; "'  ,'zh_CN': '" &amp; "【"&amp; $Z221 &amp;"】已使用此筆資料，不可刪除!!" &amp; "' }", CHAR(39),CHAR(34))   &amp; "');","")</f>
        <v>#REF!</v>
      </c>
    </row>
    <row r="222" spans="28:28">
      <c r="AB222" s="4" t="e">
        <f>IF(#REF!="Y","INSERT INTO `sys_table_relation` (`TABLE_NAME`, `CHILD_TABLE_NAME`, `SQL_QUERY`, `ERROR_DESC` ,`ERROR_DESC_JSON`) VALUES ('" &amp;$H222 &amp; "', '" &amp; $Y222 &amp; "', '" &amp; "select count(*) from "&amp; $Y222 &amp;" where " &amp; IF(COUNTIF(D:D,"IS_DESTROYED"),"IS_DESTROYED=0 and ","") &amp;   $D222 &amp; "={pid}" &amp; "', " &amp; "'【"&amp; $Z222 &amp;"】已使用此筆資料，故不可刪除!!'" &amp; ",'" &amp; SUBSTITUTE("{'zh_TW': '" &amp;  "【"&amp; $Z222 &amp;"】已使用此筆資料，不可刪除!!"  &amp; "' ,'en_US': '" &amp;  "Have used this information, it can not be deleted !!" &amp; "'  ,'zh_CN': '" &amp; "【"&amp; $Z222 &amp;"】已使用此筆資料，不可刪除!!" &amp; "' }", CHAR(39),CHAR(34))   &amp; "');","")</f>
        <v>#REF!</v>
      </c>
    </row>
    <row r="223" spans="28:28">
      <c r="AB223" s="4" t="e">
        <f>IF(#REF!="Y","INSERT INTO `sys_table_relation` (`TABLE_NAME`, `CHILD_TABLE_NAME`, `SQL_QUERY`, `ERROR_DESC` ,`ERROR_DESC_JSON`) VALUES ('" &amp;$H223 &amp; "', '" &amp; $Y223 &amp; "', '" &amp; "select count(*) from "&amp; $Y223 &amp;" where " &amp; IF(COUNTIF(D:D,"IS_DESTROYED"),"IS_DESTROYED=0 and ","") &amp;   $D223 &amp; "={pid}" &amp; "', " &amp; "'【"&amp; $Z223 &amp;"】已使用此筆資料，故不可刪除!!'" &amp; ",'" &amp; SUBSTITUTE("{'zh_TW': '" &amp;  "【"&amp; $Z223 &amp;"】已使用此筆資料，不可刪除!!"  &amp; "' ,'en_US': '" &amp;  "Have used this information, it can not be deleted !!" &amp; "'  ,'zh_CN': '" &amp; "【"&amp; $Z223 &amp;"】已使用此筆資料，不可刪除!!" &amp; "' }", CHAR(39),CHAR(34))   &amp; "');","")</f>
        <v>#REF!</v>
      </c>
    </row>
    <row r="224" spans="28:28">
      <c r="AB224" s="4" t="e">
        <f>IF(#REF!="Y","INSERT INTO `sys_table_relation` (`TABLE_NAME`, `CHILD_TABLE_NAME`, `SQL_QUERY`, `ERROR_DESC` ,`ERROR_DESC_JSON`) VALUES ('" &amp;$H224 &amp; "', '" &amp; $Y224 &amp; "', '" &amp; "select count(*) from "&amp; $Y224 &amp;" where " &amp; IF(COUNTIF(D:D,"IS_DESTROYED"),"IS_DESTROYED=0 and ","") &amp;   $D224 &amp; "={pid}" &amp; "', " &amp; "'【"&amp; $Z224 &amp;"】已使用此筆資料，故不可刪除!!'" &amp; ",'" &amp; SUBSTITUTE("{'zh_TW': '" &amp;  "【"&amp; $Z224 &amp;"】已使用此筆資料，不可刪除!!"  &amp; "' ,'en_US': '" &amp;  "Have used this information, it can not be deleted !!" &amp; "'  ,'zh_CN': '" &amp; "【"&amp; $Z224 &amp;"】已使用此筆資料，不可刪除!!" &amp; "' }", CHAR(39),CHAR(34))   &amp; "');","")</f>
        <v>#REF!</v>
      </c>
    </row>
    <row r="225" spans="28:28">
      <c r="AB225" s="4" t="e">
        <f>IF(#REF!="Y","INSERT INTO `sys_table_relation` (`TABLE_NAME`, `CHILD_TABLE_NAME`, `SQL_QUERY`, `ERROR_DESC` ,`ERROR_DESC_JSON`) VALUES ('" &amp;$H225 &amp; "', '" &amp; $Y225 &amp; "', '" &amp; "select count(*) from "&amp; $Y225 &amp;" where " &amp; IF(COUNTIF(D:D,"IS_DESTROYED"),"IS_DESTROYED=0 and ","") &amp;   $D225 &amp; "={pid}" &amp; "', " &amp; "'【"&amp; $Z225 &amp;"】已使用此筆資料，故不可刪除!!'" &amp; ",'" &amp; SUBSTITUTE("{'zh_TW': '" &amp;  "【"&amp; $Z225 &amp;"】已使用此筆資料，不可刪除!!"  &amp; "' ,'en_US': '" &amp;  "Have used this information, it can not be deleted !!" &amp; "'  ,'zh_CN': '" &amp; "【"&amp; $Z225 &amp;"】已使用此筆資料，不可刪除!!" &amp; "' }", CHAR(39),CHAR(34))   &amp; "');","")</f>
        <v>#REF!</v>
      </c>
    </row>
    <row r="226" spans="28:28">
      <c r="AB226" s="4" t="e">
        <f>IF(#REF!="Y","INSERT INTO `sys_table_relation` (`TABLE_NAME`, `CHILD_TABLE_NAME`, `SQL_QUERY`, `ERROR_DESC` ,`ERROR_DESC_JSON`) VALUES ('" &amp;$H226 &amp; "', '" &amp; $Y226 &amp; "', '" &amp; "select count(*) from "&amp; $Y226 &amp;" where " &amp; IF(COUNTIF(D:D,"IS_DESTROYED"),"IS_DESTROYED=0 and ","") &amp;   $D226 &amp; "={pid}" &amp; "', " &amp; "'【"&amp; $Z226 &amp;"】已使用此筆資料，故不可刪除!!'" &amp; ",'" &amp; SUBSTITUTE("{'zh_TW': '" &amp;  "【"&amp; $Z226 &amp;"】已使用此筆資料，不可刪除!!"  &amp; "' ,'en_US': '" &amp;  "Have used this information, it can not be deleted !!" &amp; "'  ,'zh_CN': '" &amp; "【"&amp; $Z226 &amp;"】已使用此筆資料，不可刪除!!" &amp; "' }", CHAR(39),CHAR(34))   &amp; "');","")</f>
        <v>#REF!</v>
      </c>
    </row>
    <row r="227" spans="28:28">
      <c r="AB227" s="4" t="e">
        <f>IF(#REF!="Y","INSERT INTO `sys_table_relation` (`TABLE_NAME`, `CHILD_TABLE_NAME`, `SQL_QUERY`, `ERROR_DESC` ,`ERROR_DESC_JSON`) VALUES ('" &amp;$H227 &amp; "', '" &amp; $Y227 &amp; "', '" &amp; "select count(*) from "&amp; $Y227 &amp;" where " &amp; IF(COUNTIF(D:D,"IS_DESTROYED"),"IS_DESTROYED=0 and ","") &amp;   $D227 &amp; "={pid}" &amp; "', " &amp; "'【"&amp; $Z227 &amp;"】已使用此筆資料，故不可刪除!!'" &amp; ",'" &amp; SUBSTITUTE("{'zh_TW': '" &amp;  "【"&amp; $Z227 &amp;"】已使用此筆資料，不可刪除!!"  &amp; "' ,'en_US': '" &amp;  "Have used this information, it can not be deleted !!" &amp; "'  ,'zh_CN': '" &amp; "【"&amp; $Z227 &amp;"】已使用此筆資料，不可刪除!!" &amp; "' }", CHAR(39),CHAR(34))   &amp; "');","")</f>
        <v>#REF!</v>
      </c>
    </row>
    <row r="228" spans="28:28">
      <c r="AB228" s="4" t="e">
        <f>IF(#REF!="Y","INSERT INTO `sys_table_relation` (`TABLE_NAME`, `CHILD_TABLE_NAME`, `SQL_QUERY`, `ERROR_DESC` ,`ERROR_DESC_JSON`) VALUES ('" &amp;$H228 &amp; "', '" &amp; $Y228 &amp; "', '" &amp; "select count(*) from "&amp; $Y228 &amp;" where " &amp; IF(COUNTIF(D:D,"IS_DESTROYED"),"IS_DESTROYED=0 and ","") &amp;   $D228 &amp; "={pid}" &amp; "', " &amp; "'【"&amp; $Z228 &amp;"】已使用此筆資料，故不可刪除!!'" &amp; ",'" &amp; SUBSTITUTE("{'zh_TW': '" &amp;  "【"&amp; $Z228 &amp;"】已使用此筆資料，不可刪除!!"  &amp; "' ,'en_US': '" &amp;  "Have used this information, it can not be deleted !!" &amp; "'  ,'zh_CN': '" &amp; "【"&amp; $Z228 &amp;"】已使用此筆資料，不可刪除!!" &amp; "' }", CHAR(39),CHAR(34))   &amp; "');","")</f>
        <v>#REF!</v>
      </c>
    </row>
    <row r="229" spans="28:28">
      <c r="AB229" s="4" t="e">
        <f>IF(#REF!="Y","INSERT INTO `sys_table_relation` (`TABLE_NAME`, `CHILD_TABLE_NAME`, `SQL_QUERY`, `ERROR_DESC` ,`ERROR_DESC_JSON`) VALUES ('" &amp;$H229 &amp; "', '" &amp; $Y229 &amp; "', '" &amp; "select count(*) from "&amp; $Y229 &amp;" where " &amp; IF(COUNTIF(D:D,"IS_DESTROYED"),"IS_DESTROYED=0 and ","") &amp;   $D229 &amp; "={pid}" &amp; "', " &amp; "'【"&amp; $Z229 &amp;"】已使用此筆資料，故不可刪除!!'" &amp; ",'" &amp; SUBSTITUTE("{'zh_TW': '" &amp;  "【"&amp; $Z229 &amp;"】已使用此筆資料，不可刪除!!"  &amp; "' ,'en_US': '" &amp;  "Have used this information, it can not be deleted !!" &amp; "'  ,'zh_CN': '" &amp; "【"&amp; $Z229 &amp;"】已使用此筆資料，不可刪除!!" &amp; "' }", CHAR(39),CHAR(34))   &amp; "');","")</f>
        <v>#REF!</v>
      </c>
    </row>
    <row r="230" spans="28:28">
      <c r="AB230" s="4" t="e">
        <f>IF(#REF!="Y","INSERT INTO `sys_table_relation` (`TABLE_NAME`, `CHILD_TABLE_NAME`, `SQL_QUERY`, `ERROR_DESC` ,`ERROR_DESC_JSON`) VALUES ('" &amp;$H230 &amp; "', '" &amp; $Y230 &amp; "', '" &amp; "select count(*) from "&amp; $Y230 &amp;" where " &amp; IF(COUNTIF(D:D,"IS_DESTROYED"),"IS_DESTROYED=0 and ","") &amp;   $D230 &amp; "={pid}" &amp; "', " &amp; "'【"&amp; $Z230 &amp;"】已使用此筆資料，故不可刪除!!'" &amp; ",'" &amp; SUBSTITUTE("{'zh_TW': '" &amp;  "【"&amp; $Z230 &amp;"】已使用此筆資料，不可刪除!!"  &amp; "' ,'en_US': '" &amp;  "Have used this information, it can not be deleted !!" &amp; "'  ,'zh_CN': '" &amp; "【"&amp; $Z230 &amp;"】已使用此筆資料，不可刪除!!" &amp; "' }", CHAR(39),CHAR(34))   &amp; "');","")</f>
        <v>#REF!</v>
      </c>
    </row>
    <row r="231" spans="28:28">
      <c r="AB231" s="4" t="e">
        <f>IF(#REF!="Y","INSERT INTO `sys_table_relation` (`TABLE_NAME`, `CHILD_TABLE_NAME`, `SQL_QUERY`, `ERROR_DESC` ,`ERROR_DESC_JSON`) VALUES ('" &amp;$H231 &amp; "', '" &amp; $Y231 &amp; "', '" &amp; "select count(*) from "&amp; $Y231 &amp;" where " &amp; IF(COUNTIF(D:D,"IS_DESTROYED"),"IS_DESTROYED=0 and ","") &amp;   $D231 &amp; "={pid}" &amp; "', " &amp; "'【"&amp; $Z231 &amp;"】已使用此筆資料，故不可刪除!!'" &amp; ",'" &amp; SUBSTITUTE("{'zh_TW': '" &amp;  "【"&amp; $Z231 &amp;"】已使用此筆資料，不可刪除!!"  &amp; "' ,'en_US': '" &amp;  "Have used this information, it can not be deleted !!" &amp; "'  ,'zh_CN': '" &amp; "【"&amp; $Z231 &amp;"】已使用此筆資料，不可刪除!!" &amp; "' }", CHAR(39),CHAR(34))   &amp; "');","")</f>
        <v>#REF!</v>
      </c>
    </row>
    <row r="232" spans="28:28">
      <c r="AB232" s="4" t="e">
        <f>IF(#REF!="Y","INSERT INTO `sys_table_relation` (`TABLE_NAME`, `CHILD_TABLE_NAME`, `SQL_QUERY`, `ERROR_DESC` ,`ERROR_DESC_JSON`) VALUES ('" &amp;$H232 &amp; "', '" &amp; $Y232 &amp; "', '" &amp; "select count(*) from "&amp; $Y232 &amp;" where " &amp; IF(COUNTIF(D:D,"IS_DESTROYED"),"IS_DESTROYED=0 and ","") &amp;   $D232 &amp; "={pid}" &amp; "', " &amp; "'【"&amp; $Z232 &amp;"】已使用此筆資料，故不可刪除!!'" &amp; ",'" &amp; SUBSTITUTE("{'zh_TW': '" &amp;  "【"&amp; $Z232 &amp;"】已使用此筆資料，不可刪除!!"  &amp; "' ,'en_US': '" &amp;  "Have used this information, it can not be deleted !!" &amp; "'  ,'zh_CN': '" &amp; "【"&amp; $Z232 &amp;"】已使用此筆資料，不可刪除!!" &amp; "' }", CHAR(39),CHAR(34))   &amp; "');","")</f>
        <v>#REF!</v>
      </c>
    </row>
    <row r="233" spans="28:28">
      <c r="AB233" s="4" t="e">
        <f>IF(#REF!="Y","INSERT INTO `sys_table_relation` (`TABLE_NAME`, `CHILD_TABLE_NAME`, `SQL_QUERY`, `ERROR_DESC` ,`ERROR_DESC_JSON`) VALUES ('" &amp;$H233 &amp; "', '" &amp; $Y233 &amp; "', '" &amp; "select count(*) from "&amp; $Y233 &amp;" where " &amp; IF(COUNTIF(D:D,"IS_DESTROYED"),"IS_DESTROYED=0 and ","") &amp;   $D233 &amp; "={pid}" &amp; "', " &amp; "'【"&amp; $Z233 &amp;"】已使用此筆資料，故不可刪除!!'" &amp; ",'" &amp; SUBSTITUTE("{'zh_TW': '" &amp;  "【"&amp; $Z233 &amp;"】已使用此筆資料，不可刪除!!"  &amp; "' ,'en_US': '" &amp;  "Have used this information, it can not be deleted !!" &amp; "'  ,'zh_CN': '" &amp; "【"&amp; $Z233 &amp;"】已使用此筆資料，不可刪除!!" &amp; "' }", CHAR(39),CHAR(34))   &amp; "');","")</f>
        <v>#REF!</v>
      </c>
    </row>
    <row r="234" spans="28:28">
      <c r="AB234" s="4" t="e">
        <f>IF(#REF!="Y","INSERT INTO `sys_table_relation` (`TABLE_NAME`, `CHILD_TABLE_NAME`, `SQL_QUERY`, `ERROR_DESC` ,`ERROR_DESC_JSON`) VALUES ('" &amp;$H234 &amp; "', '" &amp; $Y234 &amp; "', '" &amp; "select count(*) from "&amp; $Y234 &amp;" where " &amp; IF(COUNTIF(D:D,"IS_DESTROYED"),"IS_DESTROYED=0 and ","") &amp;   $D234 &amp; "={pid}" &amp; "', " &amp; "'【"&amp; $Z234 &amp;"】已使用此筆資料，故不可刪除!!'" &amp; ",'" &amp; SUBSTITUTE("{'zh_TW': '" &amp;  "【"&amp; $Z234 &amp;"】已使用此筆資料，不可刪除!!"  &amp; "' ,'en_US': '" &amp;  "Have used this information, it can not be deleted !!" &amp; "'  ,'zh_CN': '" &amp; "【"&amp; $Z234 &amp;"】已使用此筆資料，不可刪除!!" &amp; "' }", CHAR(39),CHAR(34))   &amp; "');","")</f>
        <v>#REF!</v>
      </c>
    </row>
    <row r="235" spans="28:28">
      <c r="AB235" s="4" t="e">
        <f>IF(#REF!="Y","INSERT INTO `sys_table_relation` (`TABLE_NAME`, `CHILD_TABLE_NAME`, `SQL_QUERY`, `ERROR_DESC` ,`ERROR_DESC_JSON`) VALUES ('" &amp;$H235 &amp; "', '" &amp; $Y235 &amp; "', '" &amp; "select count(*) from "&amp; $Y235 &amp;" where " &amp; IF(COUNTIF(D:D,"IS_DESTROYED"),"IS_DESTROYED=0 and ","") &amp;   $D235 &amp; "={pid}" &amp; "', " &amp; "'【"&amp; $Z235 &amp;"】已使用此筆資料，故不可刪除!!'" &amp; ",'" &amp; SUBSTITUTE("{'zh_TW': '" &amp;  "【"&amp; $Z235 &amp;"】已使用此筆資料，不可刪除!!"  &amp; "' ,'en_US': '" &amp;  "Have used this information, it can not be deleted !!" &amp; "'  ,'zh_CN': '" &amp; "【"&amp; $Z235 &amp;"】已使用此筆資料，不可刪除!!" &amp; "' }", CHAR(39),CHAR(34))   &amp; "');","")</f>
        <v>#REF!</v>
      </c>
    </row>
    <row r="236" spans="28:28">
      <c r="AB236" s="4" t="e">
        <f>IF(#REF!="Y","INSERT INTO `sys_table_relation` (`TABLE_NAME`, `CHILD_TABLE_NAME`, `SQL_QUERY`, `ERROR_DESC` ,`ERROR_DESC_JSON`) VALUES ('" &amp;$H236 &amp; "', '" &amp; $Y236 &amp; "', '" &amp; "select count(*) from "&amp; $Y236 &amp;" where " &amp; IF(COUNTIF(D:D,"IS_DESTROYED"),"IS_DESTROYED=0 and ","") &amp;   $D236 &amp; "={pid}" &amp; "', " &amp; "'【"&amp; $Z236 &amp;"】已使用此筆資料，故不可刪除!!'" &amp; ",'" &amp; SUBSTITUTE("{'zh_TW': '" &amp;  "【"&amp; $Z236 &amp;"】已使用此筆資料，不可刪除!!"  &amp; "' ,'en_US': '" &amp;  "Have used this information, it can not be deleted !!" &amp; "'  ,'zh_CN': '" &amp; "【"&amp; $Z236 &amp;"】已使用此筆資料，不可刪除!!" &amp; "' }", CHAR(39),CHAR(34))   &amp; "');","")</f>
        <v>#REF!</v>
      </c>
    </row>
    <row r="237" spans="28:28">
      <c r="AB237" s="4" t="e">
        <f>IF(#REF!="Y","INSERT INTO `sys_table_relation` (`TABLE_NAME`, `CHILD_TABLE_NAME`, `SQL_QUERY`, `ERROR_DESC` ,`ERROR_DESC_JSON`) VALUES ('" &amp;$H237 &amp; "', '" &amp; $Y237 &amp; "', '" &amp; "select count(*) from "&amp; $Y237 &amp;" where " &amp; IF(COUNTIF(D:D,"IS_DESTROYED"),"IS_DESTROYED=0 and ","") &amp;   $D237 &amp; "={pid}" &amp; "', " &amp; "'【"&amp; $Z237 &amp;"】已使用此筆資料，故不可刪除!!'" &amp; ",'" &amp; SUBSTITUTE("{'zh_TW': '" &amp;  "【"&amp; $Z237 &amp;"】已使用此筆資料，不可刪除!!"  &amp; "' ,'en_US': '" &amp;  "Have used this information, it can not be deleted !!" &amp; "'  ,'zh_CN': '" &amp; "【"&amp; $Z237 &amp;"】已使用此筆資料，不可刪除!!" &amp; "' }", CHAR(39),CHAR(34))   &amp; "');","")</f>
        <v>#REF!</v>
      </c>
    </row>
    <row r="238" spans="28:28">
      <c r="AB238" s="4" t="e">
        <f>IF(#REF!="Y","INSERT INTO `sys_table_relation` (`TABLE_NAME`, `CHILD_TABLE_NAME`, `SQL_QUERY`, `ERROR_DESC` ,`ERROR_DESC_JSON`) VALUES ('" &amp;$H238 &amp; "', '" &amp; $Y238 &amp; "', '" &amp; "select count(*) from "&amp; $Y238 &amp;" where " &amp; IF(COUNTIF(D:D,"IS_DESTROYED"),"IS_DESTROYED=0 and ","") &amp;   $D238 &amp; "={pid}" &amp; "', " &amp; "'【"&amp; $Z238 &amp;"】已使用此筆資料，故不可刪除!!'" &amp; ",'" &amp; SUBSTITUTE("{'zh_TW': '" &amp;  "【"&amp; $Z238 &amp;"】已使用此筆資料，不可刪除!!"  &amp; "' ,'en_US': '" &amp;  "Have used this information, it can not be deleted !!" &amp; "'  ,'zh_CN': '" &amp; "【"&amp; $Z238 &amp;"】已使用此筆資料，不可刪除!!" &amp; "' }", CHAR(39),CHAR(34))   &amp; "');","")</f>
        <v>#REF!</v>
      </c>
    </row>
    <row r="239" spans="28:28">
      <c r="AB239" s="4" t="e">
        <f>IF(#REF!="Y","INSERT INTO `sys_table_relation` (`TABLE_NAME`, `CHILD_TABLE_NAME`, `SQL_QUERY`, `ERROR_DESC` ,`ERROR_DESC_JSON`) VALUES ('" &amp;$H239 &amp; "', '" &amp; $Y239 &amp; "', '" &amp; "select count(*) from "&amp; $Y239 &amp;" where " &amp; IF(COUNTIF(D:D,"IS_DESTROYED"),"IS_DESTROYED=0 and ","") &amp;   $D239 &amp; "={pid}" &amp; "', " &amp; "'【"&amp; $Z239 &amp;"】已使用此筆資料，故不可刪除!!'" &amp; ",'" &amp; SUBSTITUTE("{'zh_TW': '" &amp;  "【"&amp; $Z239 &amp;"】已使用此筆資料，不可刪除!!"  &amp; "' ,'en_US': '" &amp;  "Have used this information, it can not be deleted !!" &amp; "'  ,'zh_CN': '" &amp; "【"&amp; $Z239 &amp;"】已使用此筆資料，不可刪除!!" &amp; "' }", CHAR(39),CHAR(34))   &amp; "');","")</f>
        <v>#REF!</v>
      </c>
    </row>
    <row r="240" spans="28:28">
      <c r="AB240" s="4" t="e">
        <f>IF(#REF!="Y","INSERT INTO `sys_table_relation` (`TABLE_NAME`, `CHILD_TABLE_NAME`, `SQL_QUERY`, `ERROR_DESC` ,`ERROR_DESC_JSON`) VALUES ('" &amp;$H240 &amp; "', '" &amp; $Y240 &amp; "', '" &amp; "select count(*) from "&amp; $Y240 &amp;" where " &amp; IF(COUNTIF(D:D,"IS_DESTROYED"),"IS_DESTROYED=0 and ","") &amp;   $D240 &amp; "={pid}" &amp; "', " &amp; "'【"&amp; $Z240 &amp;"】已使用此筆資料，故不可刪除!!'" &amp; ",'" &amp; SUBSTITUTE("{'zh_TW': '" &amp;  "【"&amp; $Z240 &amp;"】已使用此筆資料，不可刪除!!"  &amp; "' ,'en_US': '" &amp;  "Have used this information, it can not be deleted !!" &amp; "'  ,'zh_CN': '" &amp; "【"&amp; $Z240 &amp;"】已使用此筆資料，不可刪除!!" &amp; "' }", CHAR(39),CHAR(34))   &amp; "');","")</f>
        <v>#REF!</v>
      </c>
    </row>
    <row r="241" spans="28:28">
      <c r="AB241" s="4" t="e">
        <f>IF(#REF!="Y","INSERT INTO `sys_table_relation` (`TABLE_NAME`, `CHILD_TABLE_NAME`, `SQL_QUERY`, `ERROR_DESC` ,`ERROR_DESC_JSON`) VALUES ('" &amp;$H241 &amp; "', '" &amp; $Y241 &amp; "', '" &amp; "select count(*) from "&amp; $Y241 &amp;" where " &amp; IF(COUNTIF(D:D,"IS_DESTROYED"),"IS_DESTROYED=0 and ","") &amp;   $D241 &amp; "={pid}" &amp; "', " &amp; "'【"&amp; $Z241 &amp;"】已使用此筆資料，故不可刪除!!'" &amp; ",'" &amp; SUBSTITUTE("{'zh_TW': '" &amp;  "【"&amp; $Z241 &amp;"】已使用此筆資料，不可刪除!!"  &amp; "' ,'en_US': '" &amp;  "Have used this information, it can not be deleted !!" &amp; "'  ,'zh_CN': '" &amp; "【"&amp; $Z241 &amp;"】已使用此筆資料，不可刪除!!" &amp; "' }", CHAR(39),CHAR(34))   &amp; "');","")</f>
        <v>#REF!</v>
      </c>
    </row>
    <row r="242" spans="28:28">
      <c r="AB242" s="4" t="e">
        <f>IF(#REF!="Y","INSERT INTO `sys_table_relation` (`TABLE_NAME`, `CHILD_TABLE_NAME`, `SQL_QUERY`, `ERROR_DESC` ,`ERROR_DESC_JSON`) VALUES ('" &amp;$H242 &amp; "', '" &amp; $Y242 &amp; "', '" &amp; "select count(*) from "&amp; $Y242 &amp;" where " &amp; IF(COUNTIF(D:D,"IS_DESTROYED"),"IS_DESTROYED=0 and ","") &amp;   $D242 &amp; "={pid}" &amp; "', " &amp; "'【"&amp; $Z242 &amp;"】已使用此筆資料，故不可刪除!!'" &amp; ",'" &amp; SUBSTITUTE("{'zh_TW': '" &amp;  "【"&amp; $Z242 &amp;"】已使用此筆資料，不可刪除!!"  &amp; "' ,'en_US': '" &amp;  "Have used this information, it can not be deleted !!" &amp; "'  ,'zh_CN': '" &amp; "【"&amp; $Z242 &amp;"】已使用此筆資料，不可刪除!!" &amp; "' }", CHAR(39),CHAR(34))   &amp; "');","")</f>
        <v>#REF!</v>
      </c>
    </row>
    <row r="243" spans="28:28">
      <c r="AB243" s="4" t="e">
        <f>IF(#REF!="Y","INSERT INTO `sys_table_relation` (`TABLE_NAME`, `CHILD_TABLE_NAME`, `SQL_QUERY`, `ERROR_DESC` ,`ERROR_DESC_JSON`) VALUES ('" &amp;$H243 &amp; "', '" &amp; $Y243 &amp; "', '" &amp; "select count(*) from "&amp; $Y243 &amp;" where " &amp; IF(COUNTIF(D:D,"IS_DESTROYED"),"IS_DESTROYED=0 and ","") &amp;   $D243 &amp; "={pid}" &amp; "', " &amp; "'【"&amp; $Z243 &amp;"】已使用此筆資料，故不可刪除!!'" &amp; ",'" &amp; SUBSTITUTE("{'zh_TW': '" &amp;  "【"&amp; $Z243 &amp;"】已使用此筆資料，不可刪除!!"  &amp; "' ,'en_US': '" &amp;  "Have used this information, it can not be deleted !!" &amp; "'  ,'zh_CN': '" &amp; "【"&amp; $Z243 &amp;"】已使用此筆資料，不可刪除!!" &amp; "' }", CHAR(39),CHAR(34))   &amp; "');","")</f>
        <v>#REF!</v>
      </c>
    </row>
    <row r="244" spans="28:28">
      <c r="AB244" s="4" t="e">
        <f>IF(#REF!="Y","INSERT INTO `sys_table_relation` (`TABLE_NAME`, `CHILD_TABLE_NAME`, `SQL_QUERY`, `ERROR_DESC` ,`ERROR_DESC_JSON`) VALUES ('" &amp;$H244 &amp; "', '" &amp; $Y244 &amp; "', '" &amp; "select count(*) from "&amp; $Y244 &amp;" where " &amp; IF(COUNTIF(D:D,"IS_DESTROYED"),"IS_DESTROYED=0 and ","") &amp;   $D244 &amp; "={pid}" &amp; "', " &amp; "'【"&amp; $Z244 &amp;"】已使用此筆資料，故不可刪除!!'" &amp; ",'" &amp; SUBSTITUTE("{'zh_TW': '" &amp;  "【"&amp; $Z244 &amp;"】已使用此筆資料，不可刪除!!"  &amp; "' ,'en_US': '" &amp;  "Have used this information, it can not be deleted !!" &amp; "'  ,'zh_CN': '" &amp; "【"&amp; $Z244 &amp;"】已使用此筆資料，不可刪除!!" &amp; "' }", CHAR(39),CHAR(34))   &amp; "');","")</f>
        <v>#REF!</v>
      </c>
    </row>
    <row r="245" spans="28:28">
      <c r="AB245" s="4" t="e">
        <f>IF(#REF!="Y","INSERT INTO `sys_table_relation` (`TABLE_NAME`, `CHILD_TABLE_NAME`, `SQL_QUERY`, `ERROR_DESC` ,`ERROR_DESC_JSON`) VALUES ('" &amp;$H245 &amp; "', '" &amp; $Y245 &amp; "', '" &amp; "select count(*) from "&amp; $Y245 &amp;" where " &amp; IF(COUNTIF(D:D,"IS_DESTROYED"),"IS_DESTROYED=0 and ","") &amp;   $D245 &amp; "={pid}" &amp; "', " &amp; "'【"&amp; $Z245 &amp;"】已使用此筆資料，故不可刪除!!'" &amp; ",'" &amp; SUBSTITUTE("{'zh_TW': '" &amp;  "【"&amp; $Z245 &amp;"】已使用此筆資料，不可刪除!!"  &amp; "' ,'en_US': '" &amp;  "Have used this information, it can not be deleted !!" &amp; "'  ,'zh_CN': '" &amp; "【"&amp; $Z245 &amp;"】已使用此筆資料，不可刪除!!" &amp; "' }", CHAR(39),CHAR(34))   &amp; "');","")</f>
        <v>#REF!</v>
      </c>
    </row>
    <row r="246" spans="28:28">
      <c r="AB246" s="4" t="e">
        <f>IF(#REF!="Y","INSERT INTO `sys_table_relation` (`TABLE_NAME`, `CHILD_TABLE_NAME`, `SQL_QUERY`, `ERROR_DESC` ,`ERROR_DESC_JSON`) VALUES ('" &amp;$H246 &amp; "', '" &amp; $Y246 &amp; "', '" &amp; "select count(*) from "&amp; $Y246 &amp;" where " &amp; IF(COUNTIF(D:D,"IS_DESTROYED"),"IS_DESTROYED=0 and ","") &amp;   $D246 &amp; "={pid}" &amp; "', " &amp; "'【"&amp; $Z246 &amp;"】已使用此筆資料，故不可刪除!!'" &amp; ",'" &amp; SUBSTITUTE("{'zh_TW': '" &amp;  "【"&amp; $Z246 &amp;"】已使用此筆資料，不可刪除!!"  &amp; "' ,'en_US': '" &amp;  "Have used this information, it can not be deleted !!" &amp; "'  ,'zh_CN': '" &amp; "【"&amp; $Z246 &amp;"】已使用此筆資料，不可刪除!!" &amp; "' }", CHAR(39),CHAR(34))   &amp; "');","")</f>
        <v>#REF!</v>
      </c>
    </row>
    <row r="247" spans="28:28">
      <c r="AB247" s="4" t="e">
        <f>IF(#REF!="Y","INSERT INTO `sys_table_relation` (`TABLE_NAME`, `CHILD_TABLE_NAME`, `SQL_QUERY`, `ERROR_DESC` ,`ERROR_DESC_JSON`) VALUES ('" &amp;$H247 &amp; "', '" &amp; $Y247 &amp; "', '" &amp; "select count(*) from "&amp; $Y247 &amp;" where " &amp; IF(COUNTIF(D:D,"IS_DESTROYED"),"IS_DESTROYED=0 and ","") &amp;   $D247 &amp; "={pid}" &amp; "', " &amp; "'【"&amp; $Z247 &amp;"】已使用此筆資料，故不可刪除!!'" &amp; ",'" &amp; SUBSTITUTE("{'zh_TW': '" &amp;  "【"&amp; $Z247 &amp;"】已使用此筆資料，不可刪除!!"  &amp; "' ,'en_US': '" &amp;  "Have used this information, it can not be deleted !!" &amp; "'  ,'zh_CN': '" &amp; "【"&amp; $Z247 &amp;"】已使用此筆資料，不可刪除!!" &amp; "' }", CHAR(39),CHAR(34))   &amp; "');","")</f>
        <v>#REF!</v>
      </c>
    </row>
    <row r="248" spans="28:28">
      <c r="AB248" s="4" t="e">
        <f>IF(#REF!="Y","INSERT INTO `sys_table_relation` (`TABLE_NAME`, `CHILD_TABLE_NAME`, `SQL_QUERY`, `ERROR_DESC` ,`ERROR_DESC_JSON`) VALUES ('" &amp;$H248 &amp; "', '" &amp; $Y248 &amp; "', '" &amp; "select count(*) from "&amp; $Y248 &amp;" where " &amp; IF(COUNTIF(D:D,"IS_DESTROYED"),"IS_DESTROYED=0 and ","") &amp;   $D248 &amp; "={pid}" &amp; "', " &amp; "'【"&amp; $Z248 &amp;"】已使用此筆資料，故不可刪除!!'" &amp; ",'" &amp; SUBSTITUTE("{'zh_TW': '" &amp;  "【"&amp; $Z248 &amp;"】已使用此筆資料，不可刪除!!"  &amp; "' ,'en_US': '" &amp;  "Have used this information, it can not be deleted !!" &amp; "'  ,'zh_CN': '" &amp; "【"&amp; $Z248 &amp;"】已使用此筆資料，不可刪除!!" &amp; "' }", CHAR(39),CHAR(34))   &amp; "');","")</f>
        <v>#REF!</v>
      </c>
    </row>
    <row r="249" spans="28:28">
      <c r="AB249" s="4" t="e">
        <f>IF(#REF!="Y","INSERT INTO `sys_table_relation` (`TABLE_NAME`, `CHILD_TABLE_NAME`, `SQL_QUERY`, `ERROR_DESC` ,`ERROR_DESC_JSON`) VALUES ('" &amp;$H249 &amp; "', '" &amp; $Y249 &amp; "', '" &amp; "select count(*) from "&amp; $Y249 &amp;" where " &amp; IF(COUNTIF(D:D,"IS_DESTROYED"),"IS_DESTROYED=0 and ","") &amp;   $D249 &amp; "={pid}" &amp; "', " &amp; "'【"&amp; $Z249 &amp;"】已使用此筆資料，故不可刪除!!'" &amp; ",'" &amp; SUBSTITUTE("{'zh_TW': '" &amp;  "【"&amp; $Z249 &amp;"】已使用此筆資料，不可刪除!!"  &amp; "' ,'en_US': '" &amp;  "Have used this information, it can not be deleted !!" &amp; "'  ,'zh_CN': '" &amp; "【"&amp; $Z249 &amp;"】已使用此筆資料，不可刪除!!" &amp; "' }", CHAR(39),CHAR(34))   &amp; "');","")</f>
        <v>#REF!</v>
      </c>
    </row>
    <row r="250" spans="28:28">
      <c r="AB250" s="4" t="e">
        <f>IF(#REF!="Y","INSERT INTO `sys_table_relation` (`TABLE_NAME`, `CHILD_TABLE_NAME`, `SQL_QUERY`, `ERROR_DESC` ,`ERROR_DESC_JSON`) VALUES ('" &amp;$H250 &amp; "', '" &amp; $Y250 &amp; "', '" &amp; "select count(*) from "&amp; $Y250 &amp;" where " &amp; IF(COUNTIF(D:D,"IS_DESTROYED"),"IS_DESTROYED=0 and ","") &amp;   $D250 &amp; "={pid}" &amp; "', " &amp; "'【"&amp; $Z250 &amp;"】已使用此筆資料，故不可刪除!!'" &amp; ",'" &amp; SUBSTITUTE("{'zh_TW': '" &amp;  "【"&amp; $Z250 &amp;"】已使用此筆資料，不可刪除!!"  &amp; "' ,'en_US': '" &amp;  "Have used this information, it can not be deleted !!" &amp; "'  ,'zh_CN': '" &amp; "【"&amp; $Z250 &amp;"】已使用此筆資料，不可刪除!!" &amp; "' }", CHAR(39),CHAR(34))   &amp; "');","")</f>
        <v>#REF!</v>
      </c>
    </row>
    <row r="251" spans="28:28">
      <c r="AB251" s="4" t="e">
        <f>IF(#REF!="Y","INSERT INTO `sys_table_relation` (`TABLE_NAME`, `CHILD_TABLE_NAME`, `SQL_QUERY`, `ERROR_DESC` ,`ERROR_DESC_JSON`) VALUES ('" &amp;$H251 &amp; "', '" &amp; $Y251 &amp; "', '" &amp; "select count(*) from "&amp; $Y251 &amp;" where " &amp; IF(COUNTIF(D:D,"IS_DESTROYED"),"IS_DESTROYED=0 and ","") &amp;   $D251 &amp; "={pid}" &amp; "', " &amp; "'【"&amp; $Z251 &amp;"】已使用此筆資料，故不可刪除!!'" &amp; ",'" &amp; SUBSTITUTE("{'zh_TW': '" &amp;  "【"&amp; $Z251 &amp;"】已使用此筆資料，不可刪除!!"  &amp; "' ,'en_US': '" &amp;  "Have used this information, it can not be deleted !!" &amp; "'  ,'zh_CN': '" &amp; "【"&amp; $Z251 &amp;"】已使用此筆資料，不可刪除!!" &amp; "' }", CHAR(39),CHAR(34))   &amp; "');","")</f>
        <v>#REF!</v>
      </c>
    </row>
    <row r="252" spans="28:28">
      <c r="AB252" s="4" t="e">
        <f>IF(#REF!="Y","INSERT INTO `sys_table_relation` (`TABLE_NAME`, `CHILD_TABLE_NAME`, `SQL_QUERY`, `ERROR_DESC` ,`ERROR_DESC_JSON`) VALUES ('" &amp;$H252 &amp; "', '" &amp; $Y252 &amp; "', '" &amp; "select count(*) from "&amp; $Y252 &amp;" where " &amp; IF(COUNTIF(D:D,"IS_DESTROYED"),"IS_DESTROYED=0 and ","") &amp;   $D252 &amp; "={pid}" &amp; "', " &amp; "'【"&amp; $Z252 &amp;"】已使用此筆資料，故不可刪除!!'" &amp; ",'" &amp; SUBSTITUTE("{'zh_TW': '" &amp;  "【"&amp; $Z252 &amp;"】已使用此筆資料，不可刪除!!"  &amp; "' ,'en_US': '" &amp;  "Have used this information, it can not be deleted !!" &amp; "'  ,'zh_CN': '" &amp; "【"&amp; $Z252 &amp;"】已使用此筆資料，不可刪除!!" &amp; "' }", CHAR(39),CHAR(34))   &amp; "');","")</f>
        <v>#REF!</v>
      </c>
    </row>
    <row r="253" spans="28:28">
      <c r="AB253" s="4" t="e">
        <f>IF(#REF!="Y","INSERT INTO `sys_table_relation` (`TABLE_NAME`, `CHILD_TABLE_NAME`, `SQL_QUERY`, `ERROR_DESC` ,`ERROR_DESC_JSON`) VALUES ('" &amp;$H253 &amp; "', '" &amp; $Y253 &amp; "', '" &amp; "select count(*) from "&amp; $Y253 &amp;" where " &amp; IF(COUNTIF(D:D,"IS_DESTROYED"),"IS_DESTROYED=0 and ","") &amp;   $D253 &amp; "={pid}" &amp; "', " &amp; "'【"&amp; $Z253 &amp;"】已使用此筆資料，故不可刪除!!'" &amp; ",'" &amp; SUBSTITUTE("{'zh_TW': '" &amp;  "【"&amp; $Z253 &amp;"】已使用此筆資料，不可刪除!!"  &amp; "' ,'en_US': '" &amp;  "Have used this information, it can not be deleted !!" &amp; "'  ,'zh_CN': '" &amp; "【"&amp; $Z253 &amp;"】已使用此筆資料，不可刪除!!" &amp; "' }", CHAR(39),CHAR(34))   &amp; "');","")</f>
        <v>#REF!</v>
      </c>
    </row>
    <row r="254" spans="28:28">
      <c r="AB254" s="4" t="e">
        <f>IF(#REF!="Y","INSERT INTO `sys_table_relation` (`TABLE_NAME`, `CHILD_TABLE_NAME`, `SQL_QUERY`, `ERROR_DESC` ,`ERROR_DESC_JSON`) VALUES ('" &amp;$H254 &amp; "', '" &amp; $Y254 &amp; "', '" &amp; "select count(*) from "&amp; $Y254 &amp;" where " &amp; IF(COUNTIF(D:D,"IS_DESTROYED"),"IS_DESTROYED=0 and ","") &amp;   $D254 &amp; "={pid}" &amp; "', " &amp; "'【"&amp; $Z254 &amp;"】已使用此筆資料，故不可刪除!!'" &amp; ",'" &amp; SUBSTITUTE("{'zh_TW': '" &amp;  "【"&amp; $Z254 &amp;"】已使用此筆資料，不可刪除!!"  &amp; "' ,'en_US': '" &amp;  "Have used this information, it can not be deleted !!" &amp; "'  ,'zh_CN': '" &amp; "【"&amp; $Z254 &amp;"】已使用此筆資料，不可刪除!!" &amp; "' }", CHAR(39),CHAR(34))   &amp; "');","")</f>
        <v>#REF!</v>
      </c>
    </row>
    <row r="255" spans="28:28">
      <c r="AB255" s="4" t="e">
        <f>IF(#REF!="Y","INSERT INTO `sys_table_relation` (`TABLE_NAME`, `CHILD_TABLE_NAME`, `SQL_QUERY`, `ERROR_DESC` ,`ERROR_DESC_JSON`) VALUES ('" &amp;$H255 &amp; "', '" &amp; $Y255 &amp; "', '" &amp; "select count(*) from "&amp; $Y255 &amp;" where " &amp; IF(COUNTIF(D:D,"IS_DESTROYED"),"IS_DESTROYED=0 and ","") &amp;   $D255 &amp; "={pid}" &amp; "', " &amp; "'【"&amp; $Z255 &amp;"】已使用此筆資料，故不可刪除!!'" &amp; ",'" &amp; SUBSTITUTE("{'zh_TW': '" &amp;  "【"&amp; $Z255 &amp;"】已使用此筆資料，不可刪除!!"  &amp; "' ,'en_US': '" &amp;  "Have used this information, it can not be deleted !!" &amp; "'  ,'zh_CN': '" &amp; "【"&amp; $Z255 &amp;"】已使用此筆資料，不可刪除!!" &amp; "' }", CHAR(39),CHAR(34))   &amp; "');","")</f>
        <v>#REF!</v>
      </c>
    </row>
    <row r="256" spans="28:28">
      <c r="AB256" s="4" t="e">
        <f>IF(#REF!="Y","INSERT INTO `sys_table_relation` (`TABLE_NAME`, `CHILD_TABLE_NAME`, `SQL_QUERY`, `ERROR_DESC` ,`ERROR_DESC_JSON`) VALUES ('" &amp;$H256 &amp; "', '" &amp; $Y256 &amp; "', '" &amp; "select count(*) from "&amp; $Y256 &amp;" where " &amp; IF(COUNTIF(D:D,"IS_DESTROYED"),"IS_DESTROYED=0 and ","") &amp;   $D256 &amp; "={pid}" &amp; "', " &amp; "'【"&amp; $Z256 &amp;"】已使用此筆資料，故不可刪除!!'" &amp; ",'" &amp; SUBSTITUTE("{'zh_TW': '" &amp;  "【"&amp; $Z256 &amp;"】已使用此筆資料，不可刪除!!"  &amp; "' ,'en_US': '" &amp;  "Have used this information, it can not be deleted !!" &amp; "'  ,'zh_CN': '" &amp; "【"&amp; $Z256 &amp;"】已使用此筆資料，不可刪除!!" &amp; "' }", CHAR(39),CHAR(34))   &amp; "');","")</f>
        <v>#REF!</v>
      </c>
    </row>
    <row r="257" spans="28:28">
      <c r="AB257" s="4" t="e">
        <f>IF(#REF!="Y","INSERT INTO `sys_table_relation` (`TABLE_NAME`, `CHILD_TABLE_NAME`, `SQL_QUERY`, `ERROR_DESC` ,`ERROR_DESC_JSON`) VALUES ('" &amp;$H257 &amp; "', '" &amp; $Y257 &amp; "', '" &amp; "select count(*) from "&amp; $Y257 &amp;" where " &amp; IF(COUNTIF(D:D,"IS_DESTROYED"),"IS_DESTROYED=0 and ","") &amp;   $D257 &amp; "={pid}" &amp; "', " &amp; "'【"&amp; $Z257 &amp;"】已使用此筆資料，故不可刪除!!'" &amp; ",'" &amp; SUBSTITUTE("{'zh_TW': '" &amp;  "【"&amp; $Z257 &amp;"】已使用此筆資料，不可刪除!!"  &amp; "' ,'en_US': '" &amp;  "Have used this information, it can not be deleted !!" &amp; "'  ,'zh_CN': '" &amp; "【"&amp; $Z257 &amp;"】已使用此筆資料，不可刪除!!" &amp; "' }", CHAR(39),CHAR(34))   &amp; "');","")</f>
        <v>#REF!</v>
      </c>
    </row>
    <row r="258" spans="28:28">
      <c r="AB258" s="4" t="e">
        <f>IF(#REF!="Y","INSERT INTO `sys_table_relation` (`TABLE_NAME`, `CHILD_TABLE_NAME`, `SQL_QUERY`, `ERROR_DESC` ,`ERROR_DESC_JSON`) VALUES ('" &amp;$H258 &amp; "', '" &amp; $Y258 &amp; "', '" &amp; "select count(*) from "&amp; $Y258 &amp;" where " &amp; IF(COUNTIF(D:D,"IS_DESTROYED"),"IS_DESTROYED=0 and ","") &amp;   $D258 &amp; "={pid}" &amp; "', " &amp; "'【"&amp; $Z258 &amp;"】已使用此筆資料，故不可刪除!!'" &amp; ",'" &amp; SUBSTITUTE("{'zh_TW': '" &amp;  "【"&amp; $Z258 &amp;"】已使用此筆資料，不可刪除!!"  &amp; "' ,'en_US': '" &amp;  "Have used this information, it can not be deleted !!" &amp; "'  ,'zh_CN': '" &amp; "【"&amp; $Z258 &amp;"】已使用此筆資料，不可刪除!!" &amp; "' }", CHAR(39),CHAR(34))   &amp; "');","")</f>
        <v>#REF!</v>
      </c>
    </row>
    <row r="259" spans="28:28">
      <c r="AB259" s="4" t="e">
        <f>IF(#REF!="Y","INSERT INTO `sys_table_relation` (`TABLE_NAME`, `CHILD_TABLE_NAME`, `SQL_QUERY`, `ERROR_DESC` ,`ERROR_DESC_JSON`) VALUES ('" &amp;$H259 &amp; "', '" &amp; $Y259 &amp; "', '" &amp; "select count(*) from "&amp; $Y259 &amp;" where " &amp; IF(COUNTIF(D:D,"IS_DESTROYED"),"IS_DESTROYED=0 and ","") &amp;   $D259 &amp; "={pid}" &amp; "', " &amp; "'【"&amp; $Z259 &amp;"】已使用此筆資料，故不可刪除!!'" &amp; ",'" &amp; SUBSTITUTE("{'zh_TW': '" &amp;  "【"&amp; $Z259 &amp;"】已使用此筆資料，不可刪除!!"  &amp; "' ,'en_US': '" &amp;  "Have used this information, it can not be deleted !!" &amp; "'  ,'zh_CN': '" &amp; "【"&amp; $Z259 &amp;"】已使用此筆資料，不可刪除!!" &amp; "' }", CHAR(39),CHAR(34))   &amp; "');","")</f>
        <v>#REF!</v>
      </c>
    </row>
    <row r="260" spans="28:28">
      <c r="AB260" s="4" t="e">
        <f>IF(#REF!="Y","INSERT INTO `sys_table_relation` (`TABLE_NAME`, `CHILD_TABLE_NAME`, `SQL_QUERY`, `ERROR_DESC` ,`ERROR_DESC_JSON`) VALUES ('" &amp;$H260 &amp; "', '" &amp; $Y260 &amp; "', '" &amp; "select count(*) from "&amp; $Y260 &amp;" where " &amp; IF(COUNTIF(D:D,"IS_DESTROYED"),"IS_DESTROYED=0 and ","") &amp;   $D260 &amp; "={pid}" &amp; "', " &amp; "'【"&amp; $Z260 &amp;"】已使用此筆資料，故不可刪除!!'" &amp; ",'" &amp; SUBSTITUTE("{'zh_TW': '" &amp;  "【"&amp; $Z260 &amp;"】已使用此筆資料，不可刪除!!"  &amp; "' ,'en_US': '" &amp;  "Have used this information, it can not be deleted !!" &amp; "'  ,'zh_CN': '" &amp; "【"&amp; $Z260 &amp;"】已使用此筆資料，不可刪除!!" &amp; "' }", CHAR(39),CHAR(34))   &amp; "');","")</f>
        <v>#REF!</v>
      </c>
    </row>
    <row r="261" spans="28:28">
      <c r="AB261" s="4" t="e">
        <f>IF(#REF!="Y","INSERT INTO `sys_table_relation` (`TABLE_NAME`, `CHILD_TABLE_NAME`, `SQL_QUERY`, `ERROR_DESC` ,`ERROR_DESC_JSON`) VALUES ('" &amp;$H261 &amp; "', '" &amp; $Y261 &amp; "', '" &amp; "select count(*) from "&amp; $Y261 &amp;" where " &amp; IF(COUNTIF(D:D,"IS_DESTROYED"),"IS_DESTROYED=0 and ","") &amp;   $D261 &amp; "={pid}" &amp; "', " &amp; "'【"&amp; $Z261 &amp;"】已使用此筆資料，故不可刪除!!'" &amp; ",'" &amp; SUBSTITUTE("{'zh_TW': '" &amp;  "【"&amp; $Z261 &amp;"】已使用此筆資料，不可刪除!!"  &amp; "' ,'en_US': '" &amp;  "Have used this information, it can not be deleted !!" &amp; "'  ,'zh_CN': '" &amp; "【"&amp; $Z261 &amp;"】已使用此筆資料，不可刪除!!" &amp; "' }", CHAR(39),CHAR(34))   &amp; "');","")</f>
        <v>#REF!</v>
      </c>
    </row>
    <row r="262" spans="28:28">
      <c r="AB262" s="4" t="e">
        <f>IF(#REF!="Y","INSERT INTO `sys_table_relation` (`TABLE_NAME`, `CHILD_TABLE_NAME`, `SQL_QUERY`, `ERROR_DESC` ,`ERROR_DESC_JSON`) VALUES ('" &amp;$H262 &amp; "', '" &amp; $Y262 &amp; "', '" &amp; "select count(*) from "&amp; $Y262 &amp;" where " &amp; IF(COUNTIF(D:D,"IS_DESTROYED"),"IS_DESTROYED=0 and ","") &amp;   $D262 &amp; "={pid}" &amp; "', " &amp; "'【"&amp; $Z262 &amp;"】已使用此筆資料，故不可刪除!!'" &amp; ",'" &amp; SUBSTITUTE("{'zh_TW': '" &amp;  "【"&amp; $Z262 &amp;"】已使用此筆資料，不可刪除!!"  &amp; "' ,'en_US': '" &amp;  "Have used this information, it can not be deleted !!" &amp; "'  ,'zh_CN': '" &amp; "【"&amp; $Z262 &amp;"】已使用此筆資料，不可刪除!!" &amp; "' }", CHAR(39),CHAR(34))   &amp; "');","")</f>
        <v>#REF!</v>
      </c>
    </row>
    <row r="263" spans="28:28">
      <c r="AB263" s="4" t="e">
        <f>IF(#REF!="Y","INSERT INTO `sys_table_relation` (`TABLE_NAME`, `CHILD_TABLE_NAME`, `SQL_QUERY`, `ERROR_DESC` ,`ERROR_DESC_JSON`) VALUES ('" &amp;$H263 &amp; "', '" &amp; $Y263 &amp; "', '" &amp; "select count(*) from "&amp; $Y263 &amp;" where " &amp; IF(COUNTIF(D:D,"IS_DESTROYED"),"IS_DESTROYED=0 and ","") &amp;   $D263 &amp; "={pid}" &amp; "', " &amp; "'【"&amp; $Z263 &amp;"】已使用此筆資料，故不可刪除!!'" &amp; ",'" &amp; SUBSTITUTE("{'zh_TW': '" &amp;  "【"&amp; $Z263 &amp;"】已使用此筆資料，不可刪除!!"  &amp; "' ,'en_US': '" &amp;  "Have used this information, it can not be deleted !!" &amp; "'  ,'zh_CN': '" &amp; "【"&amp; $Z263 &amp;"】已使用此筆資料，不可刪除!!" &amp; "' }", CHAR(39),CHAR(34))   &amp; "');","")</f>
        <v>#REF!</v>
      </c>
    </row>
    <row r="264" spans="28:28">
      <c r="AB264" s="4" t="e">
        <f>IF(#REF!="Y","INSERT INTO `sys_table_relation` (`TABLE_NAME`, `CHILD_TABLE_NAME`, `SQL_QUERY`, `ERROR_DESC` ,`ERROR_DESC_JSON`) VALUES ('" &amp;$H264 &amp; "', '" &amp; $Y264 &amp; "', '" &amp; "select count(*) from "&amp; $Y264 &amp;" where " &amp; IF(COUNTIF(D:D,"IS_DESTROYED"),"IS_DESTROYED=0 and ","") &amp;   $D264 &amp; "={pid}" &amp; "', " &amp; "'【"&amp; $Z264 &amp;"】已使用此筆資料，故不可刪除!!'" &amp; ",'" &amp; SUBSTITUTE("{'zh_TW': '" &amp;  "【"&amp; $Z264 &amp;"】已使用此筆資料，不可刪除!!"  &amp; "' ,'en_US': '" &amp;  "Have used this information, it can not be deleted !!" &amp; "'  ,'zh_CN': '" &amp; "【"&amp; $Z264 &amp;"】已使用此筆資料，不可刪除!!" &amp; "' }", CHAR(39),CHAR(34))   &amp; "');","")</f>
        <v>#REF!</v>
      </c>
    </row>
    <row r="265" spans="28:28">
      <c r="AB265" s="4" t="e">
        <f>IF(#REF!="Y","INSERT INTO `sys_table_relation` (`TABLE_NAME`, `CHILD_TABLE_NAME`, `SQL_QUERY`, `ERROR_DESC` ,`ERROR_DESC_JSON`) VALUES ('" &amp;$H265 &amp; "', '" &amp; $Y265 &amp; "', '" &amp; "select count(*) from "&amp; $Y265 &amp;" where " &amp; IF(COUNTIF(D:D,"IS_DESTROYED"),"IS_DESTROYED=0 and ","") &amp;   $D265 &amp; "={pid}" &amp; "', " &amp; "'【"&amp; $Z265 &amp;"】已使用此筆資料，故不可刪除!!'" &amp; ",'" &amp; SUBSTITUTE("{'zh_TW': '" &amp;  "【"&amp; $Z265 &amp;"】已使用此筆資料，不可刪除!!"  &amp; "' ,'en_US': '" &amp;  "Have used this information, it can not be deleted !!" &amp; "'  ,'zh_CN': '" &amp; "【"&amp; $Z265 &amp;"】已使用此筆資料，不可刪除!!" &amp; "' }", CHAR(39),CHAR(34))   &amp; "');","")</f>
        <v>#REF!</v>
      </c>
    </row>
    <row r="266" spans="28:28">
      <c r="AB266" s="4" t="e">
        <f>IF(#REF!="Y","INSERT INTO `sys_table_relation` (`TABLE_NAME`, `CHILD_TABLE_NAME`, `SQL_QUERY`, `ERROR_DESC` ,`ERROR_DESC_JSON`) VALUES ('" &amp;$H266 &amp; "', '" &amp; $Y266 &amp; "', '" &amp; "select count(*) from "&amp; $Y266 &amp;" where " &amp; IF(COUNTIF(D:D,"IS_DESTROYED"),"IS_DESTROYED=0 and ","") &amp;   $D266 &amp; "={pid}" &amp; "', " &amp; "'【"&amp; $Z266 &amp;"】已使用此筆資料，故不可刪除!!'" &amp; ",'" &amp; SUBSTITUTE("{'zh_TW': '" &amp;  "【"&amp; $Z266 &amp;"】已使用此筆資料，不可刪除!!"  &amp; "' ,'en_US': '" &amp;  "Have used this information, it can not be deleted !!" &amp; "'  ,'zh_CN': '" &amp; "【"&amp; $Z266 &amp;"】已使用此筆資料，不可刪除!!" &amp; "' }", CHAR(39),CHAR(34))   &amp; "');","")</f>
        <v>#REF!</v>
      </c>
    </row>
    <row r="267" spans="28:28">
      <c r="AB267" s="4" t="e">
        <f>IF(#REF!="Y","INSERT INTO `sys_table_relation` (`TABLE_NAME`, `CHILD_TABLE_NAME`, `SQL_QUERY`, `ERROR_DESC` ,`ERROR_DESC_JSON`) VALUES ('" &amp;$H267 &amp; "', '" &amp; $Y267 &amp; "', '" &amp; "select count(*) from "&amp; $Y267 &amp;" where " &amp; IF(COUNTIF(D:D,"IS_DESTROYED"),"IS_DESTROYED=0 and ","") &amp;   $D267 &amp; "={pid}" &amp; "', " &amp; "'【"&amp; $Z267 &amp;"】已使用此筆資料，故不可刪除!!'" &amp; ",'" &amp; SUBSTITUTE("{'zh_TW': '" &amp;  "【"&amp; $Z267 &amp;"】已使用此筆資料，不可刪除!!"  &amp; "' ,'en_US': '" &amp;  "Have used this information, it can not be deleted !!" &amp; "'  ,'zh_CN': '" &amp; "【"&amp; $Z267 &amp;"】已使用此筆資料，不可刪除!!" &amp; "' }", CHAR(39),CHAR(34))   &amp; "');","")</f>
        <v>#REF!</v>
      </c>
    </row>
    <row r="268" spans="28:28">
      <c r="AB268" s="4" t="e">
        <f>IF(#REF!="Y","INSERT INTO `sys_table_relation` (`TABLE_NAME`, `CHILD_TABLE_NAME`, `SQL_QUERY`, `ERROR_DESC` ,`ERROR_DESC_JSON`) VALUES ('" &amp;$H268 &amp; "', '" &amp; $Y268 &amp; "', '" &amp; "select count(*) from "&amp; $Y268 &amp;" where " &amp; IF(COUNTIF(D:D,"IS_DESTROYED"),"IS_DESTROYED=0 and ","") &amp;   $D268 &amp; "={pid}" &amp; "', " &amp; "'【"&amp; $Z268 &amp;"】已使用此筆資料，故不可刪除!!'" &amp; ",'" &amp; SUBSTITUTE("{'zh_TW': '" &amp;  "【"&amp; $Z268 &amp;"】已使用此筆資料，不可刪除!!"  &amp; "' ,'en_US': '" &amp;  "Have used this information, it can not be deleted !!" &amp; "'  ,'zh_CN': '" &amp; "【"&amp; $Z268 &amp;"】已使用此筆資料，不可刪除!!" &amp; "' }", CHAR(39),CHAR(34))   &amp; "');","")</f>
        <v>#REF!</v>
      </c>
    </row>
    <row r="269" spans="28:28">
      <c r="AB269" s="4" t="e">
        <f>IF(#REF!="Y","INSERT INTO `sys_table_relation` (`TABLE_NAME`, `CHILD_TABLE_NAME`, `SQL_QUERY`, `ERROR_DESC` ,`ERROR_DESC_JSON`) VALUES ('" &amp;$H269 &amp; "', '" &amp; $Y269 &amp; "', '" &amp; "select count(*) from "&amp; $Y269 &amp;" where " &amp; IF(COUNTIF(D:D,"IS_DESTROYED"),"IS_DESTROYED=0 and ","") &amp;   $D269 &amp; "={pid}" &amp; "', " &amp; "'【"&amp; $Z269 &amp;"】已使用此筆資料，故不可刪除!!'" &amp; ",'" &amp; SUBSTITUTE("{'zh_TW': '" &amp;  "【"&amp; $Z269 &amp;"】已使用此筆資料，不可刪除!!"  &amp; "' ,'en_US': '" &amp;  "Have used this information, it can not be deleted !!" &amp; "'  ,'zh_CN': '" &amp; "【"&amp; $Z269 &amp;"】已使用此筆資料，不可刪除!!" &amp; "' }", CHAR(39),CHAR(34))   &amp; "');","")</f>
        <v>#REF!</v>
      </c>
    </row>
    <row r="270" spans="28:28">
      <c r="AB270" s="4" t="e">
        <f>IF(#REF!="Y","INSERT INTO `sys_table_relation` (`TABLE_NAME`, `CHILD_TABLE_NAME`, `SQL_QUERY`, `ERROR_DESC` ,`ERROR_DESC_JSON`) VALUES ('" &amp;$H270 &amp; "', '" &amp; $Y270 &amp; "', '" &amp; "select count(*) from "&amp; $Y270 &amp;" where " &amp; IF(COUNTIF(D:D,"IS_DESTROYED"),"IS_DESTROYED=0 and ","") &amp;   $D270 &amp; "={pid}" &amp; "', " &amp; "'【"&amp; $Z270 &amp;"】已使用此筆資料，故不可刪除!!'" &amp; ",'" &amp; SUBSTITUTE("{'zh_TW': '" &amp;  "【"&amp; $Z270 &amp;"】已使用此筆資料，不可刪除!!"  &amp; "' ,'en_US': '" &amp;  "Have used this information, it can not be deleted !!" &amp; "'  ,'zh_CN': '" &amp; "【"&amp; $Z270 &amp;"】已使用此筆資料，不可刪除!!" &amp; "' }", CHAR(39),CHAR(34))   &amp; "');","")</f>
        <v>#REF!</v>
      </c>
    </row>
    <row r="271" spans="28:28">
      <c r="AB271" s="4" t="e">
        <f>IF(#REF!="Y","INSERT INTO `sys_table_relation` (`TABLE_NAME`, `CHILD_TABLE_NAME`, `SQL_QUERY`, `ERROR_DESC` ,`ERROR_DESC_JSON`) VALUES ('" &amp;$H271 &amp; "', '" &amp; $Y271 &amp; "', '" &amp; "select count(*) from "&amp; $Y271 &amp;" where " &amp; IF(COUNTIF(D:D,"IS_DESTROYED"),"IS_DESTROYED=0 and ","") &amp;   $D271 &amp; "={pid}" &amp; "', " &amp; "'【"&amp; $Z271 &amp;"】已使用此筆資料，故不可刪除!!'" &amp; ",'" &amp; SUBSTITUTE("{'zh_TW': '" &amp;  "【"&amp; $Z271 &amp;"】已使用此筆資料，不可刪除!!"  &amp; "' ,'en_US': '" &amp;  "Have used this information, it can not be deleted !!" &amp; "'  ,'zh_CN': '" &amp; "【"&amp; $Z271 &amp;"】已使用此筆資料，不可刪除!!" &amp; "' }", CHAR(39),CHAR(34))   &amp; "');","")</f>
        <v>#REF!</v>
      </c>
    </row>
    <row r="272" spans="28:28">
      <c r="AB272" s="4" t="e">
        <f>IF(#REF!="Y","INSERT INTO `sys_table_relation` (`TABLE_NAME`, `CHILD_TABLE_NAME`, `SQL_QUERY`, `ERROR_DESC` ,`ERROR_DESC_JSON`) VALUES ('" &amp;$H272 &amp; "', '" &amp; $Y272 &amp; "', '" &amp; "select count(*) from "&amp; $Y272 &amp;" where " &amp; IF(COUNTIF(D:D,"IS_DESTROYED"),"IS_DESTROYED=0 and ","") &amp;   $D272 &amp; "={pid}" &amp; "', " &amp; "'【"&amp; $Z272 &amp;"】已使用此筆資料，故不可刪除!!'" &amp; ",'" &amp; SUBSTITUTE("{'zh_TW': '" &amp;  "【"&amp; $Z272 &amp;"】已使用此筆資料，不可刪除!!"  &amp; "' ,'en_US': '" &amp;  "Have used this information, it can not be deleted !!" &amp; "'  ,'zh_CN': '" &amp; "【"&amp; $Z272 &amp;"】已使用此筆資料，不可刪除!!" &amp; "' }", CHAR(39),CHAR(34))   &amp; "');","")</f>
        <v>#REF!</v>
      </c>
    </row>
    <row r="273" spans="28:28">
      <c r="AB273" s="4" t="e">
        <f>IF(#REF!="Y","INSERT INTO `sys_table_relation` (`TABLE_NAME`, `CHILD_TABLE_NAME`, `SQL_QUERY`, `ERROR_DESC` ,`ERROR_DESC_JSON`) VALUES ('" &amp;$H273 &amp; "', '" &amp; $Y273 &amp; "', '" &amp; "select count(*) from "&amp; $Y273 &amp;" where " &amp; IF(COUNTIF(D:D,"IS_DESTROYED"),"IS_DESTROYED=0 and ","") &amp;   $D273 &amp; "={pid}" &amp; "', " &amp; "'【"&amp; $Z273 &amp;"】已使用此筆資料，故不可刪除!!'" &amp; ",'" &amp; SUBSTITUTE("{'zh_TW': '" &amp;  "【"&amp; $Z273 &amp;"】已使用此筆資料，不可刪除!!"  &amp; "' ,'en_US': '" &amp;  "Have used this information, it can not be deleted !!" &amp; "'  ,'zh_CN': '" &amp; "【"&amp; $Z273 &amp;"】已使用此筆資料，不可刪除!!" &amp; "' }", CHAR(39),CHAR(34))   &amp; "');","")</f>
        <v>#REF!</v>
      </c>
    </row>
    <row r="274" spans="28:28">
      <c r="AB274" s="4" t="e">
        <f>IF(#REF!="Y","INSERT INTO `sys_table_relation` (`TABLE_NAME`, `CHILD_TABLE_NAME`, `SQL_QUERY`, `ERROR_DESC` ,`ERROR_DESC_JSON`) VALUES ('" &amp;$H274 &amp; "', '" &amp; $Y274 &amp; "', '" &amp; "select count(*) from "&amp; $Y274 &amp;" where " &amp; IF(COUNTIF(D:D,"IS_DESTROYED"),"IS_DESTROYED=0 and ","") &amp;   $D274 &amp; "={pid}" &amp; "', " &amp; "'【"&amp; $Z274 &amp;"】已使用此筆資料，故不可刪除!!'" &amp; ",'" &amp; SUBSTITUTE("{'zh_TW': '" &amp;  "【"&amp; $Z274 &amp;"】已使用此筆資料，不可刪除!!"  &amp; "' ,'en_US': '" &amp;  "Have used this information, it can not be deleted !!" &amp; "'  ,'zh_CN': '" &amp; "【"&amp; $Z274 &amp;"】已使用此筆資料，不可刪除!!" &amp; "' }", CHAR(39),CHAR(34))   &amp; "');","")</f>
        <v>#REF!</v>
      </c>
    </row>
    <row r="275" spans="28:28">
      <c r="AB275" s="4" t="e">
        <f>IF(#REF!="Y","INSERT INTO `sys_table_relation` (`TABLE_NAME`, `CHILD_TABLE_NAME`, `SQL_QUERY`, `ERROR_DESC` ,`ERROR_DESC_JSON`) VALUES ('" &amp;$H275 &amp; "', '" &amp; $Y275 &amp; "', '" &amp; "select count(*) from "&amp; $Y275 &amp;" where " &amp; IF(COUNTIF(D:D,"IS_DESTROYED"),"IS_DESTROYED=0 and ","") &amp;   $D275 &amp; "={pid}" &amp; "', " &amp; "'【"&amp; $Z275 &amp;"】已使用此筆資料，故不可刪除!!'" &amp; ",'" &amp; SUBSTITUTE("{'zh_TW': '" &amp;  "【"&amp; $Z275 &amp;"】已使用此筆資料，不可刪除!!"  &amp; "' ,'en_US': '" &amp;  "Have used this information, it can not be deleted !!" &amp; "'  ,'zh_CN': '" &amp; "【"&amp; $Z275 &amp;"】已使用此筆資料，不可刪除!!" &amp; "' }", CHAR(39),CHAR(34))   &amp; "');","")</f>
        <v>#REF!</v>
      </c>
    </row>
    <row r="276" spans="28:28">
      <c r="AB276" s="4" t="e">
        <f>IF(#REF!="Y","INSERT INTO `sys_table_relation` (`TABLE_NAME`, `CHILD_TABLE_NAME`, `SQL_QUERY`, `ERROR_DESC` ,`ERROR_DESC_JSON`) VALUES ('" &amp;$H276 &amp; "', '" &amp; $Y276 &amp; "', '" &amp; "select count(*) from "&amp; $Y276 &amp;" where " &amp; IF(COUNTIF(D:D,"IS_DESTROYED"),"IS_DESTROYED=0 and ","") &amp;   $D276 &amp; "={pid}" &amp; "', " &amp; "'【"&amp; $Z276 &amp;"】已使用此筆資料，故不可刪除!!'" &amp; ",'" &amp; SUBSTITUTE("{'zh_TW': '" &amp;  "【"&amp; $Z276 &amp;"】已使用此筆資料，不可刪除!!"  &amp; "' ,'en_US': '" &amp;  "Have used this information, it can not be deleted !!" &amp; "'  ,'zh_CN': '" &amp; "【"&amp; $Z276 &amp;"】已使用此筆資料，不可刪除!!" &amp; "' }", CHAR(39),CHAR(34))   &amp; "');","")</f>
        <v>#REF!</v>
      </c>
    </row>
    <row r="277" spans="28:28" ht="16.5" customHeight="1"/>
    <row r="278" spans="28:28" ht="16.5" customHeight="1"/>
    <row r="279" spans="28:28" ht="16.5" customHeight="1"/>
    <row r="280" spans="28:28" ht="16.5" customHeight="1"/>
  </sheetData>
  <mergeCells count="6">
    <mergeCell ref="B1:E1"/>
    <mergeCell ref="F1:I1"/>
    <mergeCell ref="B2:E2"/>
    <mergeCell ref="F2:I2"/>
    <mergeCell ref="B9:E9"/>
    <mergeCell ref="F9:I9"/>
  </mergeCells>
  <phoneticPr fontId="5" type="noConversion"/>
  <pageMargins left="0.7" right="0.7" top="0.75" bottom="0.75" header="0.3" footer="0.3"/>
  <pageSetup paperSize="9" orientation="portrait" horizontalDpi="0" verticalDpi="0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760F2CE-7F4E-4689-8597-ADEBF9EB74DA}">
  <sheetPr codeName="工作表14"/>
  <dimension ref="A1:AB275"/>
  <sheetViews>
    <sheetView zoomScale="115" zoomScaleNormal="115" workbookViewId="0"/>
  </sheetViews>
  <sheetFormatPr defaultColWidth="6.625" defaultRowHeight="13.5"/>
  <cols>
    <col min="1" max="1" width="3.125" style="4" bestFit="1" customWidth="1"/>
    <col min="2" max="2" width="5.5" style="8" customWidth="1"/>
    <col min="3" max="3" width="24" style="4" customWidth="1"/>
    <col min="4" max="4" width="27.125" style="4" customWidth="1"/>
    <col min="5" max="5" width="11.625" style="4" customWidth="1"/>
    <col min="6" max="6" width="6.125" style="4" customWidth="1"/>
    <col min="7" max="7" width="36.125" style="4" customWidth="1"/>
    <col min="8" max="8" width="20.625" style="4" customWidth="1"/>
    <col min="9" max="9" width="11.625" style="4" bestFit="1" customWidth="1"/>
    <col min="10" max="27" width="6.625" style="4"/>
    <col min="28" max="28" width="7" style="4" bestFit="1" customWidth="1"/>
    <col min="29" max="16384" width="6.625" style="4"/>
  </cols>
  <sheetData>
    <row r="1" spans="1:28" ht="24">
      <c r="A1" s="149" t="e">
        <f ca="1">HYPERLINK("#'介面'!E"&amp;MATCH(VALUE(RIGHT(CELL("filename"),LEN(CELL("filename"))-FIND("]",CELL("filename")))),介面!D:D,"0"),"←")</f>
        <v>#VALUE!</v>
      </c>
      <c r="B1" s="207" t="s">
        <v>47</v>
      </c>
      <c r="C1" s="208"/>
      <c r="D1" s="208"/>
      <c r="E1" s="209"/>
      <c r="F1" s="207" t="s">
        <v>437</v>
      </c>
      <c r="G1" s="208"/>
      <c r="H1" s="208"/>
      <c r="I1" s="208"/>
    </row>
    <row r="2" spans="1:28" ht="24">
      <c r="A2" s="1"/>
      <c r="B2" s="210" t="s">
        <v>275</v>
      </c>
      <c r="C2" s="211"/>
      <c r="D2" s="211"/>
      <c r="E2" s="212"/>
      <c r="F2" s="210"/>
      <c r="G2" s="211"/>
      <c r="H2" s="211"/>
      <c r="I2" s="212"/>
    </row>
    <row r="3" spans="1:28" s="8" customFormat="1" ht="15">
      <c r="A3" s="6"/>
      <c r="B3" s="7" t="s">
        <v>276</v>
      </c>
      <c r="C3" s="56" t="s">
        <v>277</v>
      </c>
      <c r="D3" s="56" t="s">
        <v>278</v>
      </c>
      <c r="E3" s="57" t="s">
        <v>279</v>
      </c>
      <c r="F3" s="57" t="s">
        <v>280</v>
      </c>
      <c r="G3" s="56" t="s">
        <v>281</v>
      </c>
      <c r="H3" s="56" t="s">
        <v>11</v>
      </c>
      <c r="I3" s="56" t="s">
        <v>282</v>
      </c>
    </row>
    <row r="4" spans="1:28" s="24" customFormat="1" ht="15.75">
      <c r="A4" s="25"/>
      <c r="B4" s="46">
        <v>1</v>
      </c>
      <c r="C4" s="80" t="s">
        <v>297</v>
      </c>
      <c r="D4" s="80" t="s">
        <v>298</v>
      </c>
      <c r="E4" s="81" t="s">
        <v>285</v>
      </c>
      <c r="F4" s="81">
        <v>500</v>
      </c>
      <c r="G4" s="66" t="s">
        <v>330</v>
      </c>
      <c r="H4" s="142" t="s">
        <v>302</v>
      </c>
      <c r="I4" s="66" t="s">
        <v>287</v>
      </c>
    </row>
    <row r="5" spans="1:28" s="24" customFormat="1" ht="15">
      <c r="A5" s="25"/>
      <c r="B5" s="46">
        <f>B4+1</f>
        <v>2</v>
      </c>
      <c r="C5" s="50" t="s">
        <v>303</v>
      </c>
      <c r="D5" s="76" t="s">
        <v>304</v>
      </c>
      <c r="E5" s="51" t="s">
        <v>296</v>
      </c>
      <c r="F5" s="51">
        <v>20</v>
      </c>
      <c r="G5" s="66" t="s">
        <v>331</v>
      </c>
      <c r="H5" s="66"/>
      <c r="I5" s="66" t="s">
        <v>287</v>
      </c>
    </row>
    <row r="6" spans="1:28" ht="15.75">
      <c r="A6" s="1"/>
      <c r="B6" s="2"/>
      <c r="C6" s="3"/>
      <c r="D6" s="3"/>
      <c r="E6" s="3"/>
      <c r="F6" s="3"/>
      <c r="G6" s="3"/>
      <c r="H6" s="3"/>
      <c r="I6" s="3"/>
    </row>
    <row r="7" spans="1:28" ht="24">
      <c r="A7" s="1"/>
      <c r="B7" s="204" t="s">
        <v>291</v>
      </c>
      <c r="C7" s="205"/>
      <c r="D7" s="205"/>
      <c r="E7" s="206"/>
      <c r="F7" s="204"/>
      <c r="G7" s="205"/>
      <c r="H7" s="205"/>
      <c r="I7" s="206"/>
    </row>
    <row r="8" spans="1:28" s="8" customFormat="1" ht="15">
      <c r="A8" s="6"/>
      <c r="B8" s="7" t="s">
        <v>276</v>
      </c>
      <c r="C8" s="56" t="s">
        <v>277</v>
      </c>
      <c r="D8" s="56" t="s">
        <v>278</v>
      </c>
      <c r="E8" s="57" t="s">
        <v>279</v>
      </c>
      <c r="F8" s="57" t="s">
        <v>280</v>
      </c>
      <c r="G8" s="56" t="s">
        <v>11</v>
      </c>
      <c r="H8" s="56" t="s">
        <v>292</v>
      </c>
      <c r="I8" s="56" t="s">
        <v>293</v>
      </c>
    </row>
    <row r="9" spans="1:28" s="111" customFormat="1" ht="15.75">
      <c r="A9" s="106"/>
      <c r="B9" s="94">
        <v>1</v>
      </c>
      <c r="C9" s="108" t="s">
        <v>438</v>
      </c>
      <c r="D9" s="108" t="s">
        <v>439</v>
      </c>
      <c r="E9" s="109" t="s">
        <v>296</v>
      </c>
      <c r="F9" s="109">
        <v>20</v>
      </c>
      <c r="G9" s="110"/>
      <c r="H9" s="110"/>
      <c r="I9" s="110"/>
      <c r="AB9" s="111" t="e">
        <f>IF(#REF!="Y","INSERT INTO `sys_table_relation` (`TABLE_NAME`, `CHILD_TABLE_NAME`, `SQL_QUERY`, `ERROR_DESC` ,`ERROR_DESC_JSON`) VALUES ('" &amp;$H9 &amp; "', '" &amp; $Y9 &amp; "', '" &amp; "select count(*) from "&amp; $Y9 &amp;" where " &amp; IF(COUNTIF(D:D,"IS_DESTROYED"),"IS_DESTROYED=0 and ","") &amp;   $D9 &amp; "={pid}" &amp; "', " &amp; "'【"&amp; $Z9 &amp;"】已使用此筆資料，故不可刪除!!'" &amp; ",'" &amp; SUBSTITUTE("{'zh_TW': '" &amp;  "【"&amp; $Z9 &amp;"】已使用此筆資料，不可刪除!!"  &amp; "' ,'en_US': '" &amp;  "Have used this information, it can not be deleted !!" &amp; "'  ,'zh_CN': '" &amp; "【"&amp; $Z9 &amp;"】已使用此筆資料，不可刪除!!" &amp; "' }", CHAR(39),CHAR(34))   &amp; "');","")</f>
        <v>#REF!</v>
      </c>
    </row>
    <row r="10" spans="1:28" s="111" customFormat="1" ht="15.75">
      <c r="A10" s="106"/>
      <c r="B10" s="94">
        <f>B9+1</f>
        <v>2</v>
      </c>
      <c r="C10" s="108" t="s">
        <v>303</v>
      </c>
      <c r="D10" s="108" t="s">
        <v>304</v>
      </c>
      <c r="E10" s="109" t="s">
        <v>296</v>
      </c>
      <c r="F10" s="109">
        <v>20</v>
      </c>
      <c r="G10" s="110"/>
      <c r="H10" s="110" t="s">
        <v>41</v>
      </c>
      <c r="I10" s="110" t="s">
        <v>304</v>
      </c>
      <c r="AB10" s="111" t="e">
        <f>IF(#REF!="Y","INSERT INTO `sys_table_relation` (`TABLE_NAME`, `CHILD_TABLE_NAME`, `SQL_QUERY`, `ERROR_DESC` ,`ERROR_DESC_JSON`) VALUES ('" &amp;$H10 &amp; "', '" &amp; $Y10 &amp; "', '" &amp; "select count(*) from "&amp; $Y10 &amp;" where " &amp; IF(COUNTIF(D:D,"IS_DESTROYED"),"IS_DESTROYED=0 and ","") &amp;   $D10 &amp; "={pid}" &amp; "', " &amp; "'【"&amp; $Z10 &amp;"】已使用此筆資料，故不可刪除!!'" &amp; ",'" &amp; SUBSTITUTE("{'zh_TW': '" &amp;  "【"&amp; $Z10 &amp;"】已使用此筆資料，不可刪除!!"  &amp; "' ,'en_US': '" &amp;  "Have used this information, it can not be deleted !!" &amp; "'  ,'zh_CN': '" &amp; "【"&amp; $Z10 &amp;"】已使用此筆資料，不可刪除!!" &amp; "' }", CHAR(39),CHAR(34))   &amp; "');","")</f>
        <v>#REF!</v>
      </c>
    </row>
    <row r="11" spans="1:28" s="111" customFormat="1" ht="15.75">
      <c r="A11" s="106"/>
      <c r="B11" s="94">
        <f>B10+1</f>
        <v>3</v>
      </c>
      <c r="C11" s="108" t="s">
        <v>440</v>
      </c>
      <c r="D11" s="108" t="s">
        <v>441</v>
      </c>
      <c r="E11" s="109" t="s">
        <v>285</v>
      </c>
      <c r="F11" s="109">
        <v>100</v>
      </c>
      <c r="G11" s="110"/>
      <c r="H11" s="110"/>
      <c r="I11" s="110"/>
      <c r="AB11" s="111" t="e">
        <f>IF(#REF!="Y","INSERT INTO `sys_table_relation` (`TABLE_NAME`, `CHILD_TABLE_NAME`, `SQL_QUERY`, `ERROR_DESC` ,`ERROR_DESC_JSON`) VALUES ('" &amp;$H11 &amp; "', '" &amp; $Y11 &amp; "', '" &amp; "select count(*) from "&amp; $Y11 &amp;" where " &amp; IF(COUNTIF(D:D,"IS_DESTROYED"),"IS_DESTROYED=0 and ","") &amp;   $D11 &amp; "={pid}" &amp; "', " &amp; "'【"&amp; $Z11 &amp;"】已使用此筆資料，故不可刪除!!'" &amp; ",'" &amp; SUBSTITUTE("{'zh_TW': '" &amp;  "【"&amp; $Z11 &amp;"】已使用此筆資料，不可刪除!!"  &amp; "' ,'en_US': '" &amp;  "Have used this information, it can not be deleted !!" &amp; "'  ,'zh_CN': '" &amp; "【"&amp; $Z11 &amp;"】已使用此筆資料，不可刪除!!" &amp; "' }", CHAR(39),CHAR(34))   &amp; "');","")</f>
        <v>#REF!</v>
      </c>
    </row>
    <row r="12" spans="1:28" s="111" customFormat="1" ht="15.75">
      <c r="A12" s="106"/>
      <c r="B12" s="94">
        <f>B11+1</f>
        <v>4</v>
      </c>
      <c r="C12" s="108" t="s">
        <v>442</v>
      </c>
      <c r="D12" s="108" t="s">
        <v>443</v>
      </c>
      <c r="E12" s="109" t="s">
        <v>285</v>
      </c>
      <c r="F12" s="109">
        <v>1000</v>
      </c>
      <c r="G12" s="110"/>
      <c r="H12" s="110"/>
      <c r="I12" s="110"/>
      <c r="AB12" s="111" t="e">
        <f>IF(#REF!="Y","INSERT INTO `sys_table_relation` (`TABLE_NAME`, `CHILD_TABLE_NAME`, `SQL_QUERY`, `ERROR_DESC` ,`ERROR_DESC_JSON`) VALUES ('" &amp;$H12 &amp; "', '" &amp; $Y12 &amp; "', '" &amp; "select count(*) from "&amp; $Y12 &amp;" where " &amp; IF(COUNTIF(D:D,"IS_DESTROYED"),"IS_DESTROYED=0 and ","") &amp;   $D12 &amp; "={pid}" &amp; "', " &amp; "'【"&amp; $Z12 &amp;"】已使用此筆資料，故不可刪除!!'" &amp; ",'" &amp; SUBSTITUTE("{'zh_TW': '" &amp;  "【"&amp; $Z12 &amp;"】已使用此筆資料，不可刪除!!"  &amp; "' ,'en_US': '" &amp;  "Have used this information, it can not be deleted !!" &amp; "'  ,'zh_CN': '" &amp; "【"&amp; $Z12 &amp;"】已使用此筆資料，不可刪除!!" &amp; "' }", CHAR(39),CHAR(34))   &amp; "');","")</f>
        <v>#REF!</v>
      </c>
    </row>
    <row r="13" spans="1:28" s="111" customFormat="1" ht="15.75">
      <c r="A13" s="106"/>
      <c r="B13" s="94">
        <f>B12+1</f>
        <v>5</v>
      </c>
      <c r="C13" s="108" t="s">
        <v>444</v>
      </c>
      <c r="D13" s="108" t="s">
        <v>445</v>
      </c>
      <c r="E13" s="109" t="s">
        <v>285</v>
      </c>
      <c r="F13" s="109">
        <v>20</v>
      </c>
      <c r="G13" s="110"/>
      <c r="H13" s="110"/>
      <c r="I13" s="110"/>
      <c r="AB13" s="111" t="e">
        <f>IF(#REF!="Y","INSERT INTO `sys_table_relation` (`TABLE_NAME`, `CHILD_TABLE_NAME`, `SQL_QUERY`, `ERROR_DESC` ,`ERROR_DESC_JSON`) VALUES ('" &amp;$H13 &amp; "', '" &amp; $Y13 &amp; "', '" &amp; "select count(*) from "&amp; $Y13 &amp;" where " &amp; IF(COUNTIF(D:D,"IS_DESTROYED"),"IS_DESTROYED=0 and ","") &amp;   $D13 &amp; "={pid}" &amp; "', " &amp; "'【"&amp; $Z13 &amp;"】已使用此筆資料，故不可刪除!!'" &amp; ",'" &amp; SUBSTITUTE("{'zh_TW': '" &amp;  "【"&amp; $Z13 &amp;"】已使用此筆資料，不可刪除!!"  &amp; "' ,'en_US': '" &amp;  "Have used this information, it can not be deleted !!" &amp; "'  ,'zh_CN': '" &amp; "【"&amp; $Z13 &amp;"】已使用此筆資料，不可刪除!!" &amp; "' }", CHAR(39),CHAR(34))   &amp; "');","")</f>
        <v>#REF!</v>
      </c>
    </row>
    <row r="14" spans="1:28" s="111" customFormat="1" ht="15.75">
      <c r="A14" s="106"/>
      <c r="B14" s="94">
        <f>B13+1</f>
        <v>6</v>
      </c>
      <c r="C14" s="108" t="s">
        <v>446</v>
      </c>
      <c r="D14" s="108" t="s">
        <v>447</v>
      </c>
      <c r="E14" s="109" t="s">
        <v>326</v>
      </c>
      <c r="F14" s="109">
        <v>4</v>
      </c>
      <c r="G14" s="110" t="s">
        <v>448</v>
      </c>
      <c r="H14" s="110" t="s">
        <v>435</v>
      </c>
      <c r="I14" s="110"/>
      <c r="AB14" s="111" t="e">
        <f>IF(#REF!="Y","INSERT INTO `sys_table_relation` (`TABLE_NAME`, `CHILD_TABLE_NAME`, `SQL_QUERY`, `ERROR_DESC` ,`ERROR_DESC_JSON`) VALUES ('" &amp;$H14 &amp; "', '" &amp; $Y14 &amp; "', '" &amp; "select count(*) from "&amp; $Y14 &amp;" where " &amp; IF(COUNTIF(D:D,"IS_DESTROYED"),"IS_DESTROYED=0 and ","") &amp;   $D14 &amp; "={pid}" &amp; "', " &amp; "'【"&amp; $Z14 &amp;"】已使用此筆資料，故不可刪除!!'" &amp; ",'" &amp; SUBSTITUTE("{'zh_TW': '" &amp;  "【"&amp; $Z14 &amp;"】已使用此筆資料，不可刪除!!"  &amp; "' ,'en_US': '" &amp;  "Have used this information, it can not be deleted !!" &amp; "'  ,'zh_CN': '" &amp; "【"&amp; $Z14 &amp;"】已使用此筆資料，不可刪除!!" &amp; "' }", CHAR(39),CHAR(34))   &amp; "');","")</f>
        <v>#REF!</v>
      </c>
    </row>
    <row r="15" spans="1:28" ht="15">
      <c r="B15" s="45"/>
      <c r="AB15" s="4" t="e">
        <f>IF(#REF!="Y","INSERT INTO `sys_table_relation` (`TABLE_NAME`, `CHILD_TABLE_NAME`, `SQL_QUERY`, `ERROR_DESC` ,`ERROR_DESC_JSON`) VALUES ('" &amp;$H15 &amp; "', '" &amp; $Y15 &amp; "', '" &amp; "select count(*) from "&amp; $Y15 &amp;" where " &amp; IF(COUNTIF(D:D,"IS_DESTROYED"),"IS_DESTROYED=0 and ","") &amp;   $D15 &amp; "={pid}" &amp; "', " &amp; "'【"&amp; $Z15 &amp;"】已使用此筆資料，故不可刪除!!'" &amp; ",'" &amp; SUBSTITUTE("{'zh_TW': '" &amp;  "【"&amp; $Z15 &amp;"】已使用此筆資料，不可刪除!!"  &amp; "' ,'en_US': '" &amp;  "Have used this information, it can not be deleted !!" &amp; "'  ,'zh_CN': '" &amp; "【"&amp; $Z15 &amp;"】已使用此筆資料，不可刪除!!" &amp; "' }", CHAR(39),CHAR(34))   &amp; "');","")</f>
        <v>#REF!</v>
      </c>
    </row>
    <row r="16" spans="1:28" ht="15">
      <c r="B16" s="45"/>
      <c r="AB16" s="4" t="e">
        <f>IF(#REF!="Y","INSERT INTO `sys_table_relation` (`TABLE_NAME`, `CHILD_TABLE_NAME`, `SQL_QUERY`, `ERROR_DESC` ,`ERROR_DESC_JSON`) VALUES ('" &amp;$H16 &amp; "', '" &amp; $Y16 &amp; "', '" &amp; "select count(*) from "&amp; $Y16 &amp;" where " &amp; IF(COUNTIF(D:D,"IS_DESTROYED"),"IS_DESTROYED=0 and ","") &amp;   $D16 &amp; "={pid}" &amp; "', " &amp; "'【"&amp; $Z16 &amp;"】已使用此筆資料，故不可刪除!!'" &amp; ",'" &amp; SUBSTITUTE("{'zh_TW': '" &amp;  "【"&amp; $Z16 &amp;"】已使用此筆資料，不可刪除!!"  &amp; "' ,'en_US': '" &amp;  "Have used this information, it can not be deleted !!" &amp; "'  ,'zh_CN': '" &amp; "【"&amp; $Z16 &amp;"】已使用此筆資料，不可刪除!!" &amp; "' }", CHAR(39),CHAR(34))   &amp; "');","")</f>
        <v>#REF!</v>
      </c>
    </row>
    <row r="17" spans="28:28">
      <c r="AB17" s="4" t="e">
        <f>IF(#REF!="Y","INSERT INTO `sys_table_relation` (`TABLE_NAME`, `CHILD_TABLE_NAME`, `SQL_QUERY`, `ERROR_DESC` ,`ERROR_DESC_JSON`) VALUES ('" &amp;$H17 &amp; "', '" &amp; $Y17 &amp; "', '" &amp; "select count(*) from "&amp; $Y17 &amp;" where " &amp; IF(COUNTIF(D:D,"IS_DESTROYED"),"IS_DESTROYED=0 and ","") &amp;   $D17 &amp; "={pid}" &amp; "', " &amp; "'【"&amp; $Z17 &amp;"】已使用此筆資料，故不可刪除!!'" &amp; ",'" &amp; SUBSTITUTE("{'zh_TW': '" &amp;  "【"&amp; $Z17 &amp;"】已使用此筆資料，不可刪除!!"  &amp; "' ,'en_US': '" &amp;  "Have used this information, it can not be deleted !!" &amp; "'  ,'zh_CN': '" &amp; "【"&amp; $Z17 &amp;"】已使用此筆資料，不可刪除!!" &amp; "' }", CHAR(39),CHAR(34))   &amp; "');","")</f>
        <v>#REF!</v>
      </c>
    </row>
    <row r="18" spans="28:28">
      <c r="AB18" s="4" t="e">
        <f>IF(#REF!="Y","INSERT INTO `sys_table_relation` (`TABLE_NAME`, `CHILD_TABLE_NAME`, `SQL_QUERY`, `ERROR_DESC` ,`ERROR_DESC_JSON`) VALUES ('" &amp;$H18 &amp; "', '" &amp; $Y18 &amp; "', '" &amp; "select count(*) from "&amp; $Y18 &amp;" where " &amp; IF(COUNTIF(D:D,"IS_DESTROYED"),"IS_DESTROYED=0 and ","") &amp;   $D18 &amp; "={pid}" &amp; "', " &amp; "'【"&amp; $Z18 &amp;"】已使用此筆資料，故不可刪除!!'" &amp; ",'" &amp; SUBSTITUTE("{'zh_TW': '" &amp;  "【"&amp; $Z18 &amp;"】已使用此筆資料，不可刪除!!"  &amp; "' ,'en_US': '" &amp;  "Have used this information, it can not be deleted !!" &amp; "'  ,'zh_CN': '" &amp; "【"&amp; $Z18 &amp;"】已使用此筆資料，不可刪除!!" &amp; "' }", CHAR(39),CHAR(34))   &amp; "');","")</f>
        <v>#REF!</v>
      </c>
    </row>
    <row r="19" spans="28:28">
      <c r="AB19" s="4" t="e">
        <f>IF(#REF!="Y","INSERT INTO `sys_table_relation` (`TABLE_NAME`, `CHILD_TABLE_NAME`, `SQL_QUERY`, `ERROR_DESC` ,`ERROR_DESC_JSON`) VALUES ('" &amp;$H19 &amp; "', '" &amp; $Y19 &amp; "', '" &amp; "select count(*) from "&amp; $Y19 &amp;" where " &amp; IF(COUNTIF(D:D,"IS_DESTROYED"),"IS_DESTROYED=0 and ","") &amp;   $D19 &amp; "={pid}" &amp; "', " &amp; "'【"&amp; $Z19 &amp;"】已使用此筆資料，故不可刪除!!'" &amp; ",'" &amp; SUBSTITUTE("{'zh_TW': '" &amp;  "【"&amp; $Z19 &amp;"】已使用此筆資料，不可刪除!!"  &amp; "' ,'en_US': '" &amp;  "Have used this information, it can not be deleted !!" &amp; "'  ,'zh_CN': '" &amp; "【"&amp; $Z19 &amp;"】已使用此筆資料，不可刪除!!" &amp; "' }", CHAR(39),CHAR(34))   &amp; "');","")</f>
        <v>#REF!</v>
      </c>
    </row>
    <row r="20" spans="28:28">
      <c r="AB20" s="4" t="e">
        <f>IF(#REF!="Y","INSERT INTO `sys_table_relation` (`TABLE_NAME`, `CHILD_TABLE_NAME`, `SQL_QUERY`, `ERROR_DESC` ,`ERROR_DESC_JSON`) VALUES ('" &amp;$H20 &amp; "', '" &amp; $Y20 &amp; "', '" &amp; "select count(*) from "&amp; $Y20 &amp;" where " &amp; IF(COUNTIF(D:D,"IS_DESTROYED"),"IS_DESTROYED=0 and ","") &amp;   $D20 &amp; "={pid}" &amp; "', " &amp; "'【"&amp; $Z20 &amp;"】已使用此筆資料，故不可刪除!!'" &amp; ",'" &amp; SUBSTITUTE("{'zh_TW': '" &amp;  "【"&amp; $Z20 &amp;"】已使用此筆資料，不可刪除!!"  &amp; "' ,'en_US': '" &amp;  "Have used this information, it can not be deleted !!" &amp; "'  ,'zh_CN': '" &amp; "【"&amp; $Z20 &amp;"】已使用此筆資料，不可刪除!!" &amp; "' }", CHAR(39),CHAR(34))   &amp; "');","")</f>
        <v>#REF!</v>
      </c>
    </row>
    <row r="21" spans="28:28">
      <c r="AB21" s="4" t="e">
        <f>IF(#REF!="Y","INSERT INTO `sys_table_relation` (`TABLE_NAME`, `CHILD_TABLE_NAME`, `SQL_QUERY`, `ERROR_DESC` ,`ERROR_DESC_JSON`) VALUES ('" &amp;$H21 &amp; "', '" &amp; $Y21 &amp; "', '" &amp; "select count(*) from "&amp; $Y21 &amp;" where " &amp; IF(COUNTIF(D:D,"IS_DESTROYED"),"IS_DESTROYED=0 and ","") &amp;   $D21 &amp; "={pid}" &amp; "', " &amp; "'【"&amp; $Z21 &amp;"】已使用此筆資料，故不可刪除!!'" &amp; ",'" &amp; SUBSTITUTE("{'zh_TW': '" &amp;  "【"&amp; $Z21 &amp;"】已使用此筆資料，不可刪除!!"  &amp; "' ,'en_US': '" &amp;  "Have used this information, it can not be deleted !!" &amp; "'  ,'zh_CN': '" &amp; "【"&amp; $Z21 &amp;"】已使用此筆資料，不可刪除!!" &amp; "' }", CHAR(39),CHAR(34))   &amp; "');","")</f>
        <v>#REF!</v>
      </c>
    </row>
    <row r="22" spans="28:28">
      <c r="AB22" s="4" t="e">
        <f>IF(#REF!="Y","INSERT INTO `sys_table_relation` (`TABLE_NAME`, `CHILD_TABLE_NAME`, `SQL_QUERY`, `ERROR_DESC` ,`ERROR_DESC_JSON`) VALUES ('" &amp;$H22 &amp; "', '" &amp; $Y22 &amp; "', '" &amp; "select count(*) from "&amp; $Y22 &amp;" where " &amp; IF(COUNTIF(D:D,"IS_DESTROYED"),"IS_DESTROYED=0 and ","") &amp;   $D22 &amp; "={pid}" &amp; "', " &amp; "'【"&amp; $Z22 &amp;"】已使用此筆資料，故不可刪除!!'" &amp; ",'" &amp; SUBSTITUTE("{'zh_TW': '" &amp;  "【"&amp; $Z22 &amp;"】已使用此筆資料，不可刪除!!"  &amp; "' ,'en_US': '" &amp;  "Have used this information, it can not be deleted !!" &amp; "'  ,'zh_CN': '" &amp; "【"&amp; $Z22 &amp;"】已使用此筆資料，不可刪除!!" &amp; "' }", CHAR(39),CHAR(34))   &amp; "');","")</f>
        <v>#REF!</v>
      </c>
    </row>
    <row r="23" spans="28:28">
      <c r="AB23" s="4" t="e">
        <f>IF(#REF!="Y","INSERT INTO `sys_table_relation` (`TABLE_NAME`, `CHILD_TABLE_NAME`, `SQL_QUERY`, `ERROR_DESC` ,`ERROR_DESC_JSON`) VALUES ('" &amp;$H23 &amp; "', '" &amp; $Y23 &amp; "', '" &amp; "select count(*) from "&amp; $Y23 &amp;" where " &amp; IF(COUNTIF(D:D,"IS_DESTROYED"),"IS_DESTROYED=0 and ","") &amp;   $D23 &amp; "={pid}" &amp; "', " &amp; "'【"&amp; $Z23 &amp;"】已使用此筆資料，故不可刪除!!'" &amp; ",'" &amp; SUBSTITUTE("{'zh_TW': '" &amp;  "【"&amp; $Z23 &amp;"】已使用此筆資料，不可刪除!!"  &amp; "' ,'en_US': '" &amp;  "Have used this information, it can not be deleted !!" &amp; "'  ,'zh_CN': '" &amp; "【"&amp; $Z23 &amp;"】已使用此筆資料，不可刪除!!" &amp; "' }", CHAR(39),CHAR(34))   &amp; "');","")</f>
        <v>#REF!</v>
      </c>
    </row>
    <row r="24" spans="28:28">
      <c r="AB24" s="4" t="e">
        <f>IF(#REF!="Y","INSERT INTO `sys_table_relation` (`TABLE_NAME`, `CHILD_TABLE_NAME`, `SQL_QUERY`, `ERROR_DESC` ,`ERROR_DESC_JSON`) VALUES ('" &amp;$H24 &amp; "', '" &amp; $Y24 &amp; "', '" &amp; "select count(*) from "&amp; $Y24 &amp;" where " &amp; IF(COUNTIF(D:D,"IS_DESTROYED"),"IS_DESTROYED=0 and ","") &amp;   $D24 &amp; "={pid}" &amp; "', " &amp; "'【"&amp; $Z24 &amp;"】已使用此筆資料，故不可刪除!!'" &amp; ",'" &amp; SUBSTITUTE("{'zh_TW': '" &amp;  "【"&amp; $Z24 &amp;"】已使用此筆資料，不可刪除!!"  &amp; "' ,'en_US': '" &amp;  "Have used this information, it can not be deleted !!" &amp; "'  ,'zh_CN': '" &amp; "【"&amp; $Z24 &amp;"】已使用此筆資料，不可刪除!!" &amp; "' }", CHAR(39),CHAR(34))   &amp; "');","")</f>
        <v>#REF!</v>
      </c>
    </row>
    <row r="25" spans="28:28">
      <c r="AB25" s="4" t="e">
        <f>IF(#REF!="Y","INSERT INTO `sys_table_relation` (`TABLE_NAME`, `CHILD_TABLE_NAME`, `SQL_QUERY`, `ERROR_DESC` ,`ERROR_DESC_JSON`) VALUES ('" &amp;$H25 &amp; "', '" &amp; $Y25 &amp; "', '" &amp; "select count(*) from "&amp; $Y25 &amp;" where " &amp; IF(COUNTIF(D:D,"IS_DESTROYED"),"IS_DESTROYED=0 and ","") &amp;   $D25 &amp; "={pid}" &amp; "', " &amp; "'【"&amp; $Z25 &amp;"】已使用此筆資料，故不可刪除!!'" &amp; ",'" &amp; SUBSTITUTE("{'zh_TW': '" &amp;  "【"&amp; $Z25 &amp;"】已使用此筆資料，不可刪除!!"  &amp; "' ,'en_US': '" &amp;  "Have used this information, it can not be deleted !!" &amp; "'  ,'zh_CN': '" &amp; "【"&amp; $Z25 &amp;"】已使用此筆資料，不可刪除!!" &amp; "' }", CHAR(39),CHAR(34))   &amp; "');","")</f>
        <v>#REF!</v>
      </c>
    </row>
    <row r="26" spans="28:28">
      <c r="AB26" s="4" t="e">
        <f>IF(#REF!="Y","INSERT INTO `sys_table_relation` (`TABLE_NAME`, `CHILD_TABLE_NAME`, `SQL_QUERY`, `ERROR_DESC` ,`ERROR_DESC_JSON`) VALUES ('" &amp;$H26 &amp; "', '" &amp; $Y26 &amp; "', '" &amp; "select count(*) from "&amp; $Y26 &amp;" where " &amp; IF(COUNTIF(D:D,"IS_DESTROYED"),"IS_DESTROYED=0 and ","") &amp;   $D26 &amp; "={pid}" &amp; "', " &amp; "'【"&amp; $Z26 &amp;"】已使用此筆資料，故不可刪除!!'" &amp; ",'" &amp; SUBSTITUTE("{'zh_TW': '" &amp;  "【"&amp; $Z26 &amp;"】已使用此筆資料，不可刪除!!"  &amp; "' ,'en_US': '" &amp;  "Have used this information, it can not be deleted !!" &amp; "'  ,'zh_CN': '" &amp; "【"&amp; $Z26 &amp;"】已使用此筆資料，不可刪除!!" &amp; "' }", CHAR(39),CHAR(34))   &amp; "');","")</f>
        <v>#REF!</v>
      </c>
    </row>
    <row r="27" spans="28:28">
      <c r="AB27" s="4" t="e">
        <f>IF(#REF!="Y","INSERT INTO `sys_table_relation` (`TABLE_NAME`, `CHILD_TABLE_NAME`, `SQL_QUERY`, `ERROR_DESC` ,`ERROR_DESC_JSON`) VALUES ('" &amp;$H27 &amp; "', '" &amp; $Y27 &amp; "', '" &amp; "select count(*) from "&amp; $Y27 &amp;" where " &amp; IF(COUNTIF(D:D,"IS_DESTROYED"),"IS_DESTROYED=0 and ","") &amp;   $D27 &amp; "={pid}" &amp; "', " &amp; "'【"&amp; $Z27 &amp;"】已使用此筆資料，故不可刪除!!'" &amp; ",'" &amp; SUBSTITUTE("{'zh_TW': '" &amp;  "【"&amp; $Z27 &amp;"】已使用此筆資料，不可刪除!!"  &amp; "' ,'en_US': '" &amp;  "Have used this information, it can not be deleted !!" &amp; "'  ,'zh_CN': '" &amp; "【"&amp; $Z27 &amp;"】已使用此筆資料，不可刪除!!" &amp; "' }", CHAR(39),CHAR(34))   &amp; "');","")</f>
        <v>#REF!</v>
      </c>
    </row>
    <row r="28" spans="28:28">
      <c r="AB28" s="4" t="e">
        <f>IF(#REF!="Y","INSERT INTO `sys_table_relation` (`TABLE_NAME`, `CHILD_TABLE_NAME`, `SQL_QUERY`, `ERROR_DESC` ,`ERROR_DESC_JSON`) VALUES ('" &amp;$H28 &amp; "', '" &amp; $Y28 &amp; "', '" &amp; "select count(*) from "&amp; $Y28 &amp;" where " &amp; IF(COUNTIF(D:D,"IS_DESTROYED"),"IS_DESTROYED=0 and ","") &amp;   $D28 &amp; "={pid}" &amp; "', " &amp; "'【"&amp; $Z28 &amp;"】已使用此筆資料，故不可刪除!!'" &amp; ",'" &amp; SUBSTITUTE("{'zh_TW': '" &amp;  "【"&amp; $Z28 &amp;"】已使用此筆資料，不可刪除!!"  &amp; "' ,'en_US': '" &amp;  "Have used this information, it can not be deleted !!" &amp; "'  ,'zh_CN': '" &amp; "【"&amp; $Z28 &amp;"】已使用此筆資料，不可刪除!!" &amp; "' }", CHAR(39),CHAR(34))   &amp; "');","")</f>
        <v>#REF!</v>
      </c>
    </row>
    <row r="29" spans="28:28">
      <c r="AB29" s="4" t="e">
        <f>IF(#REF!="Y","INSERT INTO `sys_table_relation` (`TABLE_NAME`, `CHILD_TABLE_NAME`, `SQL_QUERY`, `ERROR_DESC` ,`ERROR_DESC_JSON`) VALUES ('" &amp;$H29 &amp; "', '" &amp; $Y29 &amp; "', '" &amp; "select count(*) from "&amp; $Y29 &amp;" where " &amp; IF(COUNTIF(D:D,"IS_DESTROYED"),"IS_DESTROYED=0 and ","") &amp;   $D29 &amp; "={pid}" &amp; "', " &amp; "'【"&amp; $Z29 &amp;"】已使用此筆資料，故不可刪除!!'" &amp; ",'" &amp; SUBSTITUTE("{'zh_TW': '" &amp;  "【"&amp; $Z29 &amp;"】已使用此筆資料，不可刪除!!"  &amp; "' ,'en_US': '" &amp;  "Have used this information, it can not be deleted !!" &amp; "'  ,'zh_CN': '" &amp; "【"&amp; $Z29 &amp;"】已使用此筆資料，不可刪除!!" &amp; "' }", CHAR(39),CHAR(34))   &amp; "');","")</f>
        <v>#REF!</v>
      </c>
    </row>
    <row r="30" spans="28:28">
      <c r="AB30" s="4" t="e">
        <f>IF(#REF!="Y","INSERT INTO `sys_table_relation` (`TABLE_NAME`, `CHILD_TABLE_NAME`, `SQL_QUERY`, `ERROR_DESC` ,`ERROR_DESC_JSON`) VALUES ('" &amp;$H30 &amp; "', '" &amp; $Y30 &amp; "', '" &amp; "select count(*) from "&amp; $Y30 &amp;" where " &amp; IF(COUNTIF(D:D,"IS_DESTROYED"),"IS_DESTROYED=0 and ","") &amp;   $D30 &amp; "={pid}" &amp; "', " &amp; "'【"&amp; $Z30 &amp;"】已使用此筆資料，故不可刪除!!'" &amp; ",'" &amp; SUBSTITUTE("{'zh_TW': '" &amp;  "【"&amp; $Z30 &amp;"】已使用此筆資料，不可刪除!!"  &amp; "' ,'en_US': '" &amp;  "Have used this information, it can not be deleted !!" &amp; "'  ,'zh_CN': '" &amp; "【"&amp; $Z30 &amp;"】已使用此筆資料，不可刪除!!" &amp; "' }", CHAR(39),CHAR(34))   &amp; "');","")</f>
        <v>#REF!</v>
      </c>
    </row>
    <row r="31" spans="28:28">
      <c r="AB31" s="4" t="e">
        <f>IF(#REF!="Y","INSERT INTO `sys_table_relation` (`TABLE_NAME`, `CHILD_TABLE_NAME`, `SQL_QUERY`, `ERROR_DESC` ,`ERROR_DESC_JSON`) VALUES ('" &amp;$H31 &amp; "', '" &amp; $Y31 &amp; "', '" &amp; "select count(*) from "&amp; $Y31 &amp;" where " &amp; IF(COUNTIF(D:D,"IS_DESTROYED"),"IS_DESTROYED=0 and ","") &amp;   $D31 &amp; "={pid}" &amp; "', " &amp; "'【"&amp; $Z31 &amp;"】已使用此筆資料，故不可刪除!!'" &amp; ",'" &amp; SUBSTITUTE("{'zh_TW': '" &amp;  "【"&amp; $Z31 &amp;"】已使用此筆資料，不可刪除!!"  &amp; "' ,'en_US': '" &amp;  "Have used this information, it can not be deleted !!" &amp; "'  ,'zh_CN': '" &amp; "【"&amp; $Z31 &amp;"】已使用此筆資料，不可刪除!!" &amp; "' }", CHAR(39),CHAR(34))   &amp; "');","")</f>
        <v>#REF!</v>
      </c>
    </row>
    <row r="32" spans="28:28">
      <c r="AB32" s="4" t="e">
        <f>IF(#REF!="Y","INSERT INTO `sys_table_relation` (`TABLE_NAME`, `CHILD_TABLE_NAME`, `SQL_QUERY`, `ERROR_DESC` ,`ERROR_DESC_JSON`) VALUES ('" &amp;$H32 &amp; "', '" &amp; $Y32 &amp; "', '" &amp; "select count(*) from "&amp; $Y32 &amp;" where " &amp; IF(COUNTIF(D:D,"IS_DESTROYED"),"IS_DESTROYED=0 and ","") &amp;   $D32 &amp; "={pid}" &amp; "', " &amp; "'【"&amp; $Z32 &amp;"】已使用此筆資料，故不可刪除!!'" &amp; ",'" &amp; SUBSTITUTE("{'zh_TW': '" &amp;  "【"&amp; $Z32 &amp;"】已使用此筆資料，不可刪除!!"  &amp; "' ,'en_US': '" &amp;  "Have used this information, it can not be deleted !!" &amp; "'  ,'zh_CN': '" &amp; "【"&amp; $Z32 &amp;"】已使用此筆資料，不可刪除!!" &amp; "' }", CHAR(39),CHAR(34))   &amp; "');","")</f>
        <v>#REF!</v>
      </c>
    </row>
    <row r="33" spans="28:28">
      <c r="AB33" s="4" t="e">
        <f>IF(#REF!="Y","INSERT INTO `sys_table_relation` (`TABLE_NAME`, `CHILD_TABLE_NAME`, `SQL_QUERY`, `ERROR_DESC` ,`ERROR_DESC_JSON`) VALUES ('" &amp;$H33 &amp; "', '" &amp; $Y33 &amp; "', '" &amp; "select count(*) from "&amp; $Y33 &amp;" where " &amp; IF(COUNTIF(D:D,"IS_DESTROYED"),"IS_DESTROYED=0 and ","") &amp;   $D33 &amp; "={pid}" &amp; "', " &amp; "'【"&amp; $Z33 &amp;"】已使用此筆資料，故不可刪除!!'" &amp; ",'" &amp; SUBSTITUTE("{'zh_TW': '" &amp;  "【"&amp; $Z33 &amp;"】已使用此筆資料，不可刪除!!"  &amp; "' ,'en_US': '" &amp;  "Have used this information, it can not be deleted !!" &amp; "'  ,'zh_CN': '" &amp; "【"&amp; $Z33 &amp;"】已使用此筆資料，不可刪除!!" &amp; "' }", CHAR(39),CHAR(34))   &amp; "');","")</f>
        <v>#REF!</v>
      </c>
    </row>
    <row r="34" spans="28:28">
      <c r="AB34" s="4" t="e">
        <f>IF(#REF!="Y","INSERT INTO `sys_table_relation` (`TABLE_NAME`, `CHILD_TABLE_NAME`, `SQL_QUERY`, `ERROR_DESC` ,`ERROR_DESC_JSON`) VALUES ('" &amp;$H34 &amp; "', '" &amp; $Y34 &amp; "', '" &amp; "select count(*) from "&amp; $Y34 &amp;" where " &amp; IF(COUNTIF(D:D,"IS_DESTROYED"),"IS_DESTROYED=0 and ","") &amp;   $D34 &amp; "={pid}" &amp; "', " &amp; "'【"&amp; $Z34 &amp;"】已使用此筆資料，故不可刪除!!'" &amp; ",'" &amp; SUBSTITUTE("{'zh_TW': '" &amp;  "【"&amp; $Z34 &amp;"】已使用此筆資料，不可刪除!!"  &amp; "' ,'en_US': '" &amp;  "Have used this information, it can not be deleted !!" &amp; "'  ,'zh_CN': '" &amp; "【"&amp; $Z34 &amp;"】已使用此筆資料，不可刪除!!" &amp; "' }", CHAR(39),CHAR(34))   &amp; "');","")</f>
        <v>#REF!</v>
      </c>
    </row>
    <row r="35" spans="28:28">
      <c r="AB35" s="4" t="e">
        <f>IF(#REF!="Y","INSERT INTO `sys_table_relation` (`TABLE_NAME`, `CHILD_TABLE_NAME`, `SQL_QUERY`, `ERROR_DESC` ,`ERROR_DESC_JSON`) VALUES ('" &amp;$H35 &amp; "', '" &amp; $Y35 &amp; "', '" &amp; "select count(*) from "&amp; $Y35 &amp;" where " &amp; IF(COUNTIF(D:D,"IS_DESTROYED"),"IS_DESTROYED=0 and ","") &amp;   $D35 &amp; "={pid}" &amp; "', " &amp; "'【"&amp; $Z35 &amp;"】已使用此筆資料，故不可刪除!!'" &amp; ",'" &amp; SUBSTITUTE("{'zh_TW': '" &amp;  "【"&amp; $Z35 &amp;"】已使用此筆資料，不可刪除!!"  &amp; "' ,'en_US': '" &amp;  "Have used this information, it can not be deleted !!" &amp; "'  ,'zh_CN': '" &amp; "【"&amp; $Z35 &amp;"】已使用此筆資料，不可刪除!!" &amp; "' }", CHAR(39),CHAR(34))   &amp; "');","")</f>
        <v>#REF!</v>
      </c>
    </row>
    <row r="36" spans="28:28">
      <c r="AB36" s="4" t="e">
        <f>IF(#REF!="Y","INSERT INTO `sys_table_relation` (`TABLE_NAME`, `CHILD_TABLE_NAME`, `SQL_QUERY`, `ERROR_DESC` ,`ERROR_DESC_JSON`) VALUES ('" &amp;$H36 &amp; "', '" &amp; $Y36 &amp; "', '" &amp; "select count(*) from "&amp; $Y36 &amp;" where " &amp; IF(COUNTIF(D:D,"IS_DESTROYED"),"IS_DESTROYED=0 and ","") &amp;   $D36 &amp; "={pid}" &amp; "', " &amp; "'【"&amp; $Z36 &amp;"】已使用此筆資料，故不可刪除!!'" &amp; ",'" &amp; SUBSTITUTE("{'zh_TW': '" &amp;  "【"&amp; $Z36 &amp;"】已使用此筆資料，不可刪除!!"  &amp; "' ,'en_US': '" &amp;  "Have used this information, it can not be deleted !!" &amp; "'  ,'zh_CN': '" &amp; "【"&amp; $Z36 &amp;"】已使用此筆資料，不可刪除!!" &amp; "' }", CHAR(39),CHAR(34))   &amp; "');","")</f>
        <v>#REF!</v>
      </c>
    </row>
    <row r="37" spans="28:28">
      <c r="AB37" s="4" t="e">
        <f>IF(#REF!="Y","INSERT INTO `sys_table_relation` (`TABLE_NAME`, `CHILD_TABLE_NAME`, `SQL_QUERY`, `ERROR_DESC` ,`ERROR_DESC_JSON`) VALUES ('" &amp;$H37 &amp; "', '" &amp; $Y37 &amp; "', '" &amp; "select count(*) from "&amp; $Y37 &amp;" where " &amp; IF(COUNTIF(D:D,"IS_DESTROYED"),"IS_DESTROYED=0 and ","") &amp;   $D37 &amp; "={pid}" &amp; "', " &amp; "'【"&amp; $Z37 &amp;"】已使用此筆資料，故不可刪除!!'" &amp; ",'" &amp; SUBSTITUTE("{'zh_TW': '" &amp;  "【"&amp; $Z37 &amp;"】已使用此筆資料，不可刪除!!"  &amp; "' ,'en_US': '" &amp;  "Have used this information, it can not be deleted !!" &amp; "'  ,'zh_CN': '" &amp; "【"&amp; $Z37 &amp;"】已使用此筆資料，不可刪除!!" &amp; "' }", CHAR(39),CHAR(34))   &amp; "');","")</f>
        <v>#REF!</v>
      </c>
    </row>
    <row r="38" spans="28:28">
      <c r="AB38" s="4" t="e">
        <f>IF(#REF!="Y","INSERT INTO `sys_table_relation` (`TABLE_NAME`, `CHILD_TABLE_NAME`, `SQL_QUERY`, `ERROR_DESC` ,`ERROR_DESC_JSON`) VALUES ('" &amp;$H38 &amp; "', '" &amp; $Y38 &amp; "', '" &amp; "select count(*) from "&amp; $Y38 &amp;" where " &amp; IF(COUNTIF(D:D,"IS_DESTROYED"),"IS_DESTROYED=0 and ","") &amp;   $D38 &amp; "={pid}" &amp; "', " &amp; "'【"&amp; $Z38 &amp;"】已使用此筆資料，故不可刪除!!'" &amp; ",'" &amp; SUBSTITUTE("{'zh_TW': '" &amp;  "【"&amp; $Z38 &amp;"】已使用此筆資料，不可刪除!!"  &amp; "' ,'en_US': '" &amp;  "Have used this information, it can not be deleted !!" &amp; "'  ,'zh_CN': '" &amp; "【"&amp; $Z38 &amp;"】已使用此筆資料，不可刪除!!" &amp; "' }", CHAR(39),CHAR(34))   &amp; "');","")</f>
        <v>#REF!</v>
      </c>
    </row>
    <row r="39" spans="28:28">
      <c r="AB39" s="4" t="e">
        <f>IF(#REF!="Y","INSERT INTO `sys_table_relation` (`TABLE_NAME`, `CHILD_TABLE_NAME`, `SQL_QUERY`, `ERROR_DESC` ,`ERROR_DESC_JSON`) VALUES ('" &amp;$H39 &amp; "', '" &amp; $Y39 &amp; "', '" &amp; "select count(*) from "&amp; $Y39 &amp;" where " &amp; IF(COUNTIF(D:D,"IS_DESTROYED"),"IS_DESTROYED=0 and ","") &amp;   $D39 &amp; "={pid}" &amp; "', " &amp; "'【"&amp; $Z39 &amp;"】已使用此筆資料，故不可刪除!!'" &amp; ",'" &amp; SUBSTITUTE("{'zh_TW': '" &amp;  "【"&amp; $Z39 &amp;"】已使用此筆資料，不可刪除!!"  &amp; "' ,'en_US': '" &amp;  "Have used this information, it can not be deleted !!" &amp; "'  ,'zh_CN': '" &amp; "【"&amp; $Z39 &amp;"】已使用此筆資料，不可刪除!!" &amp; "' }", CHAR(39),CHAR(34))   &amp; "');","")</f>
        <v>#REF!</v>
      </c>
    </row>
    <row r="40" spans="28:28">
      <c r="AB40" s="4" t="e">
        <f>IF(#REF!="Y","INSERT INTO `sys_table_relation` (`TABLE_NAME`, `CHILD_TABLE_NAME`, `SQL_QUERY`, `ERROR_DESC` ,`ERROR_DESC_JSON`) VALUES ('" &amp;$H40 &amp; "', '" &amp; $Y40 &amp; "', '" &amp; "select count(*) from "&amp; $Y40 &amp;" where " &amp; IF(COUNTIF(D:D,"IS_DESTROYED"),"IS_DESTROYED=0 and ","") &amp;   $D40 &amp; "={pid}" &amp; "', " &amp; "'【"&amp; $Z40 &amp;"】已使用此筆資料，故不可刪除!!'" &amp; ",'" &amp; SUBSTITUTE("{'zh_TW': '" &amp;  "【"&amp; $Z40 &amp;"】已使用此筆資料，不可刪除!!"  &amp; "' ,'en_US': '" &amp;  "Have used this information, it can not be deleted !!" &amp; "'  ,'zh_CN': '" &amp; "【"&amp; $Z40 &amp;"】已使用此筆資料，不可刪除!!" &amp; "' }", CHAR(39),CHAR(34))   &amp; "');","")</f>
        <v>#REF!</v>
      </c>
    </row>
    <row r="41" spans="28:28">
      <c r="AB41" s="4" t="e">
        <f>IF(#REF!="Y","INSERT INTO `sys_table_relation` (`TABLE_NAME`, `CHILD_TABLE_NAME`, `SQL_QUERY`, `ERROR_DESC` ,`ERROR_DESC_JSON`) VALUES ('" &amp;$H41 &amp; "', '" &amp; $Y41 &amp; "', '" &amp; "select count(*) from "&amp; $Y41 &amp;" where " &amp; IF(COUNTIF(D:D,"IS_DESTROYED"),"IS_DESTROYED=0 and ","") &amp;   $D41 &amp; "={pid}" &amp; "', " &amp; "'【"&amp; $Z41 &amp;"】已使用此筆資料，故不可刪除!!'" &amp; ",'" &amp; SUBSTITUTE("{'zh_TW': '" &amp;  "【"&amp; $Z41 &amp;"】已使用此筆資料，不可刪除!!"  &amp; "' ,'en_US': '" &amp;  "Have used this information, it can not be deleted !!" &amp; "'  ,'zh_CN': '" &amp; "【"&amp; $Z41 &amp;"】已使用此筆資料，不可刪除!!" &amp; "' }", CHAR(39),CHAR(34))   &amp; "');","")</f>
        <v>#REF!</v>
      </c>
    </row>
    <row r="42" spans="28:28">
      <c r="AB42" s="4" t="e">
        <f>IF(#REF!="Y","INSERT INTO `sys_table_relation` (`TABLE_NAME`, `CHILD_TABLE_NAME`, `SQL_QUERY`, `ERROR_DESC` ,`ERROR_DESC_JSON`) VALUES ('" &amp;$H42 &amp; "', '" &amp; $Y42 &amp; "', '" &amp; "select count(*) from "&amp; $Y42 &amp;" where " &amp; IF(COUNTIF(D:D,"IS_DESTROYED"),"IS_DESTROYED=0 and ","") &amp;   $D42 &amp; "={pid}" &amp; "', " &amp; "'【"&amp; $Z42 &amp;"】已使用此筆資料，故不可刪除!!'" &amp; ",'" &amp; SUBSTITUTE("{'zh_TW': '" &amp;  "【"&amp; $Z42 &amp;"】已使用此筆資料，不可刪除!!"  &amp; "' ,'en_US': '" &amp;  "Have used this information, it can not be deleted !!" &amp; "'  ,'zh_CN': '" &amp; "【"&amp; $Z42 &amp;"】已使用此筆資料，不可刪除!!" &amp; "' }", CHAR(39),CHAR(34))   &amp; "');","")</f>
        <v>#REF!</v>
      </c>
    </row>
    <row r="43" spans="28:28">
      <c r="AB43" s="4" t="e">
        <f>IF(#REF!="Y","INSERT INTO `sys_table_relation` (`TABLE_NAME`, `CHILD_TABLE_NAME`, `SQL_QUERY`, `ERROR_DESC` ,`ERROR_DESC_JSON`) VALUES ('" &amp;$H43 &amp; "', '" &amp; $Y43 &amp; "', '" &amp; "select count(*) from "&amp; $Y43 &amp;" where " &amp; IF(COUNTIF(D:D,"IS_DESTROYED"),"IS_DESTROYED=0 and ","") &amp;   $D43 &amp; "={pid}" &amp; "', " &amp; "'【"&amp; $Z43 &amp;"】已使用此筆資料，故不可刪除!!'" &amp; ",'" &amp; SUBSTITUTE("{'zh_TW': '" &amp;  "【"&amp; $Z43 &amp;"】已使用此筆資料，不可刪除!!"  &amp; "' ,'en_US': '" &amp;  "Have used this information, it can not be deleted !!" &amp; "'  ,'zh_CN': '" &amp; "【"&amp; $Z43 &amp;"】已使用此筆資料，不可刪除!!" &amp; "' }", CHAR(39),CHAR(34))   &amp; "');","")</f>
        <v>#REF!</v>
      </c>
    </row>
    <row r="44" spans="28:28">
      <c r="AB44" s="4" t="e">
        <f>IF(#REF!="Y","INSERT INTO `sys_table_relation` (`TABLE_NAME`, `CHILD_TABLE_NAME`, `SQL_QUERY`, `ERROR_DESC` ,`ERROR_DESC_JSON`) VALUES ('" &amp;$H44 &amp; "', '" &amp; $Y44 &amp; "', '" &amp; "select count(*) from "&amp; $Y44 &amp;" where " &amp; IF(COUNTIF(D:D,"IS_DESTROYED"),"IS_DESTROYED=0 and ","") &amp;   $D44 &amp; "={pid}" &amp; "', " &amp; "'【"&amp; $Z44 &amp;"】已使用此筆資料，故不可刪除!!'" &amp; ",'" &amp; SUBSTITUTE("{'zh_TW': '" &amp;  "【"&amp; $Z44 &amp;"】已使用此筆資料，不可刪除!!"  &amp; "' ,'en_US': '" &amp;  "Have used this information, it can not be deleted !!" &amp; "'  ,'zh_CN': '" &amp; "【"&amp; $Z44 &amp;"】已使用此筆資料，不可刪除!!" &amp; "' }", CHAR(39),CHAR(34))   &amp; "');","")</f>
        <v>#REF!</v>
      </c>
    </row>
    <row r="45" spans="28:28">
      <c r="AB45" s="4" t="e">
        <f>IF(#REF!="Y","INSERT INTO `sys_table_relation` (`TABLE_NAME`, `CHILD_TABLE_NAME`, `SQL_QUERY`, `ERROR_DESC` ,`ERROR_DESC_JSON`) VALUES ('" &amp;$H45 &amp; "', '" &amp; $Y45 &amp; "', '" &amp; "select count(*) from "&amp; $Y45 &amp;" where " &amp; IF(COUNTIF(D:D,"IS_DESTROYED"),"IS_DESTROYED=0 and ","") &amp;   $D45 &amp; "={pid}" &amp; "', " &amp; "'【"&amp; $Z45 &amp;"】已使用此筆資料，故不可刪除!!'" &amp; ",'" &amp; SUBSTITUTE("{'zh_TW': '" &amp;  "【"&amp; $Z45 &amp;"】已使用此筆資料，不可刪除!!"  &amp; "' ,'en_US': '" &amp;  "Have used this information, it can not be deleted !!" &amp; "'  ,'zh_CN': '" &amp; "【"&amp; $Z45 &amp;"】已使用此筆資料，不可刪除!!" &amp; "' }", CHAR(39),CHAR(34))   &amp; "');","")</f>
        <v>#REF!</v>
      </c>
    </row>
    <row r="46" spans="28:28">
      <c r="AB46" s="4" t="e">
        <f>IF(#REF!="Y","INSERT INTO `sys_table_relation` (`TABLE_NAME`, `CHILD_TABLE_NAME`, `SQL_QUERY`, `ERROR_DESC` ,`ERROR_DESC_JSON`) VALUES ('" &amp;$H46 &amp; "', '" &amp; $Y46 &amp; "', '" &amp; "select count(*) from "&amp; $Y46 &amp;" where " &amp; IF(COUNTIF(D:D,"IS_DESTROYED"),"IS_DESTROYED=0 and ","") &amp;   $D46 &amp; "={pid}" &amp; "', " &amp; "'【"&amp; $Z46 &amp;"】已使用此筆資料，故不可刪除!!'" &amp; ",'" &amp; SUBSTITUTE("{'zh_TW': '" &amp;  "【"&amp; $Z46 &amp;"】已使用此筆資料，不可刪除!!"  &amp; "' ,'en_US': '" &amp;  "Have used this information, it can not be deleted !!" &amp; "'  ,'zh_CN': '" &amp; "【"&amp; $Z46 &amp;"】已使用此筆資料，不可刪除!!" &amp; "' }", CHAR(39),CHAR(34))   &amp; "');","")</f>
        <v>#REF!</v>
      </c>
    </row>
    <row r="47" spans="28:28">
      <c r="AB47" s="4" t="e">
        <f>IF(#REF!="Y","INSERT INTO `sys_table_relation` (`TABLE_NAME`, `CHILD_TABLE_NAME`, `SQL_QUERY`, `ERROR_DESC` ,`ERROR_DESC_JSON`) VALUES ('" &amp;$H47 &amp; "', '" &amp; $Y47 &amp; "', '" &amp; "select count(*) from "&amp; $Y47 &amp;" where " &amp; IF(COUNTIF(D:D,"IS_DESTROYED"),"IS_DESTROYED=0 and ","") &amp;   $D47 &amp; "={pid}" &amp; "', " &amp; "'【"&amp; $Z47 &amp;"】已使用此筆資料，故不可刪除!!'" &amp; ",'" &amp; SUBSTITUTE("{'zh_TW': '" &amp;  "【"&amp; $Z47 &amp;"】已使用此筆資料，不可刪除!!"  &amp; "' ,'en_US': '" &amp;  "Have used this information, it can not be deleted !!" &amp; "'  ,'zh_CN': '" &amp; "【"&amp; $Z47 &amp;"】已使用此筆資料，不可刪除!!" &amp; "' }", CHAR(39),CHAR(34))   &amp; "');","")</f>
        <v>#REF!</v>
      </c>
    </row>
    <row r="48" spans="28:28">
      <c r="AB48" s="4" t="e">
        <f>IF(#REF!="Y","INSERT INTO `sys_table_relation` (`TABLE_NAME`, `CHILD_TABLE_NAME`, `SQL_QUERY`, `ERROR_DESC` ,`ERROR_DESC_JSON`) VALUES ('" &amp;$H48 &amp; "', '" &amp; $Y48 &amp; "', '" &amp; "select count(*) from "&amp; $Y48 &amp;" where " &amp; IF(COUNTIF(D:D,"IS_DESTROYED"),"IS_DESTROYED=0 and ","") &amp;   $D48 &amp; "={pid}" &amp; "', " &amp; "'【"&amp; $Z48 &amp;"】已使用此筆資料，故不可刪除!!'" &amp; ",'" &amp; SUBSTITUTE("{'zh_TW': '" &amp;  "【"&amp; $Z48 &amp;"】已使用此筆資料，不可刪除!!"  &amp; "' ,'en_US': '" &amp;  "Have used this information, it can not be deleted !!" &amp; "'  ,'zh_CN': '" &amp; "【"&amp; $Z48 &amp;"】已使用此筆資料，不可刪除!!" &amp; "' }", CHAR(39),CHAR(34))   &amp; "');","")</f>
        <v>#REF!</v>
      </c>
    </row>
    <row r="49" spans="28:28">
      <c r="AB49" s="4" t="e">
        <f>IF(#REF!="Y","INSERT INTO `sys_table_relation` (`TABLE_NAME`, `CHILD_TABLE_NAME`, `SQL_QUERY`, `ERROR_DESC` ,`ERROR_DESC_JSON`) VALUES ('" &amp;$H49 &amp; "', '" &amp; $Y49 &amp; "', '" &amp; "select count(*) from "&amp; $Y49 &amp;" where " &amp; IF(COUNTIF(D:D,"IS_DESTROYED"),"IS_DESTROYED=0 and ","") &amp;   $D49 &amp; "={pid}" &amp; "', " &amp; "'【"&amp; $Z49 &amp;"】已使用此筆資料，故不可刪除!!'" &amp; ",'" &amp; SUBSTITUTE("{'zh_TW': '" &amp;  "【"&amp; $Z49 &amp;"】已使用此筆資料，不可刪除!!"  &amp; "' ,'en_US': '" &amp;  "Have used this information, it can not be deleted !!" &amp; "'  ,'zh_CN': '" &amp; "【"&amp; $Z49 &amp;"】已使用此筆資料，不可刪除!!" &amp; "' }", CHAR(39),CHAR(34))   &amp; "');","")</f>
        <v>#REF!</v>
      </c>
    </row>
    <row r="50" spans="28:28">
      <c r="AB50" s="4" t="e">
        <f>IF(#REF!="Y","INSERT INTO `sys_table_relation` (`TABLE_NAME`, `CHILD_TABLE_NAME`, `SQL_QUERY`, `ERROR_DESC` ,`ERROR_DESC_JSON`) VALUES ('" &amp;$H50 &amp; "', '" &amp; $Y50 &amp; "', '" &amp; "select count(*) from "&amp; $Y50 &amp;" where " &amp; IF(COUNTIF(D:D,"IS_DESTROYED"),"IS_DESTROYED=0 and ","") &amp;   $D50 &amp; "={pid}" &amp; "', " &amp; "'【"&amp; $Z50 &amp;"】已使用此筆資料，故不可刪除!!'" &amp; ",'" &amp; SUBSTITUTE("{'zh_TW': '" &amp;  "【"&amp; $Z50 &amp;"】已使用此筆資料，不可刪除!!"  &amp; "' ,'en_US': '" &amp;  "Have used this information, it can not be deleted !!" &amp; "'  ,'zh_CN': '" &amp; "【"&amp; $Z50 &amp;"】已使用此筆資料，不可刪除!!" &amp; "' }", CHAR(39),CHAR(34))   &amp; "');","")</f>
        <v>#REF!</v>
      </c>
    </row>
    <row r="51" spans="28:28">
      <c r="AB51" s="4" t="e">
        <f>IF(#REF!="Y","INSERT INTO `sys_table_relation` (`TABLE_NAME`, `CHILD_TABLE_NAME`, `SQL_QUERY`, `ERROR_DESC` ,`ERROR_DESC_JSON`) VALUES ('" &amp;$H51 &amp; "', '" &amp; $Y51 &amp; "', '" &amp; "select count(*) from "&amp; $Y51 &amp;" where " &amp; IF(COUNTIF(D:D,"IS_DESTROYED"),"IS_DESTROYED=0 and ","") &amp;   $D51 &amp; "={pid}" &amp; "', " &amp; "'【"&amp; $Z51 &amp;"】已使用此筆資料，故不可刪除!!'" &amp; ",'" &amp; SUBSTITUTE("{'zh_TW': '" &amp;  "【"&amp; $Z51 &amp;"】已使用此筆資料，不可刪除!!"  &amp; "' ,'en_US': '" &amp;  "Have used this information, it can not be deleted !!" &amp; "'  ,'zh_CN': '" &amp; "【"&amp; $Z51 &amp;"】已使用此筆資料，不可刪除!!" &amp; "' }", CHAR(39),CHAR(34))   &amp; "');","")</f>
        <v>#REF!</v>
      </c>
    </row>
    <row r="52" spans="28:28">
      <c r="AB52" s="4" t="e">
        <f>IF(#REF!="Y","INSERT INTO `sys_table_relation` (`TABLE_NAME`, `CHILD_TABLE_NAME`, `SQL_QUERY`, `ERROR_DESC` ,`ERROR_DESC_JSON`) VALUES ('" &amp;$H52 &amp; "', '" &amp; $Y52 &amp; "', '" &amp; "select count(*) from "&amp; $Y52 &amp;" where " &amp; IF(COUNTIF(D:D,"IS_DESTROYED"),"IS_DESTROYED=0 and ","") &amp;   $D52 &amp; "={pid}" &amp; "', " &amp; "'【"&amp; $Z52 &amp;"】已使用此筆資料，故不可刪除!!'" &amp; ",'" &amp; SUBSTITUTE("{'zh_TW': '" &amp;  "【"&amp; $Z52 &amp;"】已使用此筆資料，不可刪除!!"  &amp; "' ,'en_US': '" &amp;  "Have used this information, it can not be deleted !!" &amp; "'  ,'zh_CN': '" &amp; "【"&amp; $Z52 &amp;"】已使用此筆資料，不可刪除!!" &amp; "' }", CHAR(39),CHAR(34))   &amp; "');","")</f>
        <v>#REF!</v>
      </c>
    </row>
    <row r="53" spans="28:28">
      <c r="AB53" s="4" t="e">
        <f>IF(#REF!="Y","INSERT INTO `sys_table_relation` (`TABLE_NAME`, `CHILD_TABLE_NAME`, `SQL_QUERY`, `ERROR_DESC` ,`ERROR_DESC_JSON`) VALUES ('" &amp;$H53 &amp; "', '" &amp; $Y53 &amp; "', '" &amp; "select count(*) from "&amp; $Y53 &amp;" where " &amp; IF(COUNTIF(D:D,"IS_DESTROYED"),"IS_DESTROYED=0 and ","") &amp;   $D53 &amp; "={pid}" &amp; "', " &amp; "'【"&amp; $Z53 &amp;"】已使用此筆資料，故不可刪除!!'" &amp; ",'" &amp; SUBSTITUTE("{'zh_TW': '" &amp;  "【"&amp; $Z53 &amp;"】已使用此筆資料，不可刪除!!"  &amp; "' ,'en_US': '" &amp;  "Have used this information, it can not be deleted !!" &amp; "'  ,'zh_CN': '" &amp; "【"&amp; $Z53 &amp;"】已使用此筆資料，不可刪除!!" &amp; "' }", CHAR(39),CHAR(34))   &amp; "');","")</f>
        <v>#REF!</v>
      </c>
    </row>
    <row r="54" spans="28:28">
      <c r="AB54" s="4" t="e">
        <f>IF(#REF!="Y","INSERT INTO `sys_table_relation` (`TABLE_NAME`, `CHILD_TABLE_NAME`, `SQL_QUERY`, `ERROR_DESC` ,`ERROR_DESC_JSON`) VALUES ('" &amp;$H54 &amp; "', '" &amp; $Y54 &amp; "', '" &amp; "select count(*) from "&amp; $Y54 &amp;" where " &amp; IF(COUNTIF(D:D,"IS_DESTROYED"),"IS_DESTROYED=0 and ","") &amp;   $D54 &amp; "={pid}" &amp; "', " &amp; "'【"&amp; $Z54 &amp;"】已使用此筆資料，故不可刪除!!'" &amp; ",'" &amp; SUBSTITUTE("{'zh_TW': '" &amp;  "【"&amp; $Z54 &amp;"】已使用此筆資料，不可刪除!!"  &amp; "' ,'en_US': '" &amp;  "Have used this information, it can not be deleted !!" &amp; "'  ,'zh_CN': '" &amp; "【"&amp; $Z54 &amp;"】已使用此筆資料，不可刪除!!" &amp; "' }", CHAR(39),CHAR(34))   &amp; "');","")</f>
        <v>#REF!</v>
      </c>
    </row>
    <row r="55" spans="28:28">
      <c r="AB55" s="4" t="e">
        <f>IF(#REF!="Y","INSERT INTO `sys_table_relation` (`TABLE_NAME`, `CHILD_TABLE_NAME`, `SQL_QUERY`, `ERROR_DESC` ,`ERROR_DESC_JSON`) VALUES ('" &amp;$H55 &amp; "', '" &amp; $Y55 &amp; "', '" &amp; "select count(*) from "&amp; $Y55 &amp;" where " &amp; IF(COUNTIF(D:D,"IS_DESTROYED"),"IS_DESTROYED=0 and ","") &amp;   $D55 &amp; "={pid}" &amp; "', " &amp; "'【"&amp; $Z55 &amp;"】已使用此筆資料，故不可刪除!!'" &amp; ",'" &amp; SUBSTITUTE("{'zh_TW': '" &amp;  "【"&amp; $Z55 &amp;"】已使用此筆資料，不可刪除!!"  &amp; "' ,'en_US': '" &amp;  "Have used this information, it can not be deleted !!" &amp; "'  ,'zh_CN': '" &amp; "【"&amp; $Z55 &amp;"】已使用此筆資料，不可刪除!!" &amp; "' }", CHAR(39),CHAR(34))   &amp; "');","")</f>
        <v>#REF!</v>
      </c>
    </row>
    <row r="56" spans="28:28">
      <c r="AB56" s="4" t="e">
        <f>IF(#REF!="Y","INSERT INTO `sys_table_relation` (`TABLE_NAME`, `CHILD_TABLE_NAME`, `SQL_QUERY`, `ERROR_DESC` ,`ERROR_DESC_JSON`) VALUES ('" &amp;$H56 &amp; "', '" &amp; $Y56 &amp; "', '" &amp; "select count(*) from "&amp; $Y56 &amp;" where " &amp; IF(COUNTIF(D:D,"IS_DESTROYED"),"IS_DESTROYED=0 and ","") &amp;   $D56 &amp; "={pid}" &amp; "', " &amp; "'【"&amp; $Z56 &amp;"】已使用此筆資料，故不可刪除!!'" &amp; ",'" &amp; SUBSTITUTE("{'zh_TW': '" &amp;  "【"&amp; $Z56 &amp;"】已使用此筆資料，不可刪除!!"  &amp; "' ,'en_US': '" &amp;  "Have used this information, it can not be deleted !!" &amp; "'  ,'zh_CN': '" &amp; "【"&amp; $Z56 &amp;"】已使用此筆資料，不可刪除!!" &amp; "' }", CHAR(39),CHAR(34))   &amp; "');","")</f>
        <v>#REF!</v>
      </c>
    </row>
    <row r="57" spans="28:28">
      <c r="AB57" s="4" t="e">
        <f>IF(#REF!="Y","INSERT INTO `sys_table_relation` (`TABLE_NAME`, `CHILD_TABLE_NAME`, `SQL_QUERY`, `ERROR_DESC` ,`ERROR_DESC_JSON`) VALUES ('" &amp;$H57 &amp; "', '" &amp; $Y57 &amp; "', '" &amp; "select count(*) from "&amp; $Y57 &amp;" where " &amp; IF(COUNTIF(D:D,"IS_DESTROYED"),"IS_DESTROYED=0 and ","") &amp;   $D57 &amp; "={pid}" &amp; "', " &amp; "'【"&amp; $Z57 &amp;"】已使用此筆資料，故不可刪除!!'" &amp; ",'" &amp; SUBSTITUTE("{'zh_TW': '" &amp;  "【"&amp; $Z57 &amp;"】已使用此筆資料，不可刪除!!"  &amp; "' ,'en_US': '" &amp;  "Have used this information, it can not be deleted !!" &amp; "'  ,'zh_CN': '" &amp; "【"&amp; $Z57 &amp;"】已使用此筆資料，不可刪除!!" &amp; "' }", CHAR(39),CHAR(34))   &amp; "');","")</f>
        <v>#REF!</v>
      </c>
    </row>
    <row r="58" spans="28:28">
      <c r="AB58" s="4" t="e">
        <f>IF(#REF!="Y","INSERT INTO `sys_table_relation` (`TABLE_NAME`, `CHILD_TABLE_NAME`, `SQL_QUERY`, `ERROR_DESC` ,`ERROR_DESC_JSON`) VALUES ('" &amp;$H58 &amp; "', '" &amp; $Y58 &amp; "', '" &amp; "select count(*) from "&amp; $Y58 &amp;" where " &amp; IF(COUNTIF(D:D,"IS_DESTROYED"),"IS_DESTROYED=0 and ","") &amp;   $D58 &amp; "={pid}" &amp; "', " &amp; "'【"&amp; $Z58 &amp;"】已使用此筆資料，故不可刪除!!'" &amp; ",'" &amp; SUBSTITUTE("{'zh_TW': '" &amp;  "【"&amp; $Z58 &amp;"】已使用此筆資料，不可刪除!!"  &amp; "' ,'en_US': '" &amp;  "Have used this information, it can not be deleted !!" &amp; "'  ,'zh_CN': '" &amp; "【"&amp; $Z58 &amp;"】已使用此筆資料，不可刪除!!" &amp; "' }", CHAR(39),CHAR(34))   &amp; "');","")</f>
        <v>#REF!</v>
      </c>
    </row>
    <row r="59" spans="28:28">
      <c r="AB59" s="4" t="e">
        <f>IF(#REF!="Y","INSERT INTO `sys_table_relation` (`TABLE_NAME`, `CHILD_TABLE_NAME`, `SQL_QUERY`, `ERROR_DESC` ,`ERROR_DESC_JSON`) VALUES ('" &amp;$H59 &amp; "', '" &amp; $Y59 &amp; "', '" &amp; "select count(*) from "&amp; $Y59 &amp;" where " &amp; IF(COUNTIF(D:D,"IS_DESTROYED"),"IS_DESTROYED=0 and ","") &amp;   $D59 &amp; "={pid}" &amp; "', " &amp; "'【"&amp; $Z59 &amp;"】已使用此筆資料，故不可刪除!!'" &amp; ",'" &amp; SUBSTITUTE("{'zh_TW': '" &amp;  "【"&amp; $Z59 &amp;"】已使用此筆資料，不可刪除!!"  &amp; "' ,'en_US': '" &amp;  "Have used this information, it can not be deleted !!" &amp; "'  ,'zh_CN': '" &amp; "【"&amp; $Z59 &amp;"】已使用此筆資料，不可刪除!!" &amp; "' }", CHAR(39),CHAR(34))   &amp; "');","")</f>
        <v>#REF!</v>
      </c>
    </row>
    <row r="60" spans="28:28">
      <c r="AB60" s="4" t="e">
        <f>IF(#REF!="Y","INSERT INTO `sys_table_relation` (`TABLE_NAME`, `CHILD_TABLE_NAME`, `SQL_QUERY`, `ERROR_DESC` ,`ERROR_DESC_JSON`) VALUES ('" &amp;$H60 &amp; "', '" &amp; $Y60 &amp; "', '" &amp; "select count(*) from "&amp; $Y60 &amp;" where " &amp; IF(COUNTIF(D:D,"IS_DESTROYED"),"IS_DESTROYED=0 and ","") &amp;   $D60 &amp; "={pid}" &amp; "', " &amp; "'【"&amp; $Z60 &amp;"】已使用此筆資料，故不可刪除!!'" &amp; ",'" &amp; SUBSTITUTE("{'zh_TW': '" &amp;  "【"&amp; $Z60 &amp;"】已使用此筆資料，不可刪除!!"  &amp; "' ,'en_US': '" &amp;  "Have used this information, it can not be deleted !!" &amp; "'  ,'zh_CN': '" &amp; "【"&amp; $Z60 &amp;"】已使用此筆資料，不可刪除!!" &amp; "' }", CHAR(39),CHAR(34))   &amp; "');","")</f>
        <v>#REF!</v>
      </c>
    </row>
    <row r="61" spans="28:28">
      <c r="AB61" s="4" t="e">
        <f>IF(#REF!="Y","INSERT INTO `sys_table_relation` (`TABLE_NAME`, `CHILD_TABLE_NAME`, `SQL_QUERY`, `ERROR_DESC` ,`ERROR_DESC_JSON`) VALUES ('" &amp;$H61 &amp; "', '" &amp; $Y61 &amp; "', '" &amp; "select count(*) from "&amp; $Y61 &amp;" where " &amp; IF(COUNTIF(D:D,"IS_DESTROYED"),"IS_DESTROYED=0 and ","") &amp;   $D61 &amp; "={pid}" &amp; "', " &amp; "'【"&amp; $Z61 &amp;"】已使用此筆資料，故不可刪除!!'" &amp; ",'" &amp; SUBSTITUTE("{'zh_TW': '" &amp;  "【"&amp; $Z61 &amp;"】已使用此筆資料，不可刪除!!"  &amp; "' ,'en_US': '" &amp;  "Have used this information, it can not be deleted !!" &amp; "'  ,'zh_CN': '" &amp; "【"&amp; $Z61 &amp;"】已使用此筆資料，不可刪除!!" &amp; "' }", CHAR(39),CHAR(34))   &amp; "');","")</f>
        <v>#REF!</v>
      </c>
    </row>
    <row r="62" spans="28:28">
      <c r="AB62" s="4" t="e">
        <f>IF(#REF!="Y","INSERT INTO `sys_table_relation` (`TABLE_NAME`, `CHILD_TABLE_NAME`, `SQL_QUERY`, `ERROR_DESC` ,`ERROR_DESC_JSON`) VALUES ('" &amp;$H62 &amp; "', '" &amp; $Y62 &amp; "', '" &amp; "select count(*) from "&amp; $Y62 &amp;" where " &amp; IF(COUNTIF(D:D,"IS_DESTROYED"),"IS_DESTROYED=0 and ","") &amp;   $D62 &amp; "={pid}" &amp; "', " &amp; "'【"&amp; $Z62 &amp;"】已使用此筆資料，故不可刪除!!'" &amp; ",'" &amp; SUBSTITUTE("{'zh_TW': '" &amp;  "【"&amp; $Z62 &amp;"】已使用此筆資料，不可刪除!!"  &amp; "' ,'en_US': '" &amp;  "Have used this information, it can not be deleted !!" &amp; "'  ,'zh_CN': '" &amp; "【"&amp; $Z62 &amp;"】已使用此筆資料，不可刪除!!" &amp; "' }", CHAR(39),CHAR(34))   &amp; "');","")</f>
        <v>#REF!</v>
      </c>
    </row>
    <row r="63" spans="28:28">
      <c r="AB63" s="4" t="e">
        <f>IF(#REF!="Y","INSERT INTO `sys_table_relation` (`TABLE_NAME`, `CHILD_TABLE_NAME`, `SQL_QUERY`, `ERROR_DESC` ,`ERROR_DESC_JSON`) VALUES ('" &amp;$H63 &amp; "', '" &amp; $Y63 &amp; "', '" &amp; "select count(*) from "&amp; $Y63 &amp;" where " &amp; IF(COUNTIF(D:D,"IS_DESTROYED"),"IS_DESTROYED=0 and ","") &amp;   $D63 &amp; "={pid}" &amp; "', " &amp; "'【"&amp; $Z63 &amp;"】已使用此筆資料，故不可刪除!!'" &amp; ",'" &amp; SUBSTITUTE("{'zh_TW': '" &amp;  "【"&amp; $Z63 &amp;"】已使用此筆資料，不可刪除!!"  &amp; "' ,'en_US': '" &amp;  "Have used this information, it can not be deleted !!" &amp; "'  ,'zh_CN': '" &amp; "【"&amp; $Z63 &amp;"】已使用此筆資料，不可刪除!!" &amp; "' }", CHAR(39),CHAR(34))   &amp; "');","")</f>
        <v>#REF!</v>
      </c>
    </row>
    <row r="64" spans="28:28">
      <c r="AB64" s="4" t="e">
        <f>IF(#REF!="Y","INSERT INTO `sys_table_relation` (`TABLE_NAME`, `CHILD_TABLE_NAME`, `SQL_QUERY`, `ERROR_DESC` ,`ERROR_DESC_JSON`) VALUES ('" &amp;$H64 &amp; "', '" &amp; $Y64 &amp; "', '" &amp; "select count(*) from "&amp; $Y64 &amp;" where " &amp; IF(COUNTIF(D:D,"IS_DESTROYED"),"IS_DESTROYED=0 and ","") &amp;   $D64 &amp; "={pid}" &amp; "', " &amp; "'【"&amp; $Z64 &amp;"】已使用此筆資料，故不可刪除!!'" &amp; ",'" &amp; SUBSTITUTE("{'zh_TW': '" &amp;  "【"&amp; $Z64 &amp;"】已使用此筆資料，不可刪除!!"  &amp; "' ,'en_US': '" &amp;  "Have used this information, it can not be deleted !!" &amp; "'  ,'zh_CN': '" &amp; "【"&amp; $Z64 &amp;"】已使用此筆資料，不可刪除!!" &amp; "' }", CHAR(39),CHAR(34))   &amp; "');","")</f>
        <v>#REF!</v>
      </c>
    </row>
    <row r="65" spans="28:28">
      <c r="AB65" s="4" t="e">
        <f>IF(#REF!="Y","INSERT INTO `sys_table_relation` (`TABLE_NAME`, `CHILD_TABLE_NAME`, `SQL_QUERY`, `ERROR_DESC` ,`ERROR_DESC_JSON`) VALUES ('" &amp;$H65 &amp; "', '" &amp; $Y65 &amp; "', '" &amp; "select count(*) from "&amp; $Y65 &amp;" where " &amp; IF(COUNTIF(D:D,"IS_DESTROYED"),"IS_DESTROYED=0 and ","") &amp;   $D65 &amp; "={pid}" &amp; "', " &amp; "'【"&amp; $Z65 &amp;"】已使用此筆資料，故不可刪除!!'" &amp; ",'" &amp; SUBSTITUTE("{'zh_TW': '" &amp;  "【"&amp; $Z65 &amp;"】已使用此筆資料，不可刪除!!"  &amp; "' ,'en_US': '" &amp;  "Have used this information, it can not be deleted !!" &amp; "'  ,'zh_CN': '" &amp; "【"&amp; $Z65 &amp;"】已使用此筆資料，不可刪除!!" &amp; "' }", CHAR(39),CHAR(34))   &amp; "');","")</f>
        <v>#REF!</v>
      </c>
    </row>
    <row r="66" spans="28:28">
      <c r="AB66" s="4" t="e">
        <f>IF(#REF!="Y","INSERT INTO `sys_table_relation` (`TABLE_NAME`, `CHILD_TABLE_NAME`, `SQL_QUERY`, `ERROR_DESC` ,`ERROR_DESC_JSON`) VALUES ('" &amp;$H66 &amp; "', '" &amp; $Y66 &amp; "', '" &amp; "select count(*) from "&amp; $Y66 &amp;" where " &amp; IF(COUNTIF(D:D,"IS_DESTROYED"),"IS_DESTROYED=0 and ","") &amp;   $D66 &amp; "={pid}" &amp; "', " &amp; "'【"&amp; $Z66 &amp;"】已使用此筆資料，故不可刪除!!'" &amp; ",'" &amp; SUBSTITUTE("{'zh_TW': '" &amp;  "【"&amp; $Z66 &amp;"】已使用此筆資料，不可刪除!!"  &amp; "' ,'en_US': '" &amp;  "Have used this information, it can not be deleted !!" &amp; "'  ,'zh_CN': '" &amp; "【"&amp; $Z66 &amp;"】已使用此筆資料，不可刪除!!" &amp; "' }", CHAR(39),CHAR(34))   &amp; "');","")</f>
        <v>#REF!</v>
      </c>
    </row>
    <row r="67" spans="28:28">
      <c r="AB67" s="4" t="e">
        <f>IF(#REF!="Y","INSERT INTO `sys_table_relation` (`TABLE_NAME`, `CHILD_TABLE_NAME`, `SQL_QUERY`, `ERROR_DESC` ,`ERROR_DESC_JSON`) VALUES ('" &amp;$H67 &amp; "', '" &amp; $Y67 &amp; "', '" &amp; "select count(*) from "&amp; $Y67 &amp;" where " &amp; IF(COUNTIF(D:D,"IS_DESTROYED"),"IS_DESTROYED=0 and ","") &amp;   $D67 &amp; "={pid}" &amp; "', " &amp; "'【"&amp; $Z67 &amp;"】已使用此筆資料，故不可刪除!!'" &amp; ",'" &amp; SUBSTITUTE("{'zh_TW': '" &amp;  "【"&amp; $Z67 &amp;"】已使用此筆資料，不可刪除!!"  &amp; "' ,'en_US': '" &amp;  "Have used this information, it can not be deleted !!" &amp; "'  ,'zh_CN': '" &amp; "【"&amp; $Z67 &amp;"】已使用此筆資料，不可刪除!!" &amp; "' }", CHAR(39),CHAR(34))   &amp; "');","")</f>
        <v>#REF!</v>
      </c>
    </row>
    <row r="68" spans="28:28">
      <c r="AB68" s="4" t="e">
        <f>IF(#REF!="Y","INSERT INTO `sys_table_relation` (`TABLE_NAME`, `CHILD_TABLE_NAME`, `SQL_QUERY`, `ERROR_DESC` ,`ERROR_DESC_JSON`) VALUES ('" &amp;$H68 &amp; "', '" &amp; $Y68 &amp; "', '" &amp; "select count(*) from "&amp; $Y68 &amp;" where " &amp; IF(COUNTIF(D:D,"IS_DESTROYED"),"IS_DESTROYED=0 and ","") &amp;   $D68 &amp; "={pid}" &amp; "', " &amp; "'【"&amp; $Z68 &amp;"】已使用此筆資料，故不可刪除!!'" &amp; ",'" &amp; SUBSTITUTE("{'zh_TW': '" &amp;  "【"&amp; $Z68 &amp;"】已使用此筆資料，不可刪除!!"  &amp; "' ,'en_US': '" &amp;  "Have used this information, it can not be deleted !!" &amp; "'  ,'zh_CN': '" &amp; "【"&amp; $Z68 &amp;"】已使用此筆資料，不可刪除!!" &amp; "' }", CHAR(39),CHAR(34))   &amp; "');","")</f>
        <v>#REF!</v>
      </c>
    </row>
    <row r="69" spans="28:28">
      <c r="AB69" s="4" t="e">
        <f>IF(#REF!="Y","INSERT INTO `sys_table_relation` (`TABLE_NAME`, `CHILD_TABLE_NAME`, `SQL_QUERY`, `ERROR_DESC` ,`ERROR_DESC_JSON`) VALUES ('" &amp;$H69 &amp; "', '" &amp; $Y69 &amp; "', '" &amp; "select count(*) from "&amp; $Y69 &amp;" where " &amp; IF(COUNTIF(D:D,"IS_DESTROYED"),"IS_DESTROYED=0 and ","") &amp;   $D69 &amp; "={pid}" &amp; "', " &amp; "'【"&amp; $Z69 &amp;"】已使用此筆資料，故不可刪除!!'" &amp; ",'" &amp; SUBSTITUTE("{'zh_TW': '" &amp;  "【"&amp; $Z69 &amp;"】已使用此筆資料，不可刪除!!"  &amp; "' ,'en_US': '" &amp;  "Have used this information, it can not be deleted !!" &amp; "'  ,'zh_CN': '" &amp; "【"&amp; $Z69 &amp;"】已使用此筆資料，不可刪除!!" &amp; "' }", CHAR(39),CHAR(34))   &amp; "');","")</f>
        <v>#REF!</v>
      </c>
    </row>
    <row r="70" spans="28:28">
      <c r="AB70" s="4" t="e">
        <f>IF(#REF!="Y","INSERT INTO `sys_table_relation` (`TABLE_NAME`, `CHILD_TABLE_NAME`, `SQL_QUERY`, `ERROR_DESC` ,`ERROR_DESC_JSON`) VALUES ('" &amp;$H70 &amp; "', '" &amp; $Y70 &amp; "', '" &amp; "select count(*) from "&amp; $Y70 &amp;" where " &amp; IF(COUNTIF(D:D,"IS_DESTROYED"),"IS_DESTROYED=0 and ","") &amp;   $D70 &amp; "={pid}" &amp; "', " &amp; "'【"&amp; $Z70 &amp;"】已使用此筆資料，故不可刪除!!'" &amp; ",'" &amp; SUBSTITUTE("{'zh_TW': '" &amp;  "【"&amp; $Z70 &amp;"】已使用此筆資料，不可刪除!!"  &amp; "' ,'en_US': '" &amp;  "Have used this information, it can not be deleted !!" &amp; "'  ,'zh_CN': '" &amp; "【"&amp; $Z70 &amp;"】已使用此筆資料，不可刪除!!" &amp; "' }", CHAR(39),CHAR(34))   &amp; "');","")</f>
        <v>#REF!</v>
      </c>
    </row>
    <row r="71" spans="28:28">
      <c r="AB71" s="4" t="e">
        <f>IF(#REF!="Y","INSERT INTO `sys_table_relation` (`TABLE_NAME`, `CHILD_TABLE_NAME`, `SQL_QUERY`, `ERROR_DESC` ,`ERROR_DESC_JSON`) VALUES ('" &amp;$H71 &amp; "', '" &amp; $Y71 &amp; "', '" &amp; "select count(*) from "&amp; $Y71 &amp;" where " &amp; IF(COUNTIF(D:D,"IS_DESTROYED"),"IS_DESTROYED=0 and ","") &amp;   $D71 &amp; "={pid}" &amp; "', " &amp; "'【"&amp; $Z71 &amp;"】已使用此筆資料，故不可刪除!!'" &amp; ",'" &amp; SUBSTITUTE("{'zh_TW': '" &amp;  "【"&amp; $Z71 &amp;"】已使用此筆資料，不可刪除!!"  &amp; "' ,'en_US': '" &amp;  "Have used this information, it can not be deleted !!" &amp; "'  ,'zh_CN': '" &amp; "【"&amp; $Z71 &amp;"】已使用此筆資料，不可刪除!!" &amp; "' }", CHAR(39),CHAR(34))   &amp; "');","")</f>
        <v>#REF!</v>
      </c>
    </row>
    <row r="72" spans="28:28">
      <c r="AB72" s="4" t="e">
        <f>IF(#REF!="Y","INSERT INTO `sys_table_relation` (`TABLE_NAME`, `CHILD_TABLE_NAME`, `SQL_QUERY`, `ERROR_DESC` ,`ERROR_DESC_JSON`) VALUES ('" &amp;$H72 &amp; "', '" &amp; $Y72 &amp; "', '" &amp; "select count(*) from "&amp; $Y72 &amp;" where " &amp; IF(COUNTIF(D:D,"IS_DESTROYED"),"IS_DESTROYED=0 and ","") &amp;   $D72 &amp; "={pid}" &amp; "', " &amp; "'【"&amp; $Z72 &amp;"】已使用此筆資料，故不可刪除!!'" &amp; ",'" &amp; SUBSTITUTE("{'zh_TW': '" &amp;  "【"&amp; $Z72 &amp;"】已使用此筆資料，不可刪除!!"  &amp; "' ,'en_US': '" &amp;  "Have used this information, it can not be deleted !!" &amp; "'  ,'zh_CN': '" &amp; "【"&amp; $Z72 &amp;"】已使用此筆資料，不可刪除!!" &amp; "' }", CHAR(39),CHAR(34))   &amp; "');","")</f>
        <v>#REF!</v>
      </c>
    </row>
    <row r="73" spans="28:28">
      <c r="AB73" s="4" t="e">
        <f>IF(#REF!="Y","INSERT INTO `sys_table_relation` (`TABLE_NAME`, `CHILD_TABLE_NAME`, `SQL_QUERY`, `ERROR_DESC` ,`ERROR_DESC_JSON`) VALUES ('" &amp;$H73 &amp; "', '" &amp; $Y73 &amp; "', '" &amp; "select count(*) from "&amp; $Y73 &amp;" where " &amp; IF(COUNTIF(D:D,"IS_DESTROYED"),"IS_DESTROYED=0 and ","") &amp;   $D73 &amp; "={pid}" &amp; "', " &amp; "'【"&amp; $Z73 &amp;"】已使用此筆資料，故不可刪除!!'" &amp; ",'" &amp; SUBSTITUTE("{'zh_TW': '" &amp;  "【"&amp; $Z73 &amp;"】已使用此筆資料，不可刪除!!"  &amp; "' ,'en_US': '" &amp;  "Have used this information, it can not be deleted !!" &amp; "'  ,'zh_CN': '" &amp; "【"&amp; $Z73 &amp;"】已使用此筆資料，不可刪除!!" &amp; "' }", CHAR(39),CHAR(34))   &amp; "');","")</f>
        <v>#REF!</v>
      </c>
    </row>
    <row r="74" spans="28:28">
      <c r="AB74" s="4" t="e">
        <f>IF(#REF!="Y","INSERT INTO `sys_table_relation` (`TABLE_NAME`, `CHILD_TABLE_NAME`, `SQL_QUERY`, `ERROR_DESC` ,`ERROR_DESC_JSON`) VALUES ('" &amp;$H74 &amp; "', '" &amp; $Y74 &amp; "', '" &amp; "select count(*) from "&amp; $Y74 &amp;" where " &amp; IF(COUNTIF(D:D,"IS_DESTROYED"),"IS_DESTROYED=0 and ","") &amp;   $D74 &amp; "={pid}" &amp; "', " &amp; "'【"&amp; $Z74 &amp;"】已使用此筆資料，故不可刪除!!'" &amp; ",'" &amp; SUBSTITUTE("{'zh_TW': '" &amp;  "【"&amp; $Z74 &amp;"】已使用此筆資料，不可刪除!!"  &amp; "' ,'en_US': '" &amp;  "Have used this information, it can not be deleted !!" &amp; "'  ,'zh_CN': '" &amp; "【"&amp; $Z74 &amp;"】已使用此筆資料，不可刪除!!" &amp; "' }", CHAR(39),CHAR(34))   &amp; "');","")</f>
        <v>#REF!</v>
      </c>
    </row>
    <row r="75" spans="28:28">
      <c r="AB75" s="4" t="e">
        <f>IF(#REF!="Y","INSERT INTO `sys_table_relation` (`TABLE_NAME`, `CHILD_TABLE_NAME`, `SQL_QUERY`, `ERROR_DESC` ,`ERROR_DESC_JSON`) VALUES ('" &amp;$H75 &amp; "', '" &amp; $Y75 &amp; "', '" &amp; "select count(*) from "&amp; $Y75 &amp;" where " &amp; IF(COUNTIF(D:D,"IS_DESTROYED"),"IS_DESTROYED=0 and ","") &amp;   $D75 &amp; "={pid}" &amp; "', " &amp; "'【"&amp; $Z75 &amp;"】已使用此筆資料，故不可刪除!!'" &amp; ",'" &amp; SUBSTITUTE("{'zh_TW': '" &amp;  "【"&amp; $Z75 &amp;"】已使用此筆資料，不可刪除!!"  &amp; "' ,'en_US': '" &amp;  "Have used this information, it can not be deleted !!" &amp; "'  ,'zh_CN': '" &amp; "【"&amp; $Z75 &amp;"】已使用此筆資料，不可刪除!!" &amp; "' }", CHAR(39),CHAR(34))   &amp; "');","")</f>
        <v>#REF!</v>
      </c>
    </row>
    <row r="76" spans="28:28">
      <c r="AB76" s="4" t="e">
        <f>IF(#REF!="Y","INSERT INTO `sys_table_relation` (`TABLE_NAME`, `CHILD_TABLE_NAME`, `SQL_QUERY`, `ERROR_DESC` ,`ERROR_DESC_JSON`) VALUES ('" &amp;$H76 &amp; "', '" &amp; $Y76 &amp; "', '" &amp; "select count(*) from "&amp; $Y76 &amp;" where " &amp; IF(COUNTIF(D:D,"IS_DESTROYED"),"IS_DESTROYED=0 and ","") &amp;   $D76 &amp; "={pid}" &amp; "', " &amp; "'【"&amp; $Z76 &amp;"】已使用此筆資料，故不可刪除!!'" &amp; ",'" &amp; SUBSTITUTE("{'zh_TW': '" &amp;  "【"&amp; $Z76 &amp;"】已使用此筆資料，不可刪除!!"  &amp; "' ,'en_US': '" &amp;  "Have used this information, it can not be deleted !!" &amp; "'  ,'zh_CN': '" &amp; "【"&amp; $Z76 &amp;"】已使用此筆資料，不可刪除!!" &amp; "' }", CHAR(39),CHAR(34))   &amp; "');","")</f>
        <v>#REF!</v>
      </c>
    </row>
    <row r="77" spans="28:28">
      <c r="AB77" s="4" t="e">
        <f>IF(#REF!="Y","INSERT INTO `sys_table_relation` (`TABLE_NAME`, `CHILD_TABLE_NAME`, `SQL_QUERY`, `ERROR_DESC` ,`ERROR_DESC_JSON`) VALUES ('" &amp;$H77 &amp; "', '" &amp; $Y77 &amp; "', '" &amp; "select count(*) from "&amp; $Y77 &amp;" where " &amp; IF(COUNTIF(D:D,"IS_DESTROYED"),"IS_DESTROYED=0 and ","") &amp;   $D77 &amp; "={pid}" &amp; "', " &amp; "'【"&amp; $Z77 &amp;"】已使用此筆資料，故不可刪除!!'" &amp; ",'" &amp; SUBSTITUTE("{'zh_TW': '" &amp;  "【"&amp; $Z77 &amp;"】已使用此筆資料，不可刪除!!"  &amp; "' ,'en_US': '" &amp;  "Have used this information, it can not be deleted !!" &amp; "'  ,'zh_CN': '" &amp; "【"&amp; $Z77 &amp;"】已使用此筆資料，不可刪除!!" &amp; "' }", CHAR(39),CHAR(34))   &amp; "');","")</f>
        <v>#REF!</v>
      </c>
    </row>
    <row r="78" spans="28:28">
      <c r="AB78" s="4" t="e">
        <f>IF(#REF!="Y","INSERT INTO `sys_table_relation` (`TABLE_NAME`, `CHILD_TABLE_NAME`, `SQL_QUERY`, `ERROR_DESC` ,`ERROR_DESC_JSON`) VALUES ('" &amp;$H78 &amp; "', '" &amp; $Y78 &amp; "', '" &amp; "select count(*) from "&amp; $Y78 &amp;" where " &amp; IF(COUNTIF(D:D,"IS_DESTROYED"),"IS_DESTROYED=0 and ","") &amp;   $D78 &amp; "={pid}" &amp; "', " &amp; "'【"&amp; $Z78 &amp;"】已使用此筆資料，故不可刪除!!'" &amp; ",'" &amp; SUBSTITUTE("{'zh_TW': '" &amp;  "【"&amp; $Z78 &amp;"】已使用此筆資料，不可刪除!!"  &amp; "' ,'en_US': '" &amp;  "Have used this information, it can not be deleted !!" &amp; "'  ,'zh_CN': '" &amp; "【"&amp; $Z78 &amp;"】已使用此筆資料，不可刪除!!" &amp; "' }", CHAR(39),CHAR(34))   &amp; "');","")</f>
        <v>#REF!</v>
      </c>
    </row>
    <row r="79" spans="28:28">
      <c r="AB79" s="4" t="e">
        <f>IF(#REF!="Y","INSERT INTO `sys_table_relation` (`TABLE_NAME`, `CHILD_TABLE_NAME`, `SQL_QUERY`, `ERROR_DESC` ,`ERROR_DESC_JSON`) VALUES ('" &amp;$H79 &amp; "', '" &amp; $Y79 &amp; "', '" &amp; "select count(*) from "&amp; $Y79 &amp;" where " &amp; IF(COUNTIF(D:D,"IS_DESTROYED"),"IS_DESTROYED=0 and ","") &amp;   $D79 &amp; "={pid}" &amp; "', " &amp; "'【"&amp; $Z79 &amp;"】已使用此筆資料，故不可刪除!!'" &amp; ",'" &amp; SUBSTITUTE("{'zh_TW': '" &amp;  "【"&amp; $Z79 &amp;"】已使用此筆資料，不可刪除!!"  &amp; "' ,'en_US': '" &amp;  "Have used this information, it can not be deleted !!" &amp; "'  ,'zh_CN': '" &amp; "【"&amp; $Z79 &amp;"】已使用此筆資料，不可刪除!!" &amp; "' }", CHAR(39),CHAR(34))   &amp; "');","")</f>
        <v>#REF!</v>
      </c>
    </row>
    <row r="80" spans="28:28">
      <c r="AB80" s="4" t="e">
        <f>IF(#REF!="Y","INSERT INTO `sys_table_relation` (`TABLE_NAME`, `CHILD_TABLE_NAME`, `SQL_QUERY`, `ERROR_DESC` ,`ERROR_DESC_JSON`) VALUES ('" &amp;$H80 &amp; "', '" &amp; $Y80 &amp; "', '" &amp; "select count(*) from "&amp; $Y80 &amp;" where " &amp; IF(COUNTIF(D:D,"IS_DESTROYED"),"IS_DESTROYED=0 and ","") &amp;   $D80 &amp; "={pid}" &amp; "', " &amp; "'【"&amp; $Z80 &amp;"】已使用此筆資料，故不可刪除!!'" &amp; ",'" &amp; SUBSTITUTE("{'zh_TW': '" &amp;  "【"&amp; $Z80 &amp;"】已使用此筆資料，不可刪除!!"  &amp; "' ,'en_US': '" &amp;  "Have used this information, it can not be deleted !!" &amp; "'  ,'zh_CN': '" &amp; "【"&amp; $Z80 &amp;"】已使用此筆資料，不可刪除!!" &amp; "' }", CHAR(39),CHAR(34))   &amp; "');","")</f>
        <v>#REF!</v>
      </c>
    </row>
    <row r="81" spans="28:28">
      <c r="AB81" s="4" t="e">
        <f>IF(#REF!="Y","INSERT INTO `sys_table_relation` (`TABLE_NAME`, `CHILD_TABLE_NAME`, `SQL_QUERY`, `ERROR_DESC` ,`ERROR_DESC_JSON`) VALUES ('" &amp;$H81 &amp; "', '" &amp; $Y81 &amp; "', '" &amp; "select count(*) from "&amp; $Y81 &amp;" where " &amp; IF(COUNTIF(D:D,"IS_DESTROYED"),"IS_DESTROYED=0 and ","") &amp;   $D81 &amp; "={pid}" &amp; "', " &amp; "'【"&amp; $Z81 &amp;"】已使用此筆資料，故不可刪除!!'" &amp; ",'" &amp; SUBSTITUTE("{'zh_TW': '" &amp;  "【"&amp; $Z81 &amp;"】已使用此筆資料，不可刪除!!"  &amp; "' ,'en_US': '" &amp;  "Have used this information, it can not be deleted !!" &amp; "'  ,'zh_CN': '" &amp; "【"&amp; $Z81 &amp;"】已使用此筆資料，不可刪除!!" &amp; "' }", CHAR(39),CHAR(34))   &amp; "');","")</f>
        <v>#REF!</v>
      </c>
    </row>
    <row r="82" spans="28:28">
      <c r="AB82" s="4" t="e">
        <f>IF(#REF!="Y","INSERT INTO `sys_table_relation` (`TABLE_NAME`, `CHILD_TABLE_NAME`, `SQL_QUERY`, `ERROR_DESC` ,`ERROR_DESC_JSON`) VALUES ('" &amp;$H82 &amp; "', '" &amp; $Y82 &amp; "', '" &amp; "select count(*) from "&amp; $Y82 &amp;" where " &amp; IF(COUNTIF(D:D,"IS_DESTROYED"),"IS_DESTROYED=0 and ","") &amp;   $D82 &amp; "={pid}" &amp; "', " &amp; "'【"&amp; $Z82 &amp;"】已使用此筆資料，故不可刪除!!'" &amp; ",'" &amp; SUBSTITUTE("{'zh_TW': '" &amp;  "【"&amp; $Z82 &amp;"】已使用此筆資料，不可刪除!!"  &amp; "' ,'en_US': '" &amp;  "Have used this information, it can not be deleted !!" &amp; "'  ,'zh_CN': '" &amp; "【"&amp; $Z82 &amp;"】已使用此筆資料，不可刪除!!" &amp; "' }", CHAR(39),CHAR(34))   &amp; "');","")</f>
        <v>#REF!</v>
      </c>
    </row>
    <row r="83" spans="28:28">
      <c r="AB83" s="4" t="e">
        <f>IF(#REF!="Y","INSERT INTO `sys_table_relation` (`TABLE_NAME`, `CHILD_TABLE_NAME`, `SQL_QUERY`, `ERROR_DESC` ,`ERROR_DESC_JSON`) VALUES ('" &amp;$H83 &amp; "', '" &amp; $Y83 &amp; "', '" &amp; "select count(*) from "&amp; $Y83 &amp;" where " &amp; IF(COUNTIF(D:D,"IS_DESTROYED"),"IS_DESTROYED=0 and ","") &amp;   $D83 &amp; "={pid}" &amp; "', " &amp; "'【"&amp; $Z83 &amp;"】已使用此筆資料，故不可刪除!!'" &amp; ",'" &amp; SUBSTITUTE("{'zh_TW': '" &amp;  "【"&amp; $Z83 &amp;"】已使用此筆資料，不可刪除!!"  &amp; "' ,'en_US': '" &amp;  "Have used this information, it can not be deleted !!" &amp; "'  ,'zh_CN': '" &amp; "【"&amp; $Z83 &amp;"】已使用此筆資料，不可刪除!!" &amp; "' }", CHAR(39),CHAR(34))   &amp; "');","")</f>
        <v>#REF!</v>
      </c>
    </row>
    <row r="84" spans="28:28">
      <c r="AB84" s="4" t="e">
        <f>IF(#REF!="Y","INSERT INTO `sys_table_relation` (`TABLE_NAME`, `CHILD_TABLE_NAME`, `SQL_QUERY`, `ERROR_DESC` ,`ERROR_DESC_JSON`) VALUES ('" &amp;$H84 &amp; "', '" &amp; $Y84 &amp; "', '" &amp; "select count(*) from "&amp; $Y84 &amp;" where " &amp; IF(COUNTIF(D:D,"IS_DESTROYED"),"IS_DESTROYED=0 and ","") &amp;   $D84 &amp; "={pid}" &amp; "', " &amp; "'【"&amp; $Z84 &amp;"】已使用此筆資料，故不可刪除!!'" &amp; ",'" &amp; SUBSTITUTE("{'zh_TW': '" &amp;  "【"&amp; $Z84 &amp;"】已使用此筆資料，不可刪除!!"  &amp; "' ,'en_US': '" &amp;  "Have used this information, it can not be deleted !!" &amp; "'  ,'zh_CN': '" &amp; "【"&amp; $Z84 &amp;"】已使用此筆資料，不可刪除!!" &amp; "' }", CHAR(39),CHAR(34))   &amp; "');","")</f>
        <v>#REF!</v>
      </c>
    </row>
    <row r="85" spans="28:28">
      <c r="AB85" s="4" t="e">
        <f>IF(#REF!="Y","INSERT INTO `sys_table_relation` (`TABLE_NAME`, `CHILD_TABLE_NAME`, `SQL_QUERY`, `ERROR_DESC` ,`ERROR_DESC_JSON`) VALUES ('" &amp;$H85 &amp; "', '" &amp; $Y85 &amp; "', '" &amp; "select count(*) from "&amp; $Y85 &amp;" where " &amp; IF(COUNTIF(D:D,"IS_DESTROYED"),"IS_DESTROYED=0 and ","") &amp;   $D85 &amp; "={pid}" &amp; "', " &amp; "'【"&amp; $Z85 &amp;"】已使用此筆資料，故不可刪除!!'" &amp; ",'" &amp; SUBSTITUTE("{'zh_TW': '" &amp;  "【"&amp; $Z85 &amp;"】已使用此筆資料，不可刪除!!"  &amp; "' ,'en_US': '" &amp;  "Have used this information, it can not be deleted !!" &amp; "'  ,'zh_CN': '" &amp; "【"&amp; $Z85 &amp;"】已使用此筆資料，不可刪除!!" &amp; "' }", CHAR(39),CHAR(34))   &amp; "');","")</f>
        <v>#REF!</v>
      </c>
    </row>
    <row r="86" spans="28:28">
      <c r="AB86" s="4" t="e">
        <f>IF(#REF!="Y","INSERT INTO `sys_table_relation` (`TABLE_NAME`, `CHILD_TABLE_NAME`, `SQL_QUERY`, `ERROR_DESC` ,`ERROR_DESC_JSON`) VALUES ('" &amp;$H86 &amp; "', '" &amp; $Y86 &amp; "', '" &amp; "select count(*) from "&amp; $Y86 &amp;" where " &amp; IF(COUNTIF(D:D,"IS_DESTROYED"),"IS_DESTROYED=0 and ","") &amp;   $D86 &amp; "={pid}" &amp; "', " &amp; "'【"&amp; $Z86 &amp;"】已使用此筆資料，故不可刪除!!'" &amp; ",'" &amp; SUBSTITUTE("{'zh_TW': '" &amp;  "【"&amp; $Z86 &amp;"】已使用此筆資料，不可刪除!!"  &amp; "' ,'en_US': '" &amp;  "Have used this information, it can not be deleted !!" &amp; "'  ,'zh_CN': '" &amp; "【"&amp; $Z86 &amp;"】已使用此筆資料，不可刪除!!" &amp; "' }", CHAR(39),CHAR(34))   &amp; "');","")</f>
        <v>#REF!</v>
      </c>
    </row>
    <row r="87" spans="28:28">
      <c r="AB87" s="4" t="e">
        <f>IF(#REF!="Y","INSERT INTO `sys_table_relation` (`TABLE_NAME`, `CHILD_TABLE_NAME`, `SQL_QUERY`, `ERROR_DESC` ,`ERROR_DESC_JSON`) VALUES ('" &amp;$H87 &amp; "', '" &amp; $Y87 &amp; "', '" &amp; "select count(*) from "&amp; $Y87 &amp;" where " &amp; IF(COUNTIF(D:D,"IS_DESTROYED"),"IS_DESTROYED=0 and ","") &amp;   $D87 &amp; "={pid}" &amp; "', " &amp; "'【"&amp; $Z87 &amp;"】已使用此筆資料，故不可刪除!!'" &amp; ",'" &amp; SUBSTITUTE("{'zh_TW': '" &amp;  "【"&amp; $Z87 &amp;"】已使用此筆資料，不可刪除!!"  &amp; "' ,'en_US': '" &amp;  "Have used this information, it can not be deleted !!" &amp; "'  ,'zh_CN': '" &amp; "【"&amp; $Z87 &amp;"】已使用此筆資料，不可刪除!!" &amp; "' }", CHAR(39),CHAR(34))   &amp; "');","")</f>
        <v>#REF!</v>
      </c>
    </row>
    <row r="88" spans="28:28">
      <c r="AB88" s="4" t="e">
        <f>IF(#REF!="Y","INSERT INTO `sys_table_relation` (`TABLE_NAME`, `CHILD_TABLE_NAME`, `SQL_QUERY`, `ERROR_DESC` ,`ERROR_DESC_JSON`) VALUES ('" &amp;$H88 &amp; "', '" &amp; $Y88 &amp; "', '" &amp; "select count(*) from "&amp; $Y88 &amp;" where " &amp; IF(COUNTIF(D:D,"IS_DESTROYED"),"IS_DESTROYED=0 and ","") &amp;   $D88 &amp; "={pid}" &amp; "', " &amp; "'【"&amp; $Z88 &amp;"】已使用此筆資料，故不可刪除!!'" &amp; ",'" &amp; SUBSTITUTE("{'zh_TW': '" &amp;  "【"&amp; $Z88 &amp;"】已使用此筆資料，不可刪除!!"  &amp; "' ,'en_US': '" &amp;  "Have used this information, it can not be deleted !!" &amp; "'  ,'zh_CN': '" &amp; "【"&amp; $Z88 &amp;"】已使用此筆資料，不可刪除!!" &amp; "' }", CHAR(39),CHAR(34))   &amp; "');","")</f>
        <v>#REF!</v>
      </c>
    </row>
    <row r="89" spans="28:28">
      <c r="AB89" s="4" t="e">
        <f>IF(#REF!="Y","INSERT INTO `sys_table_relation` (`TABLE_NAME`, `CHILD_TABLE_NAME`, `SQL_QUERY`, `ERROR_DESC` ,`ERROR_DESC_JSON`) VALUES ('" &amp;$H89 &amp; "', '" &amp; $Y89 &amp; "', '" &amp; "select count(*) from "&amp; $Y89 &amp;" where " &amp; IF(COUNTIF(D:D,"IS_DESTROYED"),"IS_DESTROYED=0 and ","") &amp;   $D89 &amp; "={pid}" &amp; "', " &amp; "'【"&amp; $Z89 &amp;"】已使用此筆資料，故不可刪除!!'" &amp; ",'" &amp; SUBSTITUTE("{'zh_TW': '" &amp;  "【"&amp; $Z89 &amp;"】已使用此筆資料，不可刪除!!"  &amp; "' ,'en_US': '" &amp;  "Have used this information, it can not be deleted !!" &amp; "'  ,'zh_CN': '" &amp; "【"&amp; $Z89 &amp;"】已使用此筆資料，不可刪除!!" &amp; "' }", CHAR(39),CHAR(34))   &amp; "');","")</f>
        <v>#REF!</v>
      </c>
    </row>
    <row r="90" spans="28:28">
      <c r="AB90" s="4" t="e">
        <f>IF(#REF!="Y","INSERT INTO `sys_table_relation` (`TABLE_NAME`, `CHILD_TABLE_NAME`, `SQL_QUERY`, `ERROR_DESC` ,`ERROR_DESC_JSON`) VALUES ('" &amp;$H90 &amp; "', '" &amp; $Y90 &amp; "', '" &amp; "select count(*) from "&amp; $Y90 &amp;" where " &amp; IF(COUNTIF(D:D,"IS_DESTROYED"),"IS_DESTROYED=0 and ","") &amp;   $D90 &amp; "={pid}" &amp; "', " &amp; "'【"&amp; $Z90 &amp;"】已使用此筆資料，故不可刪除!!'" &amp; ",'" &amp; SUBSTITUTE("{'zh_TW': '" &amp;  "【"&amp; $Z90 &amp;"】已使用此筆資料，不可刪除!!"  &amp; "' ,'en_US': '" &amp;  "Have used this information, it can not be deleted !!" &amp; "'  ,'zh_CN': '" &amp; "【"&amp; $Z90 &amp;"】已使用此筆資料，不可刪除!!" &amp; "' }", CHAR(39),CHAR(34))   &amp; "');","")</f>
        <v>#REF!</v>
      </c>
    </row>
    <row r="91" spans="28:28">
      <c r="AB91" s="4" t="e">
        <f>IF(#REF!="Y","INSERT INTO `sys_table_relation` (`TABLE_NAME`, `CHILD_TABLE_NAME`, `SQL_QUERY`, `ERROR_DESC` ,`ERROR_DESC_JSON`) VALUES ('" &amp;$H91 &amp; "', '" &amp; $Y91 &amp; "', '" &amp; "select count(*) from "&amp; $Y91 &amp;" where " &amp; IF(COUNTIF(D:D,"IS_DESTROYED"),"IS_DESTROYED=0 and ","") &amp;   $D91 &amp; "={pid}" &amp; "', " &amp; "'【"&amp; $Z91 &amp;"】已使用此筆資料，故不可刪除!!'" &amp; ",'" &amp; SUBSTITUTE("{'zh_TW': '" &amp;  "【"&amp; $Z91 &amp;"】已使用此筆資料，不可刪除!!"  &amp; "' ,'en_US': '" &amp;  "Have used this information, it can not be deleted !!" &amp; "'  ,'zh_CN': '" &amp; "【"&amp; $Z91 &amp;"】已使用此筆資料，不可刪除!!" &amp; "' }", CHAR(39),CHAR(34))   &amp; "');","")</f>
        <v>#REF!</v>
      </c>
    </row>
    <row r="92" spans="28:28">
      <c r="AB92" s="4" t="e">
        <f>IF(#REF!="Y","INSERT INTO `sys_table_relation` (`TABLE_NAME`, `CHILD_TABLE_NAME`, `SQL_QUERY`, `ERROR_DESC` ,`ERROR_DESC_JSON`) VALUES ('" &amp;$H92 &amp; "', '" &amp; $Y92 &amp; "', '" &amp; "select count(*) from "&amp; $Y92 &amp;" where " &amp; IF(COUNTIF(D:D,"IS_DESTROYED"),"IS_DESTROYED=0 and ","") &amp;   $D92 &amp; "={pid}" &amp; "', " &amp; "'【"&amp; $Z92 &amp;"】已使用此筆資料，故不可刪除!!'" &amp; ",'" &amp; SUBSTITUTE("{'zh_TW': '" &amp;  "【"&amp; $Z92 &amp;"】已使用此筆資料，不可刪除!!"  &amp; "' ,'en_US': '" &amp;  "Have used this information, it can not be deleted !!" &amp; "'  ,'zh_CN': '" &amp; "【"&amp; $Z92 &amp;"】已使用此筆資料，不可刪除!!" &amp; "' }", CHAR(39),CHAR(34))   &amp; "');","")</f>
        <v>#REF!</v>
      </c>
    </row>
    <row r="93" spans="28:28">
      <c r="AB93" s="4" t="e">
        <f>IF(#REF!="Y","INSERT INTO `sys_table_relation` (`TABLE_NAME`, `CHILD_TABLE_NAME`, `SQL_QUERY`, `ERROR_DESC` ,`ERROR_DESC_JSON`) VALUES ('" &amp;$H93 &amp; "', '" &amp; $Y93 &amp; "', '" &amp; "select count(*) from "&amp; $Y93 &amp;" where " &amp; IF(COUNTIF(D:D,"IS_DESTROYED"),"IS_DESTROYED=0 and ","") &amp;   $D93 &amp; "={pid}" &amp; "', " &amp; "'【"&amp; $Z93 &amp;"】已使用此筆資料，故不可刪除!!'" &amp; ",'" &amp; SUBSTITUTE("{'zh_TW': '" &amp;  "【"&amp; $Z93 &amp;"】已使用此筆資料，不可刪除!!"  &amp; "' ,'en_US': '" &amp;  "Have used this information, it can not be deleted !!" &amp; "'  ,'zh_CN': '" &amp; "【"&amp; $Z93 &amp;"】已使用此筆資料，不可刪除!!" &amp; "' }", CHAR(39),CHAR(34))   &amp; "');","")</f>
        <v>#REF!</v>
      </c>
    </row>
    <row r="94" spans="28:28">
      <c r="AB94" s="4" t="e">
        <f>IF(#REF!="Y","INSERT INTO `sys_table_relation` (`TABLE_NAME`, `CHILD_TABLE_NAME`, `SQL_QUERY`, `ERROR_DESC` ,`ERROR_DESC_JSON`) VALUES ('" &amp;$H94 &amp; "', '" &amp; $Y94 &amp; "', '" &amp; "select count(*) from "&amp; $Y94 &amp;" where " &amp; IF(COUNTIF(D:D,"IS_DESTROYED"),"IS_DESTROYED=0 and ","") &amp;   $D94 &amp; "={pid}" &amp; "', " &amp; "'【"&amp; $Z94 &amp;"】已使用此筆資料，故不可刪除!!'" &amp; ",'" &amp; SUBSTITUTE("{'zh_TW': '" &amp;  "【"&amp; $Z94 &amp;"】已使用此筆資料，不可刪除!!"  &amp; "' ,'en_US': '" &amp;  "Have used this information, it can not be deleted !!" &amp; "'  ,'zh_CN': '" &amp; "【"&amp; $Z94 &amp;"】已使用此筆資料，不可刪除!!" &amp; "' }", CHAR(39),CHAR(34))   &amp; "');","")</f>
        <v>#REF!</v>
      </c>
    </row>
    <row r="95" spans="28:28">
      <c r="AB95" s="4" t="e">
        <f>IF(#REF!="Y","INSERT INTO `sys_table_relation` (`TABLE_NAME`, `CHILD_TABLE_NAME`, `SQL_QUERY`, `ERROR_DESC` ,`ERROR_DESC_JSON`) VALUES ('" &amp;$H95 &amp; "', '" &amp; $Y95 &amp; "', '" &amp; "select count(*) from "&amp; $Y95 &amp;" where " &amp; IF(COUNTIF(D:D,"IS_DESTROYED"),"IS_DESTROYED=0 and ","") &amp;   $D95 &amp; "={pid}" &amp; "', " &amp; "'【"&amp; $Z95 &amp;"】已使用此筆資料，故不可刪除!!'" &amp; ",'" &amp; SUBSTITUTE("{'zh_TW': '" &amp;  "【"&amp; $Z95 &amp;"】已使用此筆資料，不可刪除!!"  &amp; "' ,'en_US': '" &amp;  "Have used this information, it can not be deleted !!" &amp; "'  ,'zh_CN': '" &amp; "【"&amp; $Z95 &amp;"】已使用此筆資料，不可刪除!!" &amp; "' }", CHAR(39),CHAR(34))   &amp; "');","")</f>
        <v>#REF!</v>
      </c>
    </row>
    <row r="96" spans="28:28">
      <c r="AB96" s="4" t="e">
        <f>IF(#REF!="Y","INSERT INTO `sys_table_relation` (`TABLE_NAME`, `CHILD_TABLE_NAME`, `SQL_QUERY`, `ERROR_DESC` ,`ERROR_DESC_JSON`) VALUES ('" &amp;$H96 &amp; "', '" &amp; $Y96 &amp; "', '" &amp; "select count(*) from "&amp; $Y96 &amp;" where " &amp; IF(COUNTIF(D:D,"IS_DESTROYED"),"IS_DESTROYED=0 and ","") &amp;   $D96 &amp; "={pid}" &amp; "', " &amp; "'【"&amp; $Z96 &amp;"】已使用此筆資料，故不可刪除!!'" &amp; ",'" &amp; SUBSTITUTE("{'zh_TW': '" &amp;  "【"&amp; $Z96 &amp;"】已使用此筆資料，不可刪除!!"  &amp; "' ,'en_US': '" &amp;  "Have used this information, it can not be deleted !!" &amp; "'  ,'zh_CN': '" &amp; "【"&amp; $Z96 &amp;"】已使用此筆資料，不可刪除!!" &amp; "' }", CHAR(39),CHAR(34))   &amp; "');","")</f>
        <v>#REF!</v>
      </c>
    </row>
    <row r="97" spans="28:28">
      <c r="AB97" s="4" t="e">
        <f>IF(#REF!="Y","INSERT INTO `sys_table_relation` (`TABLE_NAME`, `CHILD_TABLE_NAME`, `SQL_QUERY`, `ERROR_DESC` ,`ERROR_DESC_JSON`) VALUES ('" &amp;$H97 &amp; "', '" &amp; $Y97 &amp; "', '" &amp; "select count(*) from "&amp; $Y97 &amp;" where " &amp; IF(COUNTIF(D:D,"IS_DESTROYED"),"IS_DESTROYED=0 and ","") &amp;   $D97 &amp; "={pid}" &amp; "', " &amp; "'【"&amp; $Z97 &amp;"】已使用此筆資料，故不可刪除!!'" &amp; ",'" &amp; SUBSTITUTE("{'zh_TW': '" &amp;  "【"&amp; $Z97 &amp;"】已使用此筆資料，不可刪除!!"  &amp; "' ,'en_US': '" &amp;  "Have used this information, it can not be deleted !!" &amp; "'  ,'zh_CN': '" &amp; "【"&amp; $Z97 &amp;"】已使用此筆資料，不可刪除!!" &amp; "' }", CHAR(39),CHAR(34))   &amp; "');","")</f>
        <v>#REF!</v>
      </c>
    </row>
    <row r="98" spans="28:28">
      <c r="AB98" s="4" t="e">
        <f>IF(#REF!="Y","INSERT INTO `sys_table_relation` (`TABLE_NAME`, `CHILD_TABLE_NAME`, `SQL_QUERY`, `ERROR_DESC` ,`ERROR_DESC_JSON`) VALUES ('" &amp;$H98 &amp; "', '" &amp; $Y98 &amp; "', '" &amp; "select count(*) from "&amp; $Y98 &amp;" where " &amp; IF(COUNTIF(D:D,"IS_DESTROYED"),"IS_DESTROYED=0 and ","") &amp;   $D98 &amp; "={pid}" &amp; "', " &amp; "'【"&amp; $Z98 &amp;"】已使用此筆資料，故不可刪除!!'" &amp; ",'" &amp; SUBSTITUTE("{'zh_TW': '" &amp;  "【"&amp; $Z98 &amp;"】已使用此筆資料，不可刪除!!"  &amp; "' ,'en_US': '" &amp;  "Have used this information, it can not be deleted !!" &amp; "'  ,'zh_CN': '" &amp; "【"&amp; $Z98 &amp;"】已使用此筆資料，不可刪除!!" &amp; "' }", CHAR(39),CHAR(34))   &amp; "');","")</f>
        <v>#REF!</v>
      </c>
    </row>
    <row r="99" spans="28:28">
      <c r="AB99" s="4" t="e">
        <f>IF(#REF!="Y","INSERT INTO `sys_table_relation` (`TABLE_NAME`, `CHILD_TABLE_NAME`, `SQL_QUERY`, `ERROR_DESC` ,`ERROR_DESC_JSON`) VALUES ('" &amp;$H99 &amp; "', '" &amp; $Y99 &amp; "', '" &amp; "select count(*) from "&amp; $Y99 &amp;" where " &amp; IF(COUNTIF(D:D,"IS_DESTROYED"),"IS_DESTROYED=0 and ","") &amp;   $D99 &amp; "={pid}" &amp; "', " &amp; "'【"&amp; $Z99 &amp;"】已使用此筆資料，故不可刪除!!'" &amp; ",'" &amp; SUBSTITUTE("{'zh_TW': '" &amp;  "【"&amp; $Z99 &amp;"】已使用此筆資料，不可刪除!!"  &amp; "' ,'en_US': '" &amp;  "Have used this information, it can not be deleted !!" &amp; "'  ,'zh_CN': '" &amp; "【"&amp; $Z99 &amp;"】已使用此筆資料，不可刪除!!" &amp; "' }", CHAR(39),CHAR(34))   &amp; "');","")</f>
        <v>#REF!</v>
      </c>
    </row>
    <row r="100" spans="28:28">
      <c r="AB100" s="4" t="e">
        <f>IF(#REF!="Y","INSERT INTO `sys_table_relation` (`TABLE_NAME`, `CHILD_TABLE_NAME`, `SQL_QUERY`, `ERROR_DESC` ,`ERROR_DESC_JSON`) VALUES ('" &amp;$H100 &amp; "', '" &amp; $Y100 &amp; "', '" &amp; "select count(*) from "&amp; $Y100 &amp;" where " &amp; IF(COUNTIF(D:D,"IS_DESTROYED"),"IS_DESTROYED=0 and ","") &amp;   $D100 &amp; "={pid}" &amp; "', " &amp; "'【"&amp; $Z100 &amp;"】已使用此筆資料，故不可刪除!!'" &amp; ",'" &amp; SUBSTITUTE("{'zh_TW': '" &amp;  "【"&amp; $Z100 &amp;"】已使用此筆資料，不可刪除!!"  &amp; "' ,'en_US': '" &amp;  "Have used this information, it can not be deleted !!" &amp; "'  ,'zh_CN': '" &amp; "【"&amp; $Z100 &amp;"】已使用此筆資料，不可刪除!!" &amp; "' }", CHAR(39),CHAR(34))   &amp; "');","")</f>
        <v>#REF!</v>
      </c>
    </row>
    <row r="101" spans="28:28">
      <c r="AB101" s="4" t="e">
        <f>IF(#REF!="Y","INSERT INTO `sys_table_relation` (`TABLE_NAME`, `CHILD_TABLE_NAME`, `SQL_QUERY`, `ERROR_DESC` ,`ERROR_DESC_JSON`) VALUES ('" &amp;$H101 &amp; "', '" &amp; $Y101 &amp; "', '" &amp; "select count(*) from "&amp; $Y101 &amp;" where " &amp; IF(COUNTIF(D:D,"IS_DESTROYED"),"IS_DESTROYED=0 and ","") &amp;   $D101 &amp; "={pid}" &amp; "', " &amp; "'【"&amp; $Z101 &amp;"】已使用此筆資料，故不可刪除!!'" &amp; ",'" &amp; SUBSTITUTE("{'zh_TW': '" &amp;  "【"&amp; $Z101 &amp;"】已使用此筆資料，不可刪除!!"  &amp; "' ,'en_US': '" &amp;  "Have used this information, it can not be deleted !!" &amp; "'  ,'zh_CN': '" &amp; "【"&amp; $Z101 &amp;"】已使用此筆資料，不可刪除!!" &amp; "' }", CHAR(39),CHAR(34))   &amp; "');","")</f>
        <v>#REF!</v>
      </c>
    </row>
    <row r="102" spans="28:28">
      <c r="AB102" s="4" t="e">
        <f>IF(#REF!="Y","INSERT INTO `sys_table_relation` (`TABLE_NAME`, `CHILD_TABLE_NAME`, `SQL_QUERY`, `ERROR_DESC` ,`ERROR_DESC_JSON`) VALUES ('" &amp;$H102 &amp; "', '" &amp; $Y102 &amp; "', '" &amp; "select count(*) from "&amp; $Y102 &amp;" where " &amp; IF(COUNTIF(D:D,"IS_DESTROYED"),"IS_DESTROYED=0 and ","") &amp;   $D102 &amp; "={pid}" &amp; "', " &amp; "'【"&amp; $Z102 &amp;"】已使用此筆資料，故不可刪除!!'" &amp; ",'" &amp; SUBSTITUTE("{'zh_TW': '" &amp;  "【"&amp; $Z102 &amp;"】已使用此筆資料，不可刪除!!"  &amp; "' ,'en_US': '" &amp;  "Have used this information, it can not be deleted !!" &amp; "'  ,'zh_CN': '" &amp; "【"&amp; $Z102 &amp;"】已使用此筆資料，不可刪除!!" &amp; "' }", CHAR(39),CHAR(34))   &amp; "');","")</f>
        <v>#REF!</v>
      </c>
    </row>
    <row r="103" spans="28:28">
      <c r="AB103" s="4" t="e">
        <f>IF(#REF!="Y","INSERT INTO `sys_table_relation` (`TABLE_NAME`, `CHILD_TABLE_NAME`, `SQL_QUERY`, `ERROR_DESC` ,`ERROR_DESC_JSON`) VALUES ('" &amp;$H103 &amp; "', '" &amp; $Y103 &amp; "', '" &amp; "select count(*) from "&amp; $Y103 &amp;" where " &amp; IF(COUNTIF(D:D,"IS_DESTROYED"),"IS_DESTROYED=0 and ","") &amp;   $D103 &amp; "={pid}" &amp; "', " &amp; "'【"&amp; $Z103 &amp;"】已使用此筆資料，故不可刪除!!'" &amp; ",'" &amp; SUBSTITUTE("{'zh_TW': '" &amp;  "【"&amp; $Z103 &amp;"】已使用此筆資料，不可刪除!!"  &amp; "' ,'en_US': '" &amp;  "Have used this information, it can not be deleted !!" &amp; "'  ,'zh_CN': '" &amp; "【"&amp; $Z103 &amp;"】已使用此筆資料，不可刪除!!" &amp; "' }", CHAR(39),CHAR(34))   &amp; "');","")</f>
        <v>#REF!</v>
      </c>
    </row>
    <row r="104" spans="28:28">
      <c r="AB104" s="4" t="e">
        <f>IF(#REF!="Y","INSERT INTO `sys_table_relation` (`TABLE_NAME`, `CHILD_TABLE_NAME`, `SQL_QUERY`, `ERROR_DESC` ,`ERROR_DESC_JSON`) VALUES ('" &amp;$H104 &amp; "', '" &amp; $Y104 &amp; "', '" &amp; "select count(*) from "&amp; $Y104 &amp;" where " &amp; IF(COUNTIF(D:D,"IS_DESTROYED"),"IS_DESTROYED=0 and ","") &amp;   $D104 &amp; "={pid}" &amp; "', " &amp; "'【"&amp; $Z104 &amp;"】已使用此筆資料，故不可刪除!!'" &amp; ",'" &amp; SUBSTITUTE("{'zh_TW': '" &amp;  "【"&amp; $Z104 &amp;"】已使用此筆資料，不可刪除!!"  &amp; "' ,'en_US': '" &amp;  "Have used this information, it can not be deleted !!" &amp; "'  ,'zh_CN': '" &amp; "【"&amp; $Z104 &amp;"】已使用此筆資料，不可刪除!!" &amp; "' }", CHAR(39),CHAR(34))   &amp; "');","")</f>
        <v>#REF!</v>
      </c>
    </row>
    <row r="105" spans="28:28">
      <c r="AB105" s="4" t="e">
        <f>IF(#REF!="Y","INSERT INTO `sys_table_relation` (`TABLE_NAME`, `CHILD_TABLE_NAME`, `SQL_QUERY`, `ERROR_DESC` ,`ERROR_DESC_JSON`) VALUES ('" &amp;$H105 &amp; "', '" &amp; $Y105 &amp; "', '" &amp; "select count(*) from "&amp; $Y105 &amp;" where " &amp; IF(COUNTIF(D:D,"IS_DESTROYED"),"IS_DESTROYED=0 and ","") &amp;   $D105 &amp; "={pid}" &amp; "', " &amp; "'【"&amp; $Z105 &amp;"】已使用此筆資料，故不可刪除!!'" &amp; ",'" &amp; SUBSTITUTE("{'zh_TW': '" &amp;  "【"&amp; $Z105 &amp;"】已使用此筆資料，不可刪除!!"  &amp; "' ,'en_US': '" &amp;  "Have used this information, it can not be deleted !!" &amp; "'  ,'zh_CN': '" &amp; "【"&amp; $Z105 &amp;"】已使用此筆資料，不可刪除!!" &amp; "' }", CHAR(39),CHAR(34))   &amp; "');","")</f>
        <v>#REF!</v>
      </c>
    </row>
    <row r="106" spans="28:28">
      <c r="AB106" s="4" t="e">
        <f>IF(#REF!="Y","INSERT INTO `sys_table_relation` (`TABLE_NAME`, `CHILD_TABLE_NAME`, `SQL_QUERY`, `ERROR_DESC` ,`ERROR_DESC_JSON`) VALUES ('" &amp;$H106 &amp; "', '" &amp; $Y106 &amp; "', '" &amp; "select count(*) from "&amp; $Y106 &amp;" where " &amp; IF(COUNTIF(D:D,"IS_DESTROYED"),"IS_DESTROYED=0 and ","") &amp;   $D106 &amp; "={pid}" &amp; "', " &amp; "'【"&amp; $Z106 &amp;"】已使用此筆資料，故不可刪除!!'" &amp; ",'" &amp; SUBSTITUTE("{'zh_TW': '" &amp;  "【"&amp; $Z106 &amp;"】已使用此筆資料，不可刪除!!"  &amp; "' ,'en_US': '" &amp;  "Have used this information, it can not be deleted !!" &amp; "'  ,'zh_CN': '" &amp; "【"&amp; $Z106 &amp;"】已使用此筆資料，不可刪除!!" &amp; "' }", CHAR(39),CHAR(34))   &amp; "');","")</f>
        <v>#REF!</v>
      </c>
    </row>
    <row r="107" spans="28:28">
      <c r="AB107" s="4" t="e">
        <f>IF(#REF!="Y","INSERT INTO `sys_table_relation` (`TABLE_NAME`, `CHILD_TABLE_NAME`, `SQL_QUERY`, `ERROR_DESC` ,`ERROR_DESC_JSON`) VALUES ('" &amp;$H107 &amp; "', '" &amp; $Y107 &amp; "', '" &amp; "select count(*) from "&amp; $Y107 &amp;" where " &amp; IF(COUNTIF(D:D,"IS_DESTROYED"),"IS_DESTROYED=0 and ","") &amp;   $D107 &amp; "={pid}" &amp; "', " &amp; "'【"&amp; $Z107 &amp;"】已使用此筆資料，故不可刪除!!'" &amp; ",'" &amp; SUBSTITUTE("{'zh_TW': '" &amp;  "【"&amp; $Z107 &amp;"】已使用此筆資料，不可刪除!!"  &amp; "' ,'en_US': '" &amp;  "Have used this information, it can not be deleted !!" &amp; "'  ,'zh_CN': '" &amp; "【"&amp; $Z107 &amp;"】已使用此筆資料，不可刪除!!" &amp; "' }", CHAR(39),CHAR(34))   &amp; "');","")</f>
        <v>#REF!</v>
      </c>
    </row>
    <row r="108" spans="28:28">
      <c r="AB108" s="4" t="e">
        <f>IF(#REF!="Y","INSERT INTO `sys_table_relation` (`TABLE_NAME`, `CHILD_TABLE_NAME`, `SQL_QUERY`, `ERROR_DESC` ,`ERROR_DESC_JSON`) VALUES ('" &amp;$H108 &amp; "', '" &amp; $Y108 &amp; "', '" &amp; "select count(*) from "&amp; $Y108 &amp;" where " &amp; IF(COUNTIF(D:D,"IS_DESTROYED"),"IS_DESTROYED=0 and ","") &amp;   $D108 &amp; "={pid}" &amp; "', " &amp; "'【"&amp; $Z108 &amp;"】已使用此筆資料，故不可刪除!!'" &amp; ",'" &amp; SUBSTITUTE("{'zh_TW': '" &amp;  "【"&amp; $Z108 &amp;"】已使用此筆資料，不可刪除!!"  &amp; "' ,'en_US': '" &amp;  "Have used this information, it can not be deleted !!" &amp; "'  ,'zh_CN': '" &amp; "【"&amp; $Z108 &amp;"】已使用此筆資料，不可刪除!!" &amp; "' }", CHAR(39),CHAR(34))   &amp; "');","")</f>
        <v>#REF!</v>
      </c>
    </row>
    <row r="109" spans="28:28">
      <c r="AB109" s="4" t="e">
        <f>IF(#REF!="Y","INSERT INTO `sys_table_relation` (`TABLE_NAME`, `CHILD_TABLE_NAME`, `SQL_QUERY`, `ERROR_DESC` ,`ERROR_DESC_JSON`) VALUES ('" &amp;$H109 &amp; "', '" &amp; $Y109 &amp; "', '" &amp; "select count(*) from "&amp; $Y109 &amp;" where " &amp; IF(COUNTIF(D:D,"IS_DESTROYED"),"IS_DESTROYED=0 and ","") &amp;   $D109 &amp; "={pid}" &amp; "', " &amp; "'【"&amp; $Z109 &amp;"】已使用此筆資料，故不可刪除!!'" &amp; ",'" &amp; SUBSTITUTE("{'zh_TW': '" &amp;  "【"&amp; $Z109 &amp;"】已使用此筆資料，不可刪除!!"  &amp; "' ,'en_US': '" &amp;  "Have used this information, it can not be deleted !!" &amp; "'  ,'zh_CN': '" &amp; "【"&amp; $Z109 &amp;"】已使用此筆資料，不可刪除!!" &amp; "' }", CHAR(39),CHAR(34))   &amp; "');","")</f>
        <v>#REF!</v>
      </c>
    </row>
    <row r="110" spans="28:28">
      <c r="AB110" s="4" t="e">
        <f>IF(#REF!="Y","INSERT INTO `sys_table_relation` (`TABLE_NAME`, `CHILD_TABLE_NAME`, `SQL_QUERY`, `ERROR_DESC` ,`ERROR_DESC_JSON`) VALUES ('" &amp;$H110 &amp; "', '" &amp; $Y110 &amp; "', '" &amp; "select count(*) from "&amp; $Y110 &amp;" where " &amp; IF(COUNTIF(D:D,"IS_DESTROYED"),"IS_DESTROYED=0 and ","") &amp;   $D110 &amp; "={pid}" &amp; "', " &amp; "'【"&amp; $Z110 &amp;"】已使用此筆資料，故不可刪除!!'" &amp; ",'" &amp; SUBSTITUTE("{'zh_TW': '" &amp;  "【"&amp; $Z110 &amp;"】已使用此筆資料，不可刪除!!"  &amp; "' ,'en_US': '" &amp;  "Have used this information, it can not be deleted !!" &amp; "'  ,'zh_CN': '" &amp; "【"&amp; $Z110 &amp;"】已使用此筆資料，不可刪除!!" &amp; "' }", CHAR(39),CHAR(34))   &amp; "');","")</f>
        <v>#REF!</v>
      </c>
    </row>
    <row r="111" spans="28:28">
      <c r="AB111" s="4" t="e">
        <f>IF(#REF!="Y","INSERT INTO `sys_table_relation` (`TABLE_NAME`, `CHILD_TABLE_NAME`, `SQL_QUERY`, `ERROR_DESC` ,`ERROR_DESC_JSON`) VALUES ('" &amp;$H111 &amp; "', '" &amp; $Y111 &amp; "', '" &amp; "select count(*) from "&amp; $Y111 &amp;" where " &amp; IF(COUNTIF(D:D,"IS_DESTROYED"),"IS_DESTROYED=0 and ","") &amp;   $D111 &amp; "={pid}" &amp; "', " &amp; "'【"&amp; $Z111 &amp;"】已使用此筆資料，故不可刪除!!'" &amp; ",'" &amp; SUBSTITUTE("{'zh_TW': '" &amp;  "【"&amp; $Z111 &amp;"】已使用此筆資料，不可刪除!!"  &amp; "' ,'en_US': '" &amp;  "Have used this information, it can not be deleted !!" &amp; "'  ,'zh_CN': '" &amp; "【"&amp; $Z111 &amp;"】已使用此筆資料，不可刪除!!" &amp; "' }", CHAR(39),CHAR(34))   &amp; "');","")</f>
        <v>#REF!</v>
      </c>
    </row>
    <row r="112" spans="28:28">
      <c r="AB112" s="4" t="e">
        <f>IF(#REF!="Y","INSERT INTO `sys_table_relation` (`TABLE_NAME`, `CHILD_TABLE_NAME`, `SQL_QUERY`, `ERROR_DESC` ,`ERROR_DESC_JSON`) VALUES ('" &amp;$H112 &amp; "', '" &amp; $Y112 &amp; "', '" &amp; "select count(*) from "&amp; $Y112 &amp;" where " &amp; IF(COUNTIF(D:D,"IS_DESTROYED"),"IS_DESTROYED=0 and ","") &amp;   $D112 &amp; "={pid}" &amp; "', " &amp; "'【"&amp; $Z112 &amp;"】已使用此筆資料，故不可刪除!!'" &amp; ",'" &amp; SUBSTITUTE("{'zh_TW': '" &amp;  "【"&amp; $Z112 &amp;"】已使用此筆資料，不可刪除!!"  &amp; "' ,'en_US': '" &amp;  "Have used this information, it can not be deleted !!" &amp; "'  ,'zh_CN': '" &amp; "【"&amp; $Z112 &amp;"】已使用此筆資料，不可刪除!!" &amp; "' }", CHAR(39),CHAR(34))   &amp; "');","")</f>
        <v>#REF!</v>
      </c>
    </row>
    <row r="113" spans="28:28">
      <c r="AB113" s="4" t="e">
        <f>IF(#REF!="Y","INSERT INTO `sys_table_relation` (`TABLE_NAME`, `CHILD_TABLE_NAME`, `SQL_QUERY`, `ERROR_DESC` ,`ERROR_DESC_JSON`) VALUES ('" &amp;$H113 &amp; "', '" &amp; $Y113 &amp; "', '" &amp; "select count(*) from "&amp; $Y113 &amp;" where " &amp; IF(COUNTIF(D:D,"IS_DESTROYED"),"IS_DESTROYED=0 and ","") &amp;   $D113 &amp; "={pid}" &amp; "', " &amp; "'【"&amp; $Z113 &amp;"】已使用此筆資料，故不可刪除!!'" &amp; ",'" &amp; SUBSTITUTE("{'zh_TW': '" &amp;  "【"&amp; $Z113 &amp;"】已使用此筆資料，不可刪除!!"  &amp; "' ,'en_US': '" &amp;  "Have used this information, it can not be deleted !!" &amp; "'  ,'zh_CN': '" &amp; "【"&amp; $Z113 &amp;"】已使用此筆資料，不可刪除!!" &amp; "' }", CHAR(39),CHAR(34))   &amp; "');","")</f>
        <v>#REF!</v>
      </c>
    </row>
    <row r="114" spans="28:28">
      <c r="AB114" s="4" t="e">
        <f>IF(#REF!="Y","INSERT INTO `sys_table_relation` (`TABLE_NAME`, `CHILD_TABLE_NAME`, `SQL_QUERY`, `ERROR_DESC` ,`ERROR_DESC_JSON`) VALUES ('" &amp;$H114 &amp; "', '" &amp; $Y114 &amp; "', '" &amp; "select count(*) from "&amp; $Y114 &amp;" where " &amp; IF(COUNTIF(D:D,"IS_DESTROYED"),"IS_DESTROYED=0 and ","") &amp;   $D114 &amp; "={pid}" &amp; "', " &amp; "'【"&amp; $Z114 &amp;"】已使用此筆資料，故不可刪除!!'" &amp; ",'" &amp; SUBSTITUTE("{'zh_TW': '" &amp;  "【"&amp; $Z114 &amp;"】已使用此筆資料，不可刪除!!"  &amp; "' ,'en_US': '" &amp;  "Have used this information, it can not be deleted !!" &amp; "'  ,'zh_CN': '" &amp; "【"&amp; $Z114 &amp;"】已使用此筆資料，不可刪除!!" &amp; "' }", CHAR(39),CHAR(34))   &amp; "');","")</f>
        <v>#REF!</v>
      </c>
    </row>
    <row r="115" spans="28:28">
      <c r="AB115" s="4" t="e">
        <f>IF(#REF!="Y","INSERT INTO `sys_table_relation` (`TABLE_NAME`, `CHILD_TABLE_NAME`, `SQL_QUERY`, `ERROR_DESC` ,`ERROR_DESC_JSON`) VALUES ('" &amp;$H115 &amp; "', '" &amp; $Y115 &amp; "', '" &amp; "select count(*) from "&amp; $Y115 &amp;" where " &amp; IF(COUNTIF(D:D,"IS_DESTROYED"),"IS_DESTROYED=0 and ","") &amp;   $D115 &amp; "={pid}" &amp; "', " &amp; "'【"&amp; $Z115 &amp;"】已使用此筆資料，故不可刪除!!'" &amp; ",'" &amp; SUBSTITUTE("{'zh_TW': '" &amp;  "【"&amp; $Z115 &amp;"】已使用此筆資料，不可刪除!!"  &amp; "' ,'en_US': '" &amp;  "Have used this information, it can not be deleted !!" &amp; "'  ,'zh_CN': '" &amp; "【"&amp; $Z115 &amp;"】已使用此筆資料，不可刪除!!" &amp; "' }", CHAR(39),CHAR(34))   &amp; "');","")</f>
        <v>#REF!</v>
      </c>
    </row>
    <row r="116" spans="28:28">
      <c r="AB116" s="4" t="e">
        <f>IF(#REF!="Y","INSERT INTO `sys_table_relation` (`TABLE_NAME`, `CHILD_TABLE_NAME`, `SQL_QUERY`, `ERROR_DESC` ,`ERROR_DESC_JSON`) VALUES ('" &amp;$H116 &amp; "', '" &amp; $Y116 &amp; "', '" &amp; "select count(*) from "&amp; $Y116 &amp;" where " &amp; IF(COUNTIF(D:D,"IS_DESTROYED"),"IS_DESTROYED=0 and ","") &amp;   $D116 &amp; "={pid}" &amp; "', " &amp; "'【"&amp; $Z116 &amp;"】已使用此筆資料，故不可刪除!!'" &amp; ",'" &amp; SUBSTITUTE("{'zh_TW': '" &amp;  "【"&amp; $Z116 &amp;"】已使用此筆資料，不可刪除!!"  &amp; "' ,'en_US': '" &amp;  "Have used this information, it can not be deleted !!" &amp; "'  ,'zh_CN': '" &amp; "【"&amp; $Z116 &amp;"】已使用此筆資料，不可刪除!!" &amp; "' }", CHAR(39),CHAR(34))   &amp; "');","")</f>
        <v>#REF!</v>
      </c>
    </row>
    <row r="117" spans="28:28">
      <c r="AB117" s="4" t="e">
        <f>IF(#REF!="Y","INSERT INTO `sys_table_relation` (`TABLE_NAME`, `CHILD_TABLE_NAME`, `SQL_QUERY`, `ERROR_DESC` ,`ERROR_DESC_JSON`) VALUES ('" &amp;$H117 &amp; "', '" &amp; $Y117 &amp; "', '" &amp; "select count(*) from "&amp; $Y117 &amp;" where " &amp; IF(COUNTIF(D:D,"IS_DESTROYED"),"IS_DESTROYED=0 and ","") &amp;   $D117 &amp; "={pid}" &amp; "', " &amp; "'【"&amp; $Z117 &amp;"】已使用此筆資料，故不可刪除!!'" &amp; ",'" &amp; SUBSTITUTE("{'zh_TW': '" &amp;  "【"&amp; $Z117 &amp;"】已使用此筆資料，不可刪除!!"  &amp; "' ,'en_US': '" &amp;  "Have used this information, it can not be deleted !!" &amp; "'  ,'zh_CN': '" &amp; "【"&amp; $Z117 &amp;"】已使用此筆資料，不可刪除!!" &amp; "' }", CHAR(39),CHAR(34))   &amp; "');","")</f>
        <v>#REF!</v>
      </c>
    </row>
    <row r="118" spans="28:28">
      <c r="AB118" s="4" t="e">
        <f>IF(#REF!="Y","INSERT INTO `sys_table_relation` (`TABLE_NAME`, `CHILD_TABLE_NAME`, `SQL_QUERY`, `ERROR_DESC` ,`ERROR_DESC_JSON`) VALUES ('" &amp;$H118 &amp; "', '" &amp; $Y118 &amp; "', '" &amp; "select count(*) from "&amp; $Y118 &amp;" where " &amp; IF(COUNTIF(D:D,"IS_DESTROYED"),"IS_DESTROYED=0 and ","") &amp;   $D118 &amp; "={pid}" &amp; "', " &amp; "'【"&amp; $Z118 &amp;"】已使用此筆資料，故不可刪除!!'" &amp; ",'" &amp; SUBSTITUTE("{'zh_TW': '" &amp;  "【"&amp; $Z118 &amp;"】已使用此筆資料，不可刪除!!"  &amp; "' ,'en_US': '" &amp;  "Have used this information, it can not be deleted !!" &amp; "'  ,'zh_CN': '" &amp; "【"&amp; $Z118 &amp;"】已使用此筆資料，不可刪除!!" &amp; "' }", CHAR(39),CHAR(34))   &amp; "');","")</f>
        <v>#REF!</v>
      </c>
    </row>
    <row r="119" spans="28:28">
      <c r="AB119" s="4" t="e">
        <f>IF(#REF!="Y","INSERT INTO `sys_table_relation` (`TABLE_NAME`, `CHILD_TABLE_NAME`, `SQL_QUERY`, `ERROR_DESC` ,`ERROR_DESC_JSON`) VALUES ('" &amp;$H119 &amp; "', '" &amp; $Y119 &amp; "', '" &amp; "select count(*) from "&amp; $Y119 &amp;" where " &amp; IF(COUNTIF(D:D,"IS_DESTROYED"),"IS_DESTROYED=0 and ","") &amp;   $D119 &amp; "={pid}" &amp; "', " &amp; "'【"&amp; $Z119 &amp;"】已使用此筆資料，故不可刪除!!'" &amp; ",'" &amp; SUBSTITUTE("{'zh_TW': '" &amp;  "【"&amp; $Z119 &amp;"】已使用此筆資料，不可刪除!!"  &amp; "' ,'en_US': '" &amp;  "Have used this information, it can not be deleted !!" &amp; "'  ,'zh_CN': '" &amp; "【"&amp; $Z119 &amp;"】已使用此筆資料，不可刪除!!" &amp; "' }", CHAR(39),CHAR(34))   &amp; "');","")</f>
        <v>#REF!</v>
      </c>
    </row>
    <row r="120" spans="28:28">
      <c r="AB120" s="4" t="e">
        <f>IF(#REF!="Y","INSERT INTO `sys_table_relation` (`TABLE_NAME`, `CHILD_TABLE_NAME`, `SQL_QUERY`, `ERROR_DESC` ,`ERROR_DESC_JSON`) VALUES ('" &amp;$H120 &amp; "', '" &amp; $Y120 &amp; "', '" &amp; "select count(*) from "&amp; $Y120 &amp;" where " &amp; IF(COUNTIF(D:D,"IS_DESTROYED"),"IS_DESTROYED=0 and ","") &amp;   $D120 &amp; "={pid}" &amp; "', " &amp; "'【"&amp; $Z120 &amp;"】已使用此筆資料，故不可刪除!!'" &amp; ",'" &amp; SUBSTITUTE("{'zh_TW': '" &amp;  "【"&amp; $Z120 &amp;"】已使用此筆資料，不可刪除!!"  &amp; "' ,'en_US': '" &amp;  "Have used this information, it can not be deleted !!" &amp; "'  ,'zh_CN': '" &amp; "【"&amp; $Z120 &amp;"】已使用此筆資料，不可刪除!!" &amp; "' }", CHAR(39),CHAR(34))   &amp; "');","")</f>
        <v>#REF!</v>
      </c>
    </row>
    <row r="121" spans="28:28">
      <c r="AB121" s="4" t="e">
        <f>IF(#REF!="Y","INSERT INTO `sys_table_relation` (`TABLE_NAME`, `CHILD_TABLE_NAME`, `SQL_QUERY`, `ERROR_DESC` ,`ERROR_DESC_JSON`) VALUES ('" &amp;$H121 &amp; "', '" &amp; $Y121 &amp; "', '" &amp; "select count(*) from "&amp; $Y121 &amp;" where " &amp; IF(COUNTIF(D:D,"IS_DESTROYED"),"IS_DESTROYED=0 and ","") &amp;   $D121 &amp; "={pid}" &amp; "', " &amp; "'【"&amp; $Z121 &amp;"】已使用此筆資料，故不可刪除!!'" &amp; ",'" &amp; SUBSTITUTE("{'zh_TW': '" &amp;  "【"&amp; $Z121 &amp;"】已使用此筆資料，不可刪除!!"  &amp; "' ,'en_US': '" &amp;  "Have used this information, it can not be deleted !!" &amp; "'  ,'zh_CN': '" &amp; "【"&amp; $Z121 &amp;"】已使用此筆資料，不可刪除!!" &amp; "' }", CHAR(39),CHAR(34))   &amp; "');","")</f>
        <v>#REF!</v>
      </c>
    </row>
    <row r="122" spans="28:28">
      <c r="AB122" s="4" t="e">
        <f>IF(#REF!="Y","INSERT INTO `sys_table_relation` (`TABLE_NAME`, `CHILD_TABLE_NAME`, `SQL_QUERY`, `ERROR_DESC` ,`ERROR_DESC_JSON`) VALUES ('" &amp;$H122 &amp; "', '" &amp; $Y122 &amp; "', '" &amp; "select count(*) from "&amp; $Y122 &amp;" where " &amp; IF(COUNTIF(D:D,"IS_DESTROYED"),"IS_DESTROYED=0 and ","") &amp;   $D122 &amp; "={pid}" &amp; "', " &amp; "'【"&amp; $Z122 &amp;"】已使用此筆資料，故不可刪除!!'" &amp; ",'" &amp; SUBSTITUTE("{'zh_TW': '" &amp;  "【"&amp; $Z122 &amp;"】已使用此筆資料，不可刪除!!"  &amp; "' ,'en_US': '" &amp;  "Have used this information, it can not be deleted !!" &amp; "'  ,'zh_CN': '" &amp; "【"&amp; $Z122 &amp;"】已使用此筆資料，不可刪除!!" &amp; "' }", CHAR(39),CHAR(34))   &amp; "');","")</f>
        <v>#REF!</v>
      </c>
    </row>
    <row r="123" spans="28:28">
      <c r="AB123" s="4" t="e">
        <f>IF(#REF!="Y","INSERT INTO `sys_table_relation` (`TABLE_NAME`, `CHILD_TABLE_NAME`, `SQL_QUERY`, `ERROR_DESC` ,`ERROR_DESC_JSON`) VALUES ('" &amp;$H123 &amp; "', '" &amp; $Y123 &amp; "', '" &amp; "select count(*) from "&amp; $Y123 &amp;" where " &amp; IF(COUNTIF(D:D,"IS_DESTROYED"),"IS_DESTROYED=0 and ","") &amp;   $D123 &amp; "={pid}" &amp; "', " &amp; "'【"&amp; $Z123 &amp;"】已使用此筆資料，故不可刪除!!'" &amp; ",'" &amp; SUBSTITUTE("{'zh_TW': '" &amp;  "【"&amp; $Z123 &amp;"】已使用此筆資料，不可刪除!!"  &amp; "' ,'en_US': '" &amp;  "Have used this information, it can not be deleted !!" &amp; "'  ,'zh_CN': '" &amp; "【"&amp; $Z123 &amp;"】已使用此筆資料，不可刪除!!" &amp; "' }", CHAR(39),CHAR(34))   &amp; "');","")</f>
        <v>#REF!</v>
      </c>
    </row>
    <row r="124" spans="28:28">
      <c r="AB124" s="4" t="e">
        <f>IF(#REF!="Y","INSERT INTO `sys_table_relation` (`TABLE_NAME`, `CHILD_TABLE_NAME`, `SQL_QUERY`, `ERROR_DESC` ,`ERROR_DESC_JSON`) VALUES ('" &amp;$H124 &amp; "', '" &amp; $Y124 &amp; "', '" &amp; "select count(*) from "&amp; $Y124 &amp;" where " &amp; IF(COUNTIF(D:D,"IS_DESTROYED"),"IS_DESTROYED=0 and ","") &amp;   $D124 &amp; "={pid}" &amp; "', " &amp; "'【"&amp; $Z124 &amp;"】已使用此筆資料，故不可刪除!!'" &amp; ",'" &amp; SUBSTITUTE("{'zh_TW': '" &amp;  "【"&amp; $Z124 &amp;"】已使用此筆資料，不可刪除!!"  &amp; "' ,'en_US': '" &amp;  "Have used this information, it can not be deleted !!" &amp; "'  ,'zh_CN': '" &amp; "【"&amp; $Z124 &amp;"】已使用此筆資料，不可刪除!!" &amp; "' }", CHAR(39),CHAR(34))   &amp; "');","")</f>
        <v>#REF!</v>
      </c>
    </row>
    <row r="125" spans="28:28">
      <c r="AB125" s="4" t="e">
        <f>IF(#REF!="Y","INSERT INTO `sys_table_relation` (`TABLE_NAME`, `CHILD_TABLE_NAME`, `SQL_QUERY`, `ERROR_DESC` ,`ERROR_DESC_JSON`) VALUES ('" &amp;$H125 &amp; "', '" &amp; $Y125 &amp; "', '" &amp; "select count(*) from "&amp; $Y125 &amp;" where " &amp; IF(COUNTIF(D:D,"IS_DESTROYED"),"IS_DESTROYED=0 and ","") &amp;   $D125 &amp; "={pid}" &amp; "', " &amp; "'【"&amp; $Z125 &amp;"】已使用此筆資料，故不可刪除!!'" &amp; ",'" &amp; SUBSTITUTE("{'zh_TW': '" &amp;  "【"&amp; $Z125 &amp;"】已使用此筆資料，不可刪除!!"  &amp; "' ,'en_US': '" &amp;  "Have used this information, it can not be deleted !!" &amp; "'  ,'zh_CN': '" &amp; "【"&amp; $Z125 &amp;"】已使用此筆資料，不可刪除!!" &amp; "' }", CHAR(39),CHAR(34))   &amp; "');","")</f>
        <v>#REF!</v>
      </c>
    </row>
    <row r="126" spans="28:28">
      <c r="AB126" s="4" t="e">
        <f>IF(#REF!="Y","INSERT INTO `sys_table_relation` (`TABLE_NAME`, `CHILD_TABLE_NAME`, `SQL_QUERY`, `ERROR_DESC` ,`ERROR_DESC_JSON`) VALUES ('" &amp;$H126 &amp; "', '" &amp; $Y126 &amp; "', '" &amp; "select count(*) from "&amp; $Y126 &amp;" where " &amp; IF(COUNTIF(D:D,"IS_DESTROYED"),"IS_DESTROYED=0 and ","") &amp;   $D126 &amp; "={pid}" &amp; "', " &amp; "'【"&amp; $Z126 &amp;"】已使用此筆資料，故不可刪除!!'" &amp; ",'" &amp; SUBSTITUTE("{'zh_TW': '" &amp;  "【"&amp; $Z126 &amp;"】已使用此筆資料，不可刪除!!"  &amp; "' ,'en_US': '" &amp;  "Have used this information, it can not be deleted !!" &amp; "'  ,'zh_CN': '" &amp; "【"&amp; $Z126 &amp;"】已使用此筆資料，不可刪除!!" &amp; "' }", CHAR(39),CHAR(34))   &amp; "');","")</f>
        <v>#REF!</v>
      </c>
    </row>
    <row r="127" spans="28:28">
      <c r="AB127" s="4" t="e">
        <f>IF(#REF!="Y","INSERT INTO `sys_table_relation` (`TABLE_NAME`, `CHILD_TABLE_NAME`, `SQL_QUERY`, `ERROR_DESC` ,`ERROR_DESC_JSON`) VALUES ('" &amp;$H127 &amp; "', '" &amp; $Y127 &amp; "', '" &amp; "select count(*) from "&amp; $Y127 &amp;" where " &amp; IF(COUNTIF(D:D,"IS_DESTROYED"),"IS_DESTROYED=0 and ","") &amp;   $D127 &amp; "={pid}" &amp; "', " &amp; "'【"&amp; $Z127 &amp;"】已使用此筆資料，故不可刪除!!'" &amp; ",'" &amp; SUBSTITUTE("{'zh_TW': '" &amp;  "【"&amp; $Z127 &amp;"】已使用此筆資料，不可刪除!!"  &amp; "' ,'en_US': '" &amp;  "Have used this information, it can not be deleted !!" &amp; "'  ,'zh_CN': '" &amp; "【"&amp; $Z127 &amp;"】已使用此筆資料，不可刪除!!" &amp; "' }", CHAR(39),CHAR(34))   &amp; "');","")</f>
        <v>#REF!</v>
      </c>
    </row>
    <row r="128" spans="28:28">
      <c r="AB128" s="4" t="e">
        <f>IF(#REF!="Y","INSERT INTO `sys_table_relation` (`TABLE_NAME`, `CHILD_TABLE_NAME`, `SQL_QUERY`, `ERROR_DESC` ,`ERROR_DESC_JSON`) VALUES ('" &amp;$H128 &amp; "', '" &amp; $Y128 &amp; "', '" &amp; "select count(*) from "&amp; $Y128 &amp;" where " &amp; IF(COUNTIF(D:D,"IS_DESTROYED"),"IS_DESTROYED=0 and ","") &amp;   $D128 &amp; "={pid}" &amp; "', " &amp; "'【"&amp; $Z128 &amp;"】已使用此筆資料，故不可刪除!!'" &amp; ",'" &amp; SUBSTITUTE("{'zh_TW': '" &amp;  "【"&amp; $Z128 &amp;"】已使用此筆資料，不可刪除!!"  &amp; "' ,'en_US': '" &amp;  "Have used this information, it can not be deleted !!" &amp; "'  ,'zh_CN': '" &amp; "【"&amp; $Z128 &amp;"】已使用此筆資料，不可刪除!!" &amp; "' }", CHAR(39),CHAR(34))   &amp; "');","")</f>
        <v>#REF!</v>
      </c>
    </row>
    <row r="129" spans="28:28">
      <c r="AB129" s="4" t="e">
        <f>IF(#REF!="Y","INSERT INTO `sys_table_relation` (`TABLE_NAME`, `CHILD_TABLE_NAME`, `SQL_QUERY`, `ERROR_DESC` ,`ERROR_DESC_JSON`) VALUES ('" &amp;$H129 &amp; "', '" &amp; $Y129 &amp; "', '" &amp; "select count(*) from "&amp; $Y129 &amp;" where " &amp; IF(COUNTIF(D:D,"IS_DESTROYED"),"IS_DESTROYED=0 and ","") &amp;   $D129 &amp; "={pid}" &amp; "', " &amp; "'【"&amp; $Z129 &amp;"】已使用此筆資料，故不可刪除!!'" &amp; ",'" &amp; SUBSTITUTE("{'zh_TW': '" &amp;  "【"&amp; $Z129 &amp;"】已使用此筆資料，不可刪除!!"  &amp; "' ,'en_US': '" &amp;  "Have used this information, it can not be deleted !!" &amp; "'  ,'zh_CN': '" &amp; "【"&amp; $Z129 &amp;"】已使用此筆資料，不可刪除!!" &amp; "' }", CHAR(39),CHAR(34))   &amp; "');","")</f>
        <v>#REF!</v>
      </c>
    </row>
    <row r="130" spans="28:28">
      <c r="AB130" s="4" t="e">
        <f>IF(#REF!="Y","INSERT INTO `sys_table_relation` (`TABLE_NAME`, `CHILD_TABLE_NAME`, `SQL_QUERY`, `ERROR_DESC` ,`ERROR_DESC_JSON`) VALUES ('" &amp;$H130 &amp; "', '" &amp; $Y130 &amp; "', '" &amp; "select count(*) from "&amp; $Y130 &amp;" where " &amp; IF(COUNTIF(D:D,"IS_DESTROYED"),"IS_DESTROYED=0 and ","") &amp;   $D130 &amp; "={pid}" &amp; "', " &amp; "'【"&amp; $Z130 &amp;"】已使用此筆資料，故不可刪除!!'" &amp; ",'" &amp; SUBSTITUTE("{'zh_TW': '" &amp;  "【"&amp; $Z130 &amp;"】已使用此筆資料，不可刪除!!"  &amp; "' ,'en_US': '" &amp;  "Have used this information, it can not be deleted !!" &amp; "'  ,'zh_CN': '" &amp; "【"&amp; $Z130 &amp;"】已使用此筆資料，不可刪除!!" &amp; "' }", CHAR(39),CHAR(34))   &amp; "');","")</f>
        <v>#REF!</v>
      </c>
    </row>
    <row r="131" spans="28:28">
      <c r="AB131" s="4" t="e">
        <f>IF(#REF!="Y","INSERT INTO `sys_table_relation` (`TABLE_NAME`, `CHILD_TABLE_NAME`, `SQL_QUERY`, `ERROR_DESC` ,`ERROR_DESC_JSON`) VALUES ('" &amp;$H131 &amp; "', '" &amp; $Y131 &amp; "', '" &amp; "select count(*) from "&amp; $Y131 &amp;" where " &amp; IF(COUNTIF(D:D,"IS_DESTROYED"),"IS_DESTROYED=0 and ","") &amp;   $D131 &amp; "={pid}" &amp; "', " &amp; "'【"&amp; $Z131 &amp;"】已使用此筆資料，故不可刪除!!'" &amp; ",'" &amp; SUBSTITUTE("{'zh_TW': '" &amp;  "【"&amp; $Z131 &amp;"】已使用此筆資料，不可刪除!!"  &amp; "' ,'en_US': '" &amp;  "Have used this information, it can not be deleted !!" &amp; "'  ,'zh_CN': '" &amp; "【"&amp; $Z131 &amp;"】已使用此筆資料，不可刪除!!" &amp; "' }", CHAR(39),CHAR(34))   &amp; "');","")</f>
        <v>#REF!</v>
      </c>
    </row>
    <row r="132" spans="28:28">
      <c r="AB132" s="4" t="e">
        <f>IF(#REF!="Y","INSERT INTO `sys_table_relation` (`TABLE_NAME`, `CHILD_TABLE_NAME`, `SQL_QUERY`, `ERROR_DESC` ,`ERROR_DESC_JSON`) VALUES ('" &amp;$H132 &amp; "', '" &amp; $Y132 &amp; "', '" &amp; "select count(*) from "&amp; $Y132 &amp;" where " &amp; IF(COUNTIF(D:D,"IS_DESTROYED"),"IS_DESTROYED=0 and ","") &amp;   $D132 &amp; "={pid}" &amp; "', " &amp; "'【"&amp; $Z132 &amp;"】已使用此筆資料，故不可刪除!!'" &amp; ",'" &amp; SUBSTITUTE("{'zh_TW': '" &amp;  "【"&amp; $Z132 &amp;"】已使用此筆資料，不可刪除!!"  &amp; "' ,'en_US': '" &amp;  "Have used this information, it can not be deleted !!" &amp; "'  ,'zh_CN': '" &amp; "【"&amp; $Z132 &amp;"】已使用此筆資料，不可刪除!!" &amp; "' }", CHAR(39),CHAR(34))   &amp; "');","")</f>
        <v>#REF!</v>
      </c>
    </row>
    <row r="133" spans="28:28">
      <c r="AB133" s="4" t="e">
        <f>IF(#REF!="Y","INSERT INTO `sys_table_relation` (`TABLE_NAME`, `CHILD_TABLE_NAME`, `SQL_QUERY`, `ERROR_DESC` ,`ERROR_DESC_JSON`) VALUES ('" &amp;$H133 &amp; "', '" &amp; $Y133 &amp; "', '" &amp; "select count(*) from "&amp; $Y133 &amp;" where " &amp; IF(COUNTIF(D:D,"IS_DESTROYED"),"IS_DESTROYED=0 and ","") &amp;   $D133 &amp; "={pid}" &amp; "', " &amp; "'【"&amp; $Z133 &amp;"】已使用此筆資料，故不可刪除!!'" &amp; ",'" &amp; SUBSTITUTE("{'zh_TW': '" &amp;  "【"&amp; $Z133 &amp;"】已使用此筆資料，不可刪除!!"  &amp; "' ,'en_US': '" &amp;  "Have used this information, it can not be deleted !!" &amp; "'  ,'zh_CN': '" &amp; "【"&amp; $Z133 &amp;"】已使用此筆資料，不可刪除!!" &amp; "' }", CHAR(39),CHAR(34))   &amp; "');","")</f>
        <v>#REF!</v>
      </c>
    </row>
    <row r="134" spans="28:28">
      <c r="AB134" s="4" t="e">
        <f>IF(#REF!="Y","INSERT INTO `sys_table_relation` (`TABLE_NAME`, `CHILD_TABLE_NAME`, `SQL_QUERY`, `ERROR_DESC` ,`ERROR_DESC_JSON`) VALUES ('" &amp;$H134 &amp; "', '" &amp; $Y134 &amp; "', '" &amp; "select count(*) from "&amp; $Y134 &amp;" where " &amp; IF(COUNTIF(D:D,"IS_DESTROYED"),"IS_DESTROYED=0 and ","") &amp;   $D134 &amp; "={pid}" &amp; "', " &amp; "'【"&amp; $Z134 &amp;"】已使用此筆資料，故不可刪除!!'" &amp; ",'" &amp; SUBSTITUTE("{'zh_TW': '" &amp;  "【"&amp; $Z134 &amp;"】已使用此筆資料，不可刪除!!"  &amp; "' ,'en_US': '" &amp;  "Have used this information, it can not be deleted !!" &amp; "'  ,'zh_CN': '" &amp; "【"&amp; $Z134 &amp;"】已使用此筆資料，不可刪除!!" &amp; "' }", CHAR(39),CHAR(34))   &amp; "');","")</f>
        <v>#REF!</v>
      </c>
    </row>
    <row r="135" spans="28:28">
      <c r="AB135" s="4" t="e">
        <f>IF(#REF!="Y","INSERT INTO `sys_table_relation` (`TABLE_NAME`, `CHILD_TABLE_NAME`, `SQL_QUERY`, `ERROR_DESC` ,`ERROR_DESC_JSON`) VALUES ('" &amp;$H135 &amp; "', '" &amp; $Y135 &amp; "', '" &amp; "select count(*) from "&amp; $Y135 &amp;" where " &amp; IF(COUNTIF(D:D,"IS_DESTROYED"),"IS_DESTROYED=0 and ","") &amp;   $D135 &amp; "={pid}" &amp; "', " &amp; "'【"&amp; $Z135 &amp;"】已使用此筆資料，故不可刪除!!'" &amp; ",'" &amp; SUBSTITUTE("{'zh_TW': '" &amp;  "【"&amp; $Z135 &amp;"】已使用此筆資料，不可刪除!!"  &amp; "' ,'en_US': '" &amp;  "Have used this information, it can not be deleted !!" &amp; "'  ,'zh_CN': '" &amp; "【"&amp; $Z135 &amp;"】已使用此筆資料，不可刪除!!" &amp; "' }", CHAR(39),CHAR(34))   &amp; "');","")</f>
        <v>#REF!</v>
      </c>
    </row>
    <row r="136" spans="28:28">
      <c r="AB136" s="4" t="e">
        <f>IF(#REF!="Y","INSERT INTO `sys_table_relation` (`TABLE_NAME`, `CHILD_TABLE_NAME`, `SQL_QUERY`, `ERROR_DESC` ,`ERROR_DESC_JSON`) VALUES ('" &amp;$H136 &amp; "', '" &amp; $Y136 &amp; "', '" &amp; "select count(*) from "&amp; $Y136 &amp;" where " &amp; IF(COUNTIF(D:D,"IS_DESTROYED"),"IS_DESTROYED=0 and ","") &amp;   $D136 &amp; "={pid}" &amp; "', " &amp; "'【"&amp; $Z136 &amp;"】已使用此筆資料，故不可刪除!!'" &amp; ",'" &amp; SUBSTITUTE("{'zh_TW': '" &amp;  "【"&amp; $Z136 &amp;"】已使用此筆資料，不可刪除!!"  &amp; "' ,'en_US': '" &amp;  "Have used this information, it can not be deleted !!" &amp; "'  ,'zh_CN': '" &amp; "【"&amp; $Z136 &amp;"】已使用此筆資料，不可刪除!!" &amp; "' }", CHAR(39),CHAR(34))   &amp; "');","")</f>
        <v>#REF!</v>
      </c>
    </row>
    <row r="137" spans="28:28">
      <c r="AB137" s="4" t="e">
        <f>IF(#REF!="Y","INSERT INTO `sys_table_relation` (`TABLE_NAME`, `CHILD_TABLE_NAME`, `SQL_QUERY`, `ERROR_DESC` ,`ERROR_DESC_JSON`) VALUES ('" &amp;$H137 &amp; "', '" &amp; $Y137 &amp; "', '" &amp; "select count(*) from "&amp; $Y137 &amp;" where " &amp; IF(COUNTIF(D:D,"IS_DESTROYED"),"IS_DESTROYED=0 and ","") &amp;   $D137 &amp; "={pid}" &amp; "', " &amp; "'【"&amp; $Z137 &amp;"】已使用此筆資料，故不可刪除!!'" &amp; ",'" &amp; SUBSTITUTE("{'zh_TW': '" &amp;  "【"&amp; $Z137 &amp;"】已使用此筆資料，不可刪除!!"  &amp; "' ,'en_US': '" &amp;  "Have used this information, it can not be deleted !!" &amp; "'  ,'zh_CN': '" &amp; "【"&amp; $Z137 &amp;"】已使用此筆資料，不可刪除!!" &amp; "' }", CHAR(39),CHAR(34))   &amp; "');","")</f>
        <v>#REF!</v>
      </c>
    </row>
    <row r="138" spans="28:28">
      <c r="AB138" s="4" t="e">
        <f>IF(#REF!="Y","INSERT INTO `sys_table_relation` (`TABLE_NAME`, `CHILD_TABLE_NAME`, `SQL_QUERY`, `ERROR_DESC` ,`ERROR_DESC_JSON`) VALUES ('" &amp;$H138 &amp; "', '" &amp; $Y138 &amp; "', '" &amp; "select count(*) from "&amp; $Y138 &amp;" where " &amp; IF(COUNTIF(D:D,"IS_DESTROYED"),"IS_DESTROYED=0 and ","") &amp;   $D138 &amp; "={pid}" &amp; "', " &amp; "'【"&amp; $Z138 &amp;"】已使用此筆資料，故不可刪除!!'" &amp; ",'" &amp; SUBSTITUTE("{'zh_TW': '" &amp;  "【"&amp; $Z138 &amp;"】已使用此筆資料，不可刪除!!"  &amp; "' ,'en_US': '" &amp;  "Have used this information, it can not be deleted !!" &amp; "'  ,'zh_CN': '" &amp; "【"&amp; $Z138 &amp;"】已使用此筆資料，不可刪除!!" &amp; "' }", CHAR(39),CHAR(34))   &amp; "');","")</f>
        <v>#REF!</v>
      </c>
    </row>
    <row r="139" spans="28:28">
      <c r="AB139" s="4" t="e">
        <f>IF(#REF!="Y","INSERT INTO `sys_table_relation` (`TABLE_NAME`, `CHILD_TABLE_NAME`, `SQL_QUERY`, `ERROR_DESC` ,`ERROR_DESC_JSON`) VALUES ('" &amp;$H139 &amp; "', '" &amp; $Y139 &amp; "', '" &amp; "select count(*) from "&amp; $Y139 &amp;" where " &amp; IF(COUNTIF(D:D,"IS_DESTROYED"),"IS_DESTROYED=0 and ","") &amp;   $D139 &amp; "={pid}" &amp; "', " &amp; "'【"&amp; $Z139 &amp;"】已使用此筆資料，故不可刪除!!'" &amp; ",'" &amp; SUBSTITUTE("{'zh_TW': '" &amp;  "【"&amp; $Z139 &amp;"】已使用此筆資料，不可刪除!!"  &amp; "' ,'en_US': '" &amp;  "Have used this information, it can not be deleted !!" &amp; "'  ,'zh_CN': '" &amp; "【"&amp; $Z139 &amp;"】已使用此筆資料，不可刪除!!" &amp; "' }", CHAR(39),CHAR(34))   &amp; "');","")</f>
        <v>#REF!</v>
      </c>
    </row>
    <row r="140" spans="28:28">
      <c r="AB140" s="4" t="e">
        <f>IF(#REF!="Y","INSERT INTO `sys_table_relation` (`TABLE_NAME`, `CHILD_TABLE_NAME`, `SQL_QUERY`, `ERROR_DESC` ,`ERROR_DESC_JSON`) VALUES ('" &amp;$H140 &amp; "', '" &amp; $Y140 &amp; "', '" &amp; "select count(*) from "&amp; $Y140 &amp;" where " &amp; IF(COUNTIF(D:D,"IS_DESTROYED"),"IS_DESTROYED=0 and ","") &amp;   $D140 &amp; "={pid}" &amp; "', " &amp; "'【"&amp; $Z140 &amp;"】已使用此筆資料，故不可刪除!!'" &amp; ",'" &amp; SUBSTITUTE("{'zh_TW': '" &amp;  "【"&amp; $Z140 &amp;"】已使用此筆資料，不可刪除!!"  &amp; "' ,'en_US': '" &amp;  "Have used this information, it can not be deleted !!" &amp; "'  ,'zh_CN': '" &amp; "【"&amp; $Z140 &amp;"】已使用此筆資料，不可刪除!!" &amp; "' }", CHAR(39),CHAR(34))   &amp; "');","")</f>
        <v>#REF!</v>
      </c>
    </row>
    <row r="141" spans="28:28">
      <c r="AB141" s="4" t="e">
        <f>IF(#REF!="Y","INSERT INTO `sys_table_relation` (`TABLE_NAME`, `CHILD_TABLE_NAME`, `SQL_QUERY`, `ERROR_DESC` ,`ERROR_DESC_JSON`) VALUES ('" &amp;$H141 &amp; "', '" &amp; $Y141 &amp; "', '" &amp; "select count(*) from "&amp; $Y141 &amp;" where " &amp; IF(COUNTIF(D:D,"IS_DESTROYED"),"IS_DESTROYED=0 and ","") &amp;   $D141 &amp; "={pid}" &amp; "', " &amp; "'【"&amp; $Z141 &amp;"】已使用此筆資料，故不可刪除!!'" &amp; ",'" &amp; SUBSTITUTE("{'zh_TW': '" &amp;  "【"&amp; $Z141 &amp;"】已使用此筆資料，不可刪除!!"  &amp; "' ,'en_US': '" &amp;  "Have used this information, it can not be deleted !!" &amp; "'  ,'zh_CN': '" &amp; "【"&amp; $Z141 &amp;"】已使用此筆資料，不可刪除!!" &amp; "' }", CHAR(39),CHAR(34))   &amp; "');","")</f>
        <v>#REF!</v>
      </c>
    </row>
    <row r="142" spans="28:28">
      <c r="AB142" s="4" t="e">
        <f>IF(#REF!="Y","INSERT INTO `sys_table_relation` (`TABLE_NAME`, `CHILD_TABLE_NAME`, `SQL_QUERY`, `ERROR_DESC` ,`ERROR_DESC_JSON`) VALUES ('" &amp;$H142 &amp; "', '" &amp; $Y142 &amp; "', '" &amp; "select count(*) from "&amp; $Y142 &amp;" where " &amp; IF(COUNTIF(D:D,"IS_DESTROYED"),"IS_DESTROYED=0 and ","") &amp;   $D142 &amp; "={pid}" &amp; "', " &amp; "'【"&amp; $Z142 &amp;"】已使用此筆資料，故不可刪除!!'" &amp; ",'" &amp; SUBSTITUTE("{'zh_TW': '" &amp;  "【"&amp; $Z142 &amp;"】已使用此筆資料，不可刪除!!"  &amp; "' ,'en_US': '" &amp;  "Have used this information, it can not be deleted !!" &amp; "'  ,'zh_CN': '" &amp; "【"&amp; $Z142 &amp;"】已使用此筆資料，不可刪除!!" &amp; "' }", CHAR(39),CHAR(34))   &amp; "');","")</f>
        <v>#REF!</v>
      </c>
    </row>
    <row r="143" spans="28:28">
      <c r="AB143" s="4" t="e">
        <f>IF(#REF!="Y","INSERT INTO `sys_table_relation` (`TABLE_NAME`, `CHILD_TABLE_NAME`, `SQL_QUERY`, `ERROR_DESC` ,`ERROR_DESC_JSON`) VALUES ('" &amp;$H143 &amp; "', '" &amp; $Y143 &amp; "', '" &amp; "select count(*) from "&amp; $Y143 &amp;" where " &amp; IF(COUNTIF(D:D,"IS_DESTROYED"),"IS_DESTROYED=0 and ","") &amp;   $D143 &amp; "={pid}" &amp; "', " &amp; "'【"&amp; $Z143 &amp;"】已使用此筆資料，故不可刪除!!'" &amp; ",'" &amp; SUBSTITUTE("{'zh_TW': '" &amp;  "【"&amp; $Z143 &amp;"】已使用此筆資料，不可刪除!!"  &amp; "' ,'en_US': '" &amp;  "Have used this information, it can not be deleted !!" &amp; "'  ,'zh_CN': '" &amp; "【"&amp; $Z143 &amp;"】已使用此筆資料，不可刪除!!" &amp; "' }", CHAR(39),CHAR(34))   &amp; "');","")</f>
        <v>#REF!</v>
      </c>
    </row>
    <row r="144" spans="28:28">
      <c r="AB144" s="4" t="e">
        <f>IF(#REF!="Y","INSERT INTO `sys_table_relation` (`TABLE_NAME`, `CHILD_TABLE_NAME`, `SQL_QUERY`, `ERROR_DESC` ,`ERROR_DESC_JSON`) VALUES ('" &amp;$H144 &amp; "', '" &amp; $Y144 &amp; "', '" &amp; "select count(*) from "&amp; $Y144 &amp;" where " &amp; IF(COUNTIF(D:D,"IS_DESTROYED"),"IS_DESTROYED=0 and ","") &amp;   $D144 &amp; "={pid}" &amp; "', " &amp; "'【"&amp; $Z144 &amp;"】已使用此筆資料，故不可刪除!!'" &amp; ",'" &amp; SUBSTITUTE("{'zh_TW': '" &amp;  "【"&amp; $Z144 &amp;"】已使用此筆資料，不可刪除!!"  &amp; "' ,'en_US': '" &amp;  "Have used this information, it can not be deleted !!" &amp; "'  ,'zh_CN': '" &amp; "【"&amp; $Z144 &amp;"】已使用此筆資料，不可刪除!!" &amp; "' }", CHAR(39),CHAR(34))   &amp; "');","")</f>
        <v>#REF!</v>
      </c>
    </row>
    <row r="145" spans="28:28">
      <c r="AB145" s="4" t="e">
        <f>IF(#REF!="Y","INSERT INTO `sys_table_relation` (`TABLE_NAME`, `CHILD_TABLE_NAME`, `SQL_QUERY`, `ERROR_DESC` ,`ERROR_DESC_JSON`) VALUES ('" &amp;$H145 &amp; "', '" &amp; $Y145 &amp; "', '" &amp; "select count(*) from "&amp; $Y145 &amp;" where " &amp; IF(COUNTIF(D:D,"IS_DESTROYED"),"IS_DESTROYED=0 and ","") &amp;   $D145 &amp; "={pid}" &amp; "', " &amp; "'【"&amp; $Z145 &amp;"】已使用此筆資料，故不可刪除!!'" &amp; ",'" &amp; SUBSTITUTE("{'zh_TW': '" &amp;  "【"&amp; $Z145 &amp;"】已使用此筆資料，不可刪除!!"  &amp; "' ,'en_US': '" &amp;  "Have used this information, it can not be deleted !!" &amp; "'  ,'zh_CN': '" &amp; "【"&amp; $Z145 &amp;"】已使用此筆資料，不可刪除!!" &amp; "' }", CHAR(39),CHAR(34))   &amp; "');","")</f>
        <v>#REF!</v>
      </c>
    </row>
    <row r="146" spans="28:28">
      <c r="AB146" s="4" t="e">
        <f>IF(#REF!="Y","INSERT INTO `sys_table_relation` (`TABLE_NAME`, `CHILD_TABLE_NAME`, `SQL_QUERY`, `ERROR_DESC` ,`ERROR_DESC_JSON`) VALUES ('" &amp;$H146 &amp; "', '" &amp; $Y146 &amp; "', '" &amp; "select count(*) from "&amp; $Y146 &amp;" where " &amp; IF(COUNTIF(D:D,"IS_DESTROYED"),"IS_DESTROYED=0 and ","") &amp;   $D146 &amp; "={pid}" &amp; "', " &amp; "'【"&amp; $Z146 &amp;"】已使用此筆資料，故不可刪除!!'" &amp; ",'" &amp; SUBSTITUTE("{'zh_TW': '" &amp;  "【"&amp; $Z146 &amp;"】已使用此筆資料，不可刪除!!"  &amp; "' ,'en_US': '" &amp;  "Have used this information, it can not be deleted !!" &amp; "'  ,'zh_CN': '" &amp; "【"&amp; $Z146 &amp;"】已使用此筆資料，不可刪除!!" &amp; "' }", CHAR(39),CHAR(34))   &amp; "');","")</f>
        <v>#REF!</v>
      </c>
    </row>
    <row r="147" spans="28:28">
      <c r="AB147" s="4" t="e">
        <f>IF(#REF!="Y","INSERT INTO `sys_table_relation` (`TABLE_NAME`, `CHILD_TABLE_NAME`, `SQL_QUERY`, `ERROR_DESC` ,`ERROR_DESC_JSON`) VALUES ('" &amp;$H147 &amp; "', '" &amp; $Y147 &amp; "', '" &amp; "select count(*) from "&amp; $Y147 &amp;" where " &amp; IF(COUNTIF(D:D,"IS_DESTROYED"),"IS_DESTROYED=0 and ","") &amp;   $D147 &amp; "={pid}" &amp; "', " &amp; "'【"&amp; $Z147 &amp;"】已使用此筆資料，故不可刪除!!'" &amp; ",'" &amp; SUBSTITUTE("{'zh_TW': '" &amp;  "【"&amp; $Z147 &amp;"】已使用此筆資料，不可刪除!!"  &amp; "' ,'en_US': '" &amp;  "Have used this information, it can not be deleted !!" &amp; "'  ,'zh_CN': '" &amp; "【"&amp; $Z147 &amp;"】已使用此筆資料，不可刪除!!" &amp; "' }", CHAR(39),CHAR(34))   &amp; "');","")</f>
        <v>#REF!</v>
      </c>
    </row>
    <row r="148" spans="28:28">
      <c r="AB148" s="4" t="e">
        <f>IF(#REF!="Y","INSERT INTO `sys_table_relation` (`TABLE_NAME`, `CHILD_TABLE_NAME`, `SQL_QUERY`, `ERROR_DESC` ,`ERROR_DESC_JSON`) VALUES ('" &amp;$H148 &amp; "', '" &amp; $Y148 &amp; "', '" &amp; "select count(*) from "&amp; $Y148 &amp;" where " &amp; IF(COUNTIF(D:D,"IS_DESTROYED"),"IS_DESTROYED=0 and ","") &amp;   $D148 &amp; "={pid}" &amp; "', " &amp; "'【"&amp; $Z148 &amp;"】已使用此筆資料，故不可刪除!!'" &amp; ",'" &amp; SUBSTITUTE("{'zh_TW': '" &amp;  "【"&amp; $Z148 &amp;"】已使用此筆資料，不可刪除!!"  &amp; "' ,'en_US': '" &amp;  "Have used this information, it can not be deleted !!" &amp; "'  ,'zh_CN': '" &amp; "【"&amp; $Z148 &amp;"】已使用此筆資料，不可刪除!!" &amp; "' }", CHAR(39),CHAR(34))   &amp; "');","")</f>
        <v>#REF!</v>
      </c>
    </row>
    <row r="149" spans="28:28">
      <c r="AB149" s="4" t="e">
        <f>IF(#REF!="Y","INSERT INTO `sys_table_relation` (`TABLE_NAME`, `CHILD_TABLE_NAME`, `SQL_QUERY`, `ERROR_DESC` ,`ERROR_DESC_JSON`) VALUES ('" &amp;$H149 &amp; "', '" &amp; $Y149 &amp; "', '" &amp; "select count(*) from "&amp; $Y149 &amp;" where " &amp; IF(COUNTIF(D:D,"IS_DESTROYED"),"IS_DESTROYED=0 and ","") &amp;   $D149 &amp; "={pid}" &amp; "', " &amp; "'【"&amp; $Z149 &amp;"】已使用此筆資料，故不可刪除!!'" &amp; ",'" &amp; SUBSTITUTE("{'zh_TW': '" &amp;  "【"&amp; $Z149 &amp;"】已使用此筆資料，不可刪除!!"  &amp; "' ,'en_US': '" &amp;  "Have used this information, it can not be deleted !!" &amp; "'  ,'zh_CN': '" &amp; "【"&amp; $Z149 &amp;"】已使用此筆資料，不可刪除!!" &amp; "' }", CHAR(39),CHAR(34))   &amp; "');","")</f>
        <v>#REF!</v>
      </c>
    </row>
    <row r="150" spans="28:28">
      <c r="AB150" s="4" t="e">
        <f>IF(#REF!="Y","INSERT INTO `sys_table_relation` (`TABLE_NAME`, `CHILD_TABLE_NAME`, `SQL_QUERY`, `ERROR_DESC` ,`ERROR_DESC_JSON`) VALUES ('" &amp;$H150 &amp; "', '" &amp; $Y150 &amp; "', '" &amp; "select count(*) from "&amp; $Y150 &amp;" where " &amp; IF(COUNTIF(D:D,"IS_DESTROYED"),"IS_DESTROYED=0 and ","") &amp;   $D150 &amp; "={pid}" &amp; "', " &amp; "'【"&amp; $Z150 &amp;"】已使用此筆資料，故不可刪除!!'" &amp; ",'" &amp; SUBSTITUTE("{'zh_TW': '" &amp;  "【"&amp; $Z150 &amp;"】已使用此筆資料，不可刪除!!"  &amp; "' ,'en_US': '" &amp;  "Have used this information, it can not be deleted !!" &amp; "'  ,'zh_CN': '" &amp; "【"&amp; $Z150 &amp;"】已使用此筆資料，不可刪除!!" &amp; "' }", CHAR(39),CHAR(34))   &amp; "');","")</f>
        <v>#REF!</v>
      </c>
    </row>
    <row r="151" spans="28:28">
      <c r="AB151" s="4" t="e">
        <f>IF(#REF!="Y","INSERT INTO `sys_table_relation` (`TABLE_NAME`, `CHILD_TABLE_NAME`, `SQL_QUERY`, `ERROR_DESC` ,`ERROR_DESC_JSON`) VALUES ('" &amp;$H151 &amp; "', '" &amp; $Y151 &amp; "', '" &amp; "select count(*) from "&amp; $Y151 &amp;" where " &amp; IF(COUNTIF(D:D,"IS_DESTROYED"),"IS_DESTROYED=0 and ","") &amp;   $D151 &amp; "={pid}" &amp; "', " &amp; "'【"&amp; $Z151 &amp;"】已使用此筆資料，故不可刪除!!'" &amp; ",'" &amp; SUBSTITUTE("{'zh_TW': '" &amp;  "【"&amp; $Z151 &amp;"】已使用此筆資料，不可刪除!!"  &amp; "' ,'en_US': '" &amp;  "Have used this information, it can not be deleted !!" &amp; "'  ,'zh_CN': '" &amp; "【"&amp; $Z151 &amp;"】已使用此筆資料，不可刪除!!" &amp; "' }", CHAR(39),CHAR(34))   &amp; "');","")</f>
        <v>#REF!</v>
      </c>
    </row>
    <row r="152" spans="28:28">
      <c r="AB152" s="4" t="e">
        <f>IF(#REF!="Y","INSERT INTO `sys_table_relation` (`TABLE_NAME`, `CHILD_TABLE_NAME`, `SQL_QUERY`, `ERROR_DESC` ,`ERROR_DESC_JSON`) VALUES ('" &amp;$H152 &amp; "', '" &amp; $Y152 &amp; "', '" &amp; "select count(*) from "&amp; $Y152 &amp;" where " &amp; IF(COUNTIF(D:D,"IS_DESTROYED"),"IS_DESTROYED=0 and ","") &amp;   $D152 &amp; "={pid}" &amp; "', " &amp; "'【"&amp; $Z152 &amp;"】已使用此筆資料，故不可刪除!!'" &amp; ",'" &amp; SUBSTITUTE("{'zh_TW': '" &amp;  "【"&amp; $Z152 &amp;"】已使用此筆資料，不可刪除!!"  &amp; "' ,'en_US': '" &amp;  "Have used this information, it can not be deleted !!" &amp; "'  ,'zh_CN': '" &amp; "【"&amp; $Z152 &amp;"】已使用此筆資料，不可刪除!!" &amp; "' }", CHAR(39),CHAR(34))   &amp; "');","")</f>
        <v>#REF!</v>
      </c>
    </row>
    <row r="153" spans="28:28">
      <c r="AB153" s="4" t="e">
        <f>IF(#REF!="Y","INSERT INTO `sys_table_relation` (`TABLE_NAME`, `CHILD_TABLE_NAME`, `SQL_QUERY`, `ERROR_DESC` ,`ERROR_DESC_JSON`) VALUES ('" &amp;$H153 &amp; "', '" &amp; $Y153 &amp; "', '" &amp; "select count(*) from "&amp; $Y153 &amp;" where " &amp; IF(COUNTIF(D:D,"IS_DESTROYED"),"IS_DESTROYED=0 and ","") &amp;   $D153 &amp; "={pid}" &amp; "', " &amp; "'【"&amp; $Z153 &amp;"】已使用此筆資料，故不可刪除!!'" &amp; ",'" &amp; SUBSTITUTE("{'zh_TW': '" &amp;  "【"&amp; $Z153 &amp;"】已使用此筆資料，不可刪除!!"  &amp; "' ,'en_US': '" &amp;  "Have used this information, it can not be deleted !!" &amp; "'  ,'zh_CN': '" &amp; "【"&amp; $Z153 &amp;"】已使用此筆資料，不可刪除!!" &amp; "' }", CHAR(39),CHAR(34))   &amp; "');","")</f>
        <v>#REF!</v>
      </c>
    </row>
    <row r="154" spans="28:28">
      <c r="AB154" s="4" t="e">
        <f>IF(#REF!="Y","INSERT INTO `sys_table_relation` (`TABLE_NAME`, `CHILD_TABLE_NAME`, `SQL_QUERY`, `ERROR_DESC` ,`ERROR_DESC_JSON`) VALUES ('" &amp;$H154 &amp; "', '" &amp; $Y154 &amp; "', '" &amp; "select count(*) from "&amp; $Y154 &amp;" where " &amp; IF(COUNTIF(D:D,"IS_DESTROYED"),"IS_DESTROYED=0 and ","") &amp;   $D154 &amp; "={pid}" &amp; "', " &amp; "'【"&amp; $Z154 &amp;"】已使用此筆資料，故不可刪除!!'" &amp; ",'" &amp; SUBSTITUTE("{'zh_TW': '" &amp;  "【"&amp; $Z154 &amp;"】已使用此筆資料，不可刪除!!"  &amp; "' ,'en_US': '" &amp;  "Have used this information, it can not be deleted !!" &amp; "'  ,'zh_CN': '" &amp; "【"&amp; $Z154 &amp;"】已使用此筆資料，不可刪除!!" &amp; "' }", CHAR(39),CHAR(34))   &amp; "');","")</f>
        <v>#REF!</v>
      </c>
    </row>
    <row r="155" spans="28:28">
      <c r="AB155" s="4" t="e">
        <f>IF(#REF!="Y","INSERT INTO `sys_table_relation` (`TABLE_NAME`, `CHILD_TABLE_NAME`, `SQL_QUERY`, `ERROR_DESC` ,`ERROR_DESC_JSON`) VALUES ('" &amp;$H155 &amp; "', '" &amp; $Y155 &amp; "', '" &amp; "select count(*) from "&amp; $Y155 &amp;" where " &amp; IF(COUNTIF(D:D,"IS_DESTROYED"),"IS_DESTROYED=0 and ","") &amp;   $D155 &amp; "={pid}" &amp; "', " &amp; "'【"&amp; $Z155 &amp;"】已使用此筆資料，故不可刪除!!'" &amp; ",'" &amp; SUBSTITUTE("{'zh_TW': '" &amp;  "【"&amp; $Z155 &amp;"】已使用此筆資料，不可刪除!!"  &amp; "' ,'en_US': '" &amp;  "Have used this information, it can not be deleted !!" &amp; "'  ,'zh_CN': '" &amp; "【"&amp; $Z155 &amp;"】已使用此筆資料，不可刪除!!" &amp; "' }", CHAR(39),CHAR(34))   &amp; "');","")</f>
        <v>#REF!</v>
      </c>
    </row>
    <row r="156" spans="28:28">
      <c r="AB156" s="4" t="e">
        <f>IF(#REF!="Y","INSERT INTO `sys_table_relation` (`TABLE_NAME`, `CHILD_TABLE_NAME`, `SQL_QUERY`, `ERROR_DESC` ,`ERROR_DESC_JSON`) VALUES ('" &amp;$H156 &amp; "', '" &amp; $Y156 &amp; "', '" &amp; "select count(*) from "&amp; $Y156 &amp;" where " &amp; IF(COUNTIF(D:D,"IS_DESTROYED"),"IS_DESTROYED=0 and ","") &amp;   $D156 &amp; "={pid}" &amp; "', " &amp; "'【"&amp; $Z156 &amp;"】已使用此筆資料，故不可刪除!!'" &amp; ",'" &amp; SUBSTITUTE("{'zh_TW': '" &amp;  "【"&amp; $Z156 &amp;"】已使用此筆資料，不可刪除!!"  &amp; "' ,'en_US': '" &amp;  "Have used this information, it can not be deleted !!" &amp; "'  ,'zh_CN': '" &amp; "【"&amp; $Z156 &amp;"】已使用此筆資料，不可刪除!!" &amp; "' }", CHAR(39),CHAR(34))   &amp; "');","")</f>
        <v>#REF!</v>
      </c>
    </row>
    <row r="157" spans="28:28">
      <c r="AB157" s="4" t="e">
        <f>IF(#REF!="Y","INSERT INTO `sys_table_relation` (`TABLE_NAME`, `CHILD_TABLE_NAME`, `SQL_QUERY`, `ERROR_DESC` ,`ERROR_DESC_JSON`) VALUES ('" &amp;$H157 &amp; "', '" &amp; $Y157 &amp; "', '" &amp; "select count(*) from "&amp; $Y157 &amp;" where " &amp; IF(COUNTIF(D:D,"IS_DESTROYED"),"IS_DESTROYED=0 and ","") &amp;   $D157 &amp; "={pid}" &amp; "', " &amp; "'【"&amp; $Z157 &amp;"】已使用此筆資料，故不可刪除!!'" &amp; ",'" &amp; SUBSTITUTE("{'zh_TW': '" &amp;  "【"&amp; $Z157 &amp;"】已使用此筆資料，不可刪除!!"  &amp; "' ,'en_US': '" &amp;  "Have used this information, it can not be deleted !!" &amp; "'  ,'zh_CN': '" &amp; "【"&amp; $Z157 &amp;"】已使用此筆資料，不可刪除!!" &amp; "' }", CHAR(39),CHAR(34))   &amp; "');","")</f>
        <v>#REF!</v>
      </c>
    </row>
    <row r="158" spans="28:28">
      <c r="AB158" s="4" t="e">
        <f>IF(#REF!="Y","INSERT INTO `sys_table_relation` (`TABLE_NAME`, `CHILD_TABLE_NAME`, `SQL_QUERY`, `ERROR_DESC` ,`ERROR_DESC_JSON`) VALUES ('" &amp;$H158 &amp; "', '" &amp; $Y158 &amp; "', '" &amp; "select count(*) from "&amp; $Y158 &amp;" where " &amp; IF(COUNTIF(D:D,"IS_DESTROYED"),"IS_DESTROYED=0 and ","") &amp;   $D158 &amp; "={pid}" &amp; "', " &amp; "'【"&amp; $Z158 &amp;"】已使用此筆資料，故不可刪除!!'" &amp; ",'" &amp; SUBSTITUTE("{'zh_TW': '" &amp;  "【"&amp; $Z158 &amp;"】已使用此筆資料，不可刪除!!"  &amp; "' ,'en_US': '" &amp;  "Have used this information, it can not be deleted !!" &amp; "'  ,'zh_CN': '" &amp; "【"&amp; $Z158 &amp;"】已使用此筆資料，不可刪除!!" &amp; "' }", CHAR(39),CHAR(34))   &amp; "');","")</f>
        <v>#REF!</v>
      </c>
    </row>
    <row r="159" spans="28:28">
      <c r="AB159" s="4" t="e">
        <f>IF(#REF!="Y","INSERT INTO `sys_table_relation` (`TABLE_NAME`, `CHILD_TABLE_NAME`, `SQL_QUERY`, `ERROR_DESC` ,`ERROR_DESC_JSON`) VALUES ('" &amp;$H159 &amp; "', '" &amp; $Y159 &amp; "', '" &amp; "select count(*) from "&amp; $Y159 &amp;" where " &amp; IF(COUNTIF(D:D,"IS_DESTROYED"),"IS_DESTROYED=0 and ","") &amp;   $D159 &amp; "={pid}" &amp; "', " &amp; "'【"&amp; $Z159 &amp;"】已使用此筆資料，故不可刪除!!'" &amp; ",'" &amp; SUBSTITUTE("{'zh_TW': '" &amp;  "【"&amp; $Z159 &amp;"】已使用此筆資料，不可刪除!!"  &amp; "' ,'en_US': '" &amp;  "Have used this information, it can not be deleted !!" &amp; "'  ,'zh_CN': '" &amp; "【"&amp; $Z159 &amp;"】已使用此筆資料，不可刪除!!" &amp; "' }", CHAR(39),CHAR(34))   &amp; "');","")</f>
        <v>#REF!</v>
      </c>
    </row>
    <row r="160" spans="28:28">
      <c r="AB160" s="4" t="e">
        <f>IF(#REF!="Y","INSERT INTO `sys_table_relation` (`TABLE_NAME`, `CHILD_TABLE_NAME`, `SQL_QUERY`, `ERROR_DESC` ,`ERROR_DESC_JSON`) VALUES ('" &amp;$H160 &amp; "', '" &amp; $Y160 &amp; "', '" &amp; "select count(*) from "&amp; $Y160 &amp;" where " &amp; IF(COUNTIF(D:D,"IS_DESTROYED"),"IS_DESTROYED=0 and ","") &amp;   $D160 &amp; "={pid}" &amp; "', " &amp; "'【"&amp; $Z160 &amp;"】已使用此筆資料，故不可刪除!!'" &amp; ",'" &amp; SUBSTITUTE("{'zh_TW': '" &amp;  "【"&amp; $Z160 &amp;"】已使用此筆資料，不可刪除!!"  &amp; "' ,'en_US': '" &amp;  "Have used this information, it can not be deleted !!" &amp; "'  ,'zh_CN': '" &amp; "【"&amp; $Z160 &amp;"】已使用此筆資料，不可刪除!!" &amp; "' }", CHAR(39),CHAR(34))   &amp; "');","")</f>
        <v>#REF!</v>
      </c>
    </row>
    <row r="161" spans="28:28">
      <c r="AB161" s="4" t="e">
        <f>IF(#REF!="Y","INSERT INTO `sys_table_relation` (`TABLE_NAME`, `CHILD_TABLE_NAME`, `SQL_QUERY`, `ERROR_DESC` ,`ERROR_DESC_JSON`) VALUES ('" &amp;$H161 &amp; "', '" &amp; $Y161 &amp; "', '" &amp; "select count(*) from "&amp; $Y161 &amp;" where " &amp; IF(COUNTIF(D:D,"IS_DESTROYED"),"IS_DESTROYED=0 and ","") &amp;   $D161 &amp; "={pid}" &amp; "', " &amp; "'【"&amp; $Z161 &amp;"】已使用此筆資料，故不可刪除!!'" &amp; ",'" &amp; SUBSTITUTE("{'zh_TW': '" &amp;  "【"&amp; $Z161 &amp;"】已使用此筆資料，不可刪除!!"  &amp; "' ,'en_US': '" &amp;  "Have used this information, it can not be deleted !!" &amp; "'  ,'zh_CN': '" &amp; "【"&amp; $Z161 &amp;"】已使用此筆資料，不可刪除!!" &amp; "' }", CHAR(39),CHAR(34))   &amp; "');","")</f>
        <v>#REF!</v>
      </c>
    </row>
    <row r="162" spans="28:28">
      <c r="AB162" s="4" t="e">
        <f>IF(#REF!="Y","INSERT INTO `sys_table_relation` (`TABLE_NAME`, `CHILD_TABLE_NAME`, `SQL_QUERY`, `ERROR_DESC` ,`ERROR_DESC_JSON`) VALUES ('" &amp;$H162 &amp; "', '" &amp; $Y162 &amp; "', '" &amp; "select count(*) from "&amp; $Y162 &amp;" where " &amp; IF(COUNTIF(D:D,"IS_DESTROYED"),"IS_DESTROYED=0 and ","") &amp;   $D162 &amp; "={pid}" &amp; "', " &amp; "'【"&amp; $Z162 &amp;"】已使用此筆資料，故不可刪除!!'" &amp; ",'" &amp; SUBSTITUTE("{'zh_TW': '" &amp;  "【"&amp; $Z162 &amp;"】已使用此筆資料，不可刪除!!"  &amp; "' ,'en_US': '" &amp;  "Have used this information, it can not be deleted !!" &amp; "'  ,'zh_CN': '" &amp; "【"&amp; $Z162 &amp;"】已使用此筆資料，不可刪除!!" &amp; "' }", CHAR(39),CHAR(34))   &amp; "');","")</f>
        <v>#REF!</v>
      </c>
    </row>
    <row r="163" spans="28:28">
      <c r="AB163" s="4" t="e">
        <f>IF(#REF!="Y","INSERT INTO `sys_table_relation` (`TABLE_NAME`, `CHILD_TABLE_NAME`, `SQL_QUERY`, `ERROR_DESC` ,`ERROR_DESC_JSON`) VALUES ('" &amp;$H163 &amp; "', '" &amp; $Y163 &amp; "', '" &amp; "select count(*) from "&amp; $Y163 &amp;" where " &amp; IF(COUNTIF(D:D,"IS_DESTROYED"),"IS_DESTROYED=0 and ","") &amp;   $D163 &amp; "={pid}" &amp; "', " &amp; "'【"&amp; $Z163 &amp;"】已使用此筆資料，故不可刪除!!'" &amp; ",'" &amp; SUBSTITUTE("{'zh_TW': '" &amp;  "【"&amp; $Z163 &amp;"】已使用此筆資料，不可刪除!!"  &amp; "' ,'en_US': '" &amp;  "Have used this information, it can not be deleted !!" &amp; "'  ,'zh_CN': '" &amp; "【"&amp; $Z163 &amp;"】已使用此筆資料，不可刪除!!" &amp; "' }", CHAR(39),CHAR(34))   &amp; "');","")</f>
        <v>#REF!</v>
      </c>
    </row>
    <row r="164" spans="28:28">
      <c r="AB164" s="4" t="e">
        <f>IF(#REF!="Y","INSERT INTO `sys_table_relation` (`TABLE_NAME`, `CHILD_TABLE_NAME`, `SQL_QUERY`, `ERROR_DESC` ,`ERROR_DESC_JSON`) VALUES ('" &amp;$H164 &amp; "', '" &amp; $Y164 &amp; "', '" &amp; "select count(*) from "&amp; $Y164 &amp;" where " &amp; IF(COUNTIF(D:D,"IS_DESTROYED"),"IS_DESTROYED=0 and ","") &amp;   $D164 &amp; "={pid}" &amp; "', " &amp; "'【"&amp; $Z164 &amp;"】已使用此筆資料，故不可刪除!!'" &amp; ",'" &amp; SUBSTITUTE("{'zh_TW': '" &amp;  "【"&amp; $Z164 &amp;"】已使用此筆資料，不可刪除!!"  &amp; "' ,'en_US': '" &amp;  "Have used this information, it can not be deleted !!" &amp; "'  ,'zh_CN': '" &amp; "【"&amp; $Z164 &amp;"】已使用此筆資料，不可刪除!!" &amp; "' }", CHAR(39),CHAR(34))   &amp; "');","")</f>
        <v>#REF!</v>
      </c>
    </row>
    <row r="165" spans="28:28">
      <c r="AB165" s="4" t="e">
        <f>IF(#REF!="Y","INSERT INTO `sys_table_relation` (`TABLE_NAME`, `CHILD_TABLE_NAME`, `SQL_QUERY`, `ERROR_DESC` ,`ERROR_DESC_JSON`) VALUES ('" &amp;$H165 &amp; "', '" &amp; $Y165 &amp; "', '" &amp; "select count(*) from "&amp; $Y165 &amp;" where " &amp; IF(COUNTIF(D:D,"IS_DESTROYED"),"IS_DESTROYED=0 and ","") &amp;   $D165 &amp; "={pid}" &amp; "', " &amp; "'【"&amp; $Z165 &amp;"】已使用此筆資料，故不可刪除!!'" &amp; ",'" &amp; SUBSTITUTE("{'zh_TW': '" &amp;  "【"&amp; $Z165 &amp;"】已使用此筆資料，不可刪除!!"  &amp; "' ,'en_US': '" &amp;  "Have used this information, it can not be deleted !!" &amp; "'  ,'zh_CN': '" &amp; "【"&amp; $Z165 &amp;"】已使用此筆資料，不可刪除!!" &amp; "' }", CHAR(39),CHAR(34))   &amp; "');","")</f>
        <v>#REF!</v>
      </c>
    </row>
    <row r="166" spans="28:28">
      <c r="AB166" s="4" t="e">
        <f>IF(#REF!="Y","INSERT INTO `sys_table_relation` (`TABLE_NAME`, `CHILD_TABLE_NAME`, `SQL_QUERY`, `ERROR_DESC` ,`ERROR_DESC_JSON`) VALUES ('" &amp;$H166 &amp; "', '" &amp; $Y166 &amp; "', '" &amp; "select count(*) from "&amp; $Y166 &amp;" where " &amp; IF(COUNTIF(D:D,"IS_DESTROYED"),"IS_DESTROYED=0 and ","") &amp;   $D166 &amp; "={pid}" &amp; "', " &amp; "'【"&amp; $Z166 &amp;"】已使用此筆資料，故不可刪除!!'" &amp; ",'" &amp; SUBSTITUTE("{'zh_TW': '" &amp;  "【"&amp; $Z166 &amp;"】已使用此筆資料，不可刪除!!"  &amp; "' ,'en_US': '" &amp;  "Have used this information, it can not be deleted !!" &amp; "'  ,'zh_CN': '" &amp; "【"&amp; $Z166 &amp;"】已使用此筆資料，不可刪除!!" &amp; "' }", CHAR(39),CHAR(34))   &amp; "');","")</f>
        <v>#REF!</v>
      </c>
    </row>
    <row r="167" spans="28:28">
      <c r="AB167" s="4" t="e">
        <f>IF(#REF!="Y","INSERT INTO `sys_table_relation` (`TABLE_NAME`, `CHILD_TABLE_NAME`, `SQL_QUERY`, `ERROR_DESC` ,`ERROR_DESC_JSON`) VALUES ('" &amp;$H167 &amp; "', '" &amp; $Y167 &amp; "', '" &amp; "select count(*) from "&amp; $Y167 &amp;" where " &amp; IF(COUNTIF(D:D,"IS_DESTROYED"),"IS_DESTROYED=0 and ","") &amp;   $D167 &amp; "={pid}" &amp; "', " &amp; "'【"&amp; $Z167 &amp;"】已使用此筆資料，故不可刪除!!'" &amp; ",'" &amp; SUBSTITUTE("{'zh_TW': '" &amp;  "【"&amp; $Z167 &amp;"】已使用此筆資料，不可刪除!!"  &amp; "' ,'en_US': '" &amp;  "Have used this information, it can not be deleted !!" &amp; "'  ,'zh_CN': '" &amp; "【"&amp; $Z167 &amp;"】已使用此筆資料，不可刪除!!" &amp; "' }", CHAR(39),CHAR(34))   &amp; "');","")</f>
        <v>#REF!</v>
      </c>
    </row>
    <row r="168" spans="28:28">
      <c r="AB168" s="4" t="e">
        <f>IF(#REF!="Y","INSERT INTO `sys_table_relation` (`TABLE_NAME`, `CHILD_TABLE_NAME`, `SQL_QUERY`, `ERROR_DESC` ,`ERROR_DESC_JSON`) VALUES ('" &amp;$H168 &amp; "', '" &amp; $Y168 &amp; "', '" &amp; "select count(*) from "&amp; $Y168 &amp;" where " &amp; IF(COUNTIF(D:D,"IS_DESTROYED"),"IS_DESTROYED=0 and ","") &amp;   $D168 &amp; "={pid}" &amp; "', " &amp; "'【"&amp; $Z168 &amp;"】已使用此筆資料，故不可刪除!!'" &amp; ",'" &amp; SUBSTITUTE("{'zh_TW': '" &amp;  "【"&amp; $Z168 &amp;"】已使用此筆資料，不可刪除!!"  &amp; "' ,'en_US': '" &amp;  "Have used this information, it can not be deleted !!" &amp; "'  ,'zh_CN': '" &amp; "【"&amp; $Z168 &amp;"】已使用此筆資料，不可刪除!!" &amp; "' }", CHAR(39),CHAR(34))   &amp; "');","")</f>
        <v>#REF!</v>
      </c>
    </row>
    <row r="169" spans="28:28">
      <c r="AB169" s="4" t="e">
        <f>IF(#REF!="Y","INSERT INTO `sys_table_relation` (`TABLE_NAME`, `CHILD_TABLE_NAME`, `SQL_QUERY`, `ERROR_DESC` ,`ERROR_DESC_JSON`) VALUES ('" &amp;$H169 &amp; "', '" &amp; $Y169 &amp; "', '" &amp; "select count(*) from "&amp; $Y169 &amp;" where " &amp; IF(COUNTIF(D:D,"IS_DESTROYED"),"IS_DESTROYED=0 and ","") &amp;   $D169 &amp; "={pid}" &amp; "', " &amp; "'【"&amp; $Z169 &amp;"】已使用此筆資料，故不可刪除!!'" &amp; ",'" &amp; SUBSTITUTE("{'zh_TW': '" &amp;  "【"&amp; $Z169 &amp;"】已使用此筆資料，不可刪除!!"  &amp; "' ,'en_US': '" &amp;  "Have used this information, it can not be deleted !!" &amp; "'  ,'zh_CN': '" &amp; "【"&amp; $Z169 &amp;"】已使用此筆資料，不可刪除!!" &amp; "' }", CHAR(39),CHAR(34))   &amp; "');","")</f>
        <v>#REF!</v>
      </c>
    </row>
    <row r="170" spans="28:28">
      <c r="AB170" s="4" t="e">
        <f>IF(#REF!="Y","INSERT INTO `sys_table_relation` (`TABLE_NAME`, `CHILD_TABLE_NAME`, `SQL_QUERY`, `ERROR_DESC` ,`ERROR_DESC_JSON`) VALUES ('" &amp;$H170 &amp; "', '" &amp; $Y170 &amp; "', '" &amp; "select count(*) from "&amp; $Y170 &amp;" where " &amp; IF(COUNTIF(D:D,"IS_DESTROYED"),"IS_DESTROYED=0 and ","") &amp;   $D170 &amp; "={pid}" &amp; "', " &amp; "'【"&amp; $Z170 &amp;"】已使用此筆資料，故不可刪除!!'" &amp; ",'" &amp; SUBSTITUTE("{'zh_TW': '" &amp;  "【"&amp; $Z170 &amp;"】已使用此筆資料，不可刪除!!"  &amp; "' ,'en_US': '" &amp;  "Have used this information, it can not be deleted !!" &amp; "'  ,'zh_CN': '" &amp; "【"&amp; $Z170 &amp;"】已使用此筆資料，不可刪除!!" &amp; "' }", CHAR(39),CHAR(34))   &amp; "');","")</f>
        <v>#REF!</v>
      </c>
    </row>
    <row r="171" spans="28:28">
      <c r="AB171" s="4" t="e">
        <f>IF(#REF!="Y","INSERT INTO `sys_table_relation` (`TABLE_NAME`, `CHILD_TABLE_NAME`, `SQL_QUERY`, `ERROR_DESC` ,`ERROR_DESC_JSON`) VALUES ('" &amp;$H171 &amp; "', '" &amp; $Y171 &amp; "', '" &amp; "select count(*) from "&amp; $Y171 &amp;" where " &amp; IF(COUNTIF(D:D,"IS_DESTROYED"),"IS_DESTROYED=0 and ","") &amp;   $D171 &amp; "={pid}" &amp; "', " &amp; "'【"&amp; $Z171 &amp;"】已使用此筆資料，故不可刪除!!'" &amp; ",'" &amp; SUBSTITUTE("{'zh_TW': '" &amp;  "【"&amp; $Z171 &amp;"】已使用此筆資料，不可刪除!!"  &amp; "' ,'en_US': '" &amp;  "Have used this information, it can not be deleted !!" &amp; "'  ,'zh_CN': '" &amp; "【"&amp; $Z171 &amp;"】已使用此筆資料，不可刪除!!" &amp; "' }", CHAR(39),CHAR(34))   &amp; "');","")</f>
        <v>#REF!</v>
      </c>
    </row>
    <row r="172" spans="28:28">
      <c r="AB172" s="4" t="e">
        <f>IF(#REF!="Y","INSERT INTO `sys_table_relation` (`TABLE_NAME`, `CHILD_TABLE_NAME`, `SQL_QUERY`, `ERROR_DESC` ,`ERROR_DESC_JSON`) VALUES ('" &amp;$H172 &amp; "', '" &amp; $Y172 &amp; "', '" &amp; "select count(*) from "&amp; $Y172 &amp;" where " &amp; IF(COUNTIF(D:D,"IS_DESTROYED"),"IS_DESTROYED=0 and ","") &amp;   $D172 &amp; "={pid}" &amp; "', " &amp; "'【"&amp; $Z172 &amp;"】已使用此筆資料，故不可刪除!!'" &amp; ",'" &amp; SUBSTITUTE("{'zh_TW': '" &amp;  "【"&amp; $Z172 &amp;"】已使用此筆資料，不可刪除!!"  &amp; "' ,'en_US': '" &amp;  "Have used this information, it can not be deleted !!" &amp; "'  ,'zh_CN': '" &amp; "【"&amp; $Z172 &amp;"】已使用此筆資料，不可刪除!!" &amp; "' }", CHAR(39),CHAR(34))   &amp; "');","")</f>
        <v>#REF!</v>
      </c>
    </row>
    <row r="173" spans="28:28">
      <c r="AB173" s="4" t="e">
        <f>IF(#REF!="Y","INSERT INTO `sys_table_relation` (`TABLE_NAME`, `CHILD_TABLE_NAME`, `SQL_QUERY`, `ERROR_DESC` ,`ERROR_DESC_JSON`) VALUES ('" &amp;$H173 &amp; "', '" &amp; $Y173 &amp; "', '" &amp; "select count(*) from "&amp; $Y173 &amp;" where " &amp; IF(COUNTIF(D:D,"IS_DESTROYED"),"IS_DESTROYED=0 and ","") &amp;   $D173 &amp; "={pid}" &amp; "', " &amp; "'【"&amp; $Z173 &amp;"】已使用此筆資料，故不可刪除!!'" &amp; ",'" &amp; SUBSTITUTE("{'zh_TW': '" &amp;  "【"&amp; $Z173 &amp;"】已使用此筆資料，不可刪除!!"  &amp; "' ,'en_US': '" &amp;  "Have used this information, it can not be deleted !!" &amp; "'  ,'zh_CN': '" &amp; "【"&amp; $Z173 &amp;"】已使用此筆資料，不可刪除!!" &amp; "' }", CHAR(39),CHAR(34))   &amp; "');","")</f>
        <v>#REF!</v>
      </c>
    </row>
    <row r="174" spans="28:28">
      <c r="AB174" s="4" t="e">
        <f>IF(#REF!="Y","INSERT INTO `sys_table_relation` (`TABLE_NAME`, `CHILD_TABLE_NAME`, `SQL_QUERY`, `ERROR_DESC` ,`ERROR_DESC_JSON`) VALUES ('" &amp;$H174 &amp; "', '" &amp; $Y174 &amp; "', '" &amp; "select count(*) from "&amp; $Y174 &amp;" where " &amp; IF(COUNTIF(D:D,"IS_DESTROYED"),"IS_DESTROYED=0 and ","") &amp;   $D174 &amp; "={pid}" &amp; "', " &amp; "'【"&amp; $Z174 &amp;"】已使用此筆資料，故不可刪除!!'" &amp; ",'" &amp; SUBSTITUTE("{'zh_TW': '" &amp;  "【"&amp; $Z174 &amp;"】已使用此筆資料，不可刪除!!"  &amp; "' ,'en_US': '" &amp;  "Have used this information, it can not be deleted !!" &amp; "'  ,'zh_CN': '" &amp; "【"&amp; $Z174 &amp;"】已使用此筆資料，不可刪除!!" &amp; "' }", CHAR(39),CHAR(34))   &amp; "');","")</f>
        <v>#REF!</v>
      </c>
    </row>
    <row r="175" spans="28:28">
      <c r="AB175" s="4" t="e">
        <f>IF(#REF!="Y","INSERT INTO `sys_table_relation` (`TABLE_NAME`, `CHILD_TABLE_NAME`, `SQL_QUERY`, `ERROR_DESC` ,`ERROR_DESC_JSON`) VALUES ('" &amp;$H175 &amp; "', '" &amp; $Y175 &amp; "', '" &amp; "select count(*) from "&amp; $Y175 &amp;" where " &amp; IF(COUNTIF(D:D,"IS_DESTROYED"),"IS_DESTROYED=0 and ","") &amp;   $D175 &amp; "={pid}" &amp; "', " &amp; "'【"&amp; $Z175 &amp;"】已使用此筆資料，故不可刪除!!'" &amp; ",'" &amp; SUBSTITUTE("{'zh_TW': '" &amp;  "【"&amp; $Z175 &amp;"】已使用此筆資料，不可刪除!!"  &amp; "' ,'en_US': '" &amp;  "Have used this information, it can not be deleted !!" &amp; "'  ,'zh_CN': '" &amp; "【"&amp; $Z175 &amp;"】已使用此筆資料，不可刪除!!" &amp; "' }", CHAR(39),CHAR(34))   &amp; "');","")</f>
        <v>#REF!</v>
      </c>
    </row>
    <row r="176" spans="28:28">
      <c r="AB176" s="4" t="e">
        <f>IF(#REF!="Y","INSERT INTO `sys_table_relation` (`TABLE_NAME`, `CHILD_TABLE_NAME`, `SQL_QUERY`, `ERROR_DESC` ,`ERROR_DESC_JSON`) VALUES ('" &amp;$H176 &amp; "', '" &amp; $Y176 &amp; "', '" &amp; "select count(*) from "&amp; $Y176 &amp;" where " &amp; IF(COUNTIF(D:D,"IS_DESTROYED"),"IS_DESTROYED=0 and ","") &amp;   $D176 &amp; "={pid}" &amp; "', " &amp; "'【"&amp; $Z176 &amp;"】已使用此筆資料，故不可刪除!!'" &amp; ",'" &amp; SUBSTITUTE("{'zh_TW': '" &amp;  "【"&amp; $Z176 &amp;"】已使用此筆資料，不可刪除!!"  &amp; "' ,'en_US': '" &amp;  "Have used this information, it can not be deleted !!" &amp; "'  ,'zh_CN': '" &amp; "【"&amp; $Z176 &amp;"】已使用此筆資料，不可刪除!!" &amp; "' }", CHAR(39),CHAR(34))   &amp; "');","")</f>
        <v>#REF!</v>
      </c>
    </row>
    <row r="177" spans="28:28">
      <c r="AB177" s="4" t="e">
        <f>IF(#REF!="Y","INSERT INTO `sys_table_relation` (`TABLE_NAME`, `CHILD_TABLE_NAME`, `SQL_QUERY`, `ERROR_DESC` ,`ERROR_DESC_JSON`) VALUES ('" &amp;$H177 &amp; "', '" &amp; $Y177 &amp; "', '" &amp; "select count(*) from "&amp; $Y177 &amp;" where " &amp; IF(COUNTIF(D:D,"IS_DESTROYED"),"IS_DESTROYED=0 and ","") &amp;   $D177 &amp; "={pid}" &amp; "', " &amp; "'【"&amp; $Z177 &amp;"】已使用此筆資料，故不可刪除!!'" &amp; ",'" &amp; SUBSTITUTE("{'zh_TW': '" &amp;  "【"&amp; $Z177 &amp;"】已使用此筆資料，不可刪除!!"  &amp; "' ,'en_US': '" &amp;  "Have used this information, it can not be deleted !!" &amp; "'  ,'zh_CN': '" &amp; "【"&amp; $Z177 &amp;"】已使用此筆資料，不可刪除!!" &amp; "' }", CHAR(39),CHAR(34))   &amp; "');","")</f>
        <v>#REF!</v>
      </c>
    </row>
    <row r="178" spans="28:28">
      <c r="AB178" s="4" t="e">
        <f>IF(#REF!="Y","INSERT INTO `sys_table_relation` (`TABLE_NAME`, `CHILD_TABLE_NAME`, `SQL_QUERY`, `ERROR_DESC` ,`ERROR_DESC_JSON`) VALUES ('" &amp;$H178 &amp; "', '" &amp; $Y178 &amp; "', '" &amp; "select count(*) from "&amp; $Y178 &amp;" where " &amp; IF(COUNTIF(D:D,"IS_DESTROYED"),"IS_DESTROYED=0 and ","") &amp;   $D178 &amp; "={pid}" &amp; "', " &amp; "'【"&amp; $Z178 &amp;"】已使用此筆資料，故不可刪除!!'" &amp; ",'" &amp; SUBSTITUTE("{'zh_TW': '" &amp;  "【"&amp; $Z178 &amp;"】已使用此筆資料，不可刪除!!"  &amp; "' ,'en_US': '" &amp;  "Have used this information, it can not be deleted !!" &amp; "'  ,'zh_CN': '" &amp; "【"&amp; $Z178 &amp;"】已使用此筆資料，不可刪除!!" &amp; "' }", CHAR(39),CHAR(34))   &amp; "');","")</f>
        <v>#REF!</v>
      </c>
    </row>
    <row r="179" spans="28:28">
      <c r="AB179" s="4" t="e">
        <f>IF(#REF!="Y","INSERT INTO `sys_table_relation` (`TABLE_NAME`, `CHILD_TABLE_NAME`, `SQL_QUERY`, `ERROR_DESC` ,`ERROR_DESC_JSON`) VALUES ('" &amp;$H179 &amp; "', '" &amp; $Y179 &amp; "', '" &amp; "select count(*) from "&amp; $Y179 &amp;" where " &amp; IF(COUNTIF(D:D,"IS_DESTROYED"),"IS_DESTROYED=0 and ","") &amp;   $D179 &amp; "={pid}" &amp; "', " &amp; "'【"&amp; $Z179 &amp;"】已使用此筆資料，故不可刪除!!'" &amp; ",'" &amp; SUBSTITUTE("{'zh_TW': '" &amp;  "【"&amp; $Z179 &amp;"】已使用此筆資料，不可刪除!!"  &amp; "' ,'en_US': '" &amp;  "Have used this information, it can not be deleted !!" &amp; "'  ,'zh_CN': '" &amp; "【"&amp; $Z179 &amp;"】已使用此筆資料，不可刪除!!" &amp; "' }", CHAR(39),CHAR(34))   &amp; "');","")</f>
        <v>#REF!</v>
      </c>
    </row>
    <row r="180" spans="28:28">
      <c r="AB180" s="4" t="e">
        <f>IF(#REF!="Y","INSERT INTO `sys_table_relation` (`TABLE_NAME`, `CHILD_TABLE_NAME`, `SQL_QUERY`, `ERROR_DESC` ,`ERROR_DESC_JSON`) VALUES ('" &amp;$H180 &amp; "', '" &amp; $Y180 &amp; "', '" &amp; "select count(*) from "&amp; $Y180 &amp;" where " &amp; IF(COUNTIF(D:D,"IS_DESTROYED"),"IS_DESTROYED=0 and ","") &amp;   $D180 &amp; "={pid}" &amp; "', " &amp; "'【"&amp; $Z180 &amp;"】已使用此筆資料，故不可刪除!!'" &amp; ",'" &amp; SUBSTITUTE("{'zh_TW': '" &amp;  "【"&amp; $Z180 &amp;"】已使用此筆資料，不可刪除!!"  &amp; "' ,'en_US': '" &amp;  "Have used this information, it can not be deleted !!" &amp; "'  ,'zh_CN': '" &amp; "【"&amp; $Z180 &amp;"】已使用此筆資料，不可刪除!!" &amp; "' }", CHAR(39),CHAR(34))   &amp; "');","")</f>
        <v>#REF!</v>
      </c>
    </row>
    <row r="181" spans="28:28">
      <c r="AB181" s="4" t="e">
        <f>IF(#REF!="Y","INSERT INTO `sys_table_relation` (`TABLE_NAME`, `CHILD_TABLE_NAME`, `SQL_QUERY`, `ERROR_DESC` ,`ERROR_DESC_JSON`) VALUES ('" &amp;$H181 &amp; "', '" &amp; $Y181 &amp; "', '" &amp; "select count(*) from "&amp; $Y181 &amp;" where " &amp; IF(COUNTIF(D:D,"IS_DESTROYED"),"IS_DESTROYED=0 and ","") &amp;   $D181 &amp; "={pid}" &amp; "', " &amp; "'【"&amp; $Z181 &amp;"】已使用此筆資料，故不可刪除!!'" &amp; ",'" &amp; SUBSTITUTE("{'zh_TW': '" &amp;  "【"&amp; $Z181 &amp;"】已使用此筆資料，不可刪除!!"  &amp; "' ,'en_US': '" &amp;  "Have used this information, it can not be deleted !!" &amp; "'  ,'zh_CN': '" &amp; "【"&amp; $Z181 &amp;"】已使用此筆資料，不可刪除!!" &amp; "' }", CHAR(39),CHAR(34))   &amp; "');","")</f>
        <v>#REF!</v>
      </c>
    </row>
    <row r="182" spans="28:28">
      <c r="AB182" s="4" t="e">
        <f>IF(#REF!="Y","INSERT INTO `sys_table_relation` (`TABLE_NAME`, `CHILD_TABLE_NAME`, `SQL_QUERY`, `ERROR_DESC` ,`ERROR_DESC_JSON`) VALUES ('" &amp;$H182 &amp; "', '" &amp; $Y182 &amp; "', '" &amp; "select count(*) from "&amp; $Y182 &amp;" where " &amp; IF(COUNTIF(D:D,"IS_DESTROYED"),"IS_DESTROYED=0 and ","") &amp;   $D182 &amp; "={pid}" &amp; "', " &amp; "'【"&amp; $Z182 &amp;"】已使用此筆資料，故不可刪除!!'" &amp; ",'" &amp; SUBSTITUTE("{'zh_TW': '" &amp;  "【"&amp; $Z182 &amp;"】已使用此筆資料，不可刪除!!"  &amp; "' ,'en_US': '" &amp;  "Have used this information, it can not be deleted !!" &amp; "'  ,'zh_CN': '" &amp; "【"&amp; $Z182 &amp;"】已使用此筆資料，不可刪除!!" &amp; "' }", CHAR(39),CHAR(34))   &amp; "');","")</f>
        <v>#REF!</v>
      </c>
    </row>
    <row r="183" spans="28:28">
      <c r="AB183" s="4" t="e">
        <f>IF(#REF!="Y","INSERT INTO `sys_table_relation` (`TABLE_NAME`, `CHILD_TABLE_NAME`, `SQL_QUERY`, `ERROR_DESC` ,`ERROR_DESC_JSON`) VALUES ('" &amp;$H183 &amp; "', '" &amp; $Y183 &amp; "', '" &amp; "select count(*) from "&amp; $Y183 &amp;" where " &amp; IF(COUNTIF(D:D,"IS_DESTROYED"),"IS_DESTROYED=0 and ","") &amp;   $D183 &amp; "={pid}" &amp; "', " &amp; "'【"&amp; $Z183 &amp;"】已使用此筆資料，故不可刪除!!'" &amp; ",'" &amp; SUBSTITUTE("{'zh_TW': '" &amp;  "【"&amp; $Z183 &amp;"】已使用此筆資料，不可刪除!!"  &amp; "' ,'en_US': '" &amp;  "Have used this information, it can not be deleted !!" &amp; "'  ,'zh_CN': '" &amp; "【"&amp; $Z183 &amp;"】已使用此筆資料，不可刪除!!" &amp; "' }", CHAR(39),CHAR(34))   &amp; "');","")</f>
        <v>#REF!</v>
      </c>
    </row>
    <row r="184" spans="28:28">
      <c r="AB184" s="4" t="e">
        <f>IF(#REF!="Y","INSERT INTO `sys_table_relation` (`TABLE_NAME`, `CHILD_TABLE_NAME`, `SQL_QUERY`, `ERROR_DESC` ,`ERROR_DESC_JSON`) VALUES ('" &amp;$H184 &amp; "', '" &amp; $Y184 &amp; "', '" &amp; "select count(*) from "&amp; $Y184 &amp;" where " &amp; IF(COUNTIF(D:D,"IS_DESTROYED"),"IS_DESTROYED=0 and ","") &amp;   $D184 &amp; "={pid}" &amp; "', " &amp; "'【"&amp; $Z184 &amp;"】已使用此筆資料，故不可刪除!!'" &amp; ",'" &amp; SUBSTITUTE("{'zh_TW': '" &amp;  "【"&amp; $Z184 &amp;"】已使用此筆資料，不可刪除!!"  &amp; "' ,'en_US': '" &amp;  "Have used this information, it can not be deleted !!" &amp; "'  ,'zh_CN': '" &amp; "【"&amp; $Z184 &amp;"】已使用此筆資料，不可刪除!!" &amp; "' }", CHAR(39),CHAR(34))   &amp; "');","")</f>
        <v>#REF!</v>
      </c>
    </row>
    <row r="185" spans="28:28">
      <c r="AB185" s="4" t="e">
        <f>IF(#REF!="Y","INSERT INTO `sys_table_relation` (`TABLE_NAME`, `CHILD_TABLE_NAME`, `SQL_QUERY`, `ERROR_DESC` ,`ERROR_DESC_JSON`) VALUES ('" &amp;$H185 &amp; "', '" &amp; $Y185 &amp; "', '" &amp; "select count(*) from "&amp; $Y185 &amp;" where " &amp; IF(COUNTIF(D:D,"IS_DESTROYED"),"IS_DESTROYED=0 and ","") &amp;   $D185 &amp; "={pid}" &amp; "', " &amp; "'【"&amp; $Z185 &amp;"】已使用此筆資料，故不可刪除!!'" &amp; ",'" &amp; SUBSTITUTE("{'zh_TW': '" &amp;  "【"&amp; $Z185 &amp;"】已使用此筆資料，不可刪除!!"  &amp; "' ,'en_US': '" &amp;  "Have used this information, it can not be deleted !!" &amp; "'  ,'zh_CN': '" &amp; "【"&amp; $Z185 &amp;"】已使用此筆資料，不可刪除!!" &amp; "' }", CHAR(39),CHAR(34))   &amp; "');","")</f>
        <v>#REF!</v>
      </c>
    </row>
    <row r="186" spans="28:28">
      <c r="AB186" s="4" t="e">
        <f>IF(#REF!="Y","INSERT INTO `sys_table_relation` (`TABLE_NAME`, `CHILD_TABLE_NAME`, `SQL_QUERY`, `ERROR_DESC` ,`ERROR_DESC_JSON`) VALUES ('" &amp;$H186 &amp; "', '" &amp; $Y186 &amp; "', '" &amp; "select count(*) from "&amp; $Y186 &amp;" where " &amp; IF(COUNTIF(D:D,"IS_DESTROYED"),"IS_DESTROYED=0 and ","") &amp;   $D186 &amp; "={pid}" &amp; "', " &amp; "'【"&amp; $Z186 &amp;"】已使用此筆資料，故不可刪除!!'" &amp; ",'" &amp; SUBSTITUTE("{'zh_TW': '" &amp;  "【"&amp; $Z186 &amp;"】已使用此筆資料，不可刪除!!"  &amp; "' ,'en_US': '" &amp;  "Have used this information, it can not be deleted !!" &amp; "'  ,'zh_CN': '" &amp; "【"&amp; $Z186 &amp;"】已使用此筆資料，不可刪除!!" &amp; "' }", CHAR(39),CHAR(34))   &amp; "');","")</f>
        <v>#REF!</v>
      </c>
    </row>
    <row r="187" spans="28:28">
      <c r="AB187" s="4" t="e">
        <f>IF(#REF!="Y","INSERT INTO `sys_table_relation` (`TABLE_NAME`, `CHILD_TABLE_NAME`, `SQL_QUERY`, `ERROR_DESC` ,`ERROR_DESC_JSON`) VALUES ('" &amp;$H187 &amp; "', '" &amp; $Y187 &amp; "', '" &amp; "select count(*) from "&amp; $Y187 &amp;" where " &amp; IF(COUNTIF(D:D,"IS_DESTROYED"),"IS_DESTROYED=0 and ","") &amp;   $D187 &amp; "={pid}" &amp; "', " &amp; "'【"&amp; $Z187 &amp;"】已使用此筆資料，故不可刪除!!'" &amp; ",'" &amp; SUBSTITUTE("{'zh_TW': '" &amp;  "【"&amp; $Z187 &amp;"】已使用此筆資料，不可刪除!!"  &amp; "' ,'en_US': '" &amp;  "Have used this information, it can not be deleted !!" &amp; "'  ,'zh_CN': '" &amp; "【"&amp; $Z187 &amp;"】已使用此筆資料，不可刪除!!" &amp; "' }", CHAR(39),CHAR(34))   &amp; "');","")</f>
        <v>#REF!</v>
      </c>
    </row>
    <row r="188" spans="28:28">
      <c r="AB188" s="4" t="e">
        <f>IF(#REF!="Y","INSERT INTO `sys_table_relation` (`TABLE_NAME`, `CHILD_TABLE_NAME`, `SQL_QUERY`, `ERROR_DESC` ,`ERROR_DESC_JSON`) VALUES ('" &amp;$H188 &amp; "', '" &amp; $Y188 &amp; "', '" &amp; "select count(*) from "&amp; $Y188 &amp;" where " &amp; IF(COUNTIF(D:D,"IS_DESTROYED"),"IS_DESTROYED=0 and ","") &amp;   $D188 &amp; "={pid}" &amp; "', " &amp; "'【"&amp; $Z188 &amp;"】已使用此筆資料，故不可刪除!!'" &amp; ",'" &amp; SUBSTITUTE("{'zh_TW': '" &amp;  "【"&amp; $Z188 &amp;"】已使用此筆資料，不可刪除!!"  &amp; "' ,'en_US': '" &amp;  "Have used this information, it can not be deleted !!" &amp; "'  ,'zh_CN': '" &amp; "【"&amp; $Z188 &amp;"】已使用此筆資料，不可刪除!!" &amp; "' }", CHAR(39),CHAR(34))   &amp; "');","")</f>
        <v>#REF!</v>
      </c>
    </row>
    <row r="189" spans="28:28">
      <c r="AB189" s="4" t="e">
        <f>IF(#REF!="Y","INSERT INTO `sys_table_relation` (`TABLE_NAME`, `CHILD_TABLE_NAME`, `SQL_QUERY`, `ERROR_DESC` ,`ERROR_DESC_JSON`) VALUES ('" &amp;$H189 &amp; "', '" &amp; $Y189 &amp; "', '" &amp; "select count(*) from "&amp; $Y189 &amp;" where " &amp; IF(COUNTIF(D:D,"IS_DESTROYED"),"IS_DESTROYED=0 and ","") &amp;   $D189 &amp; "={pid}" &amp; "', " &amp; "'【"&amp; $Z189 &amp;"】已使用此筆資料，故不可刪除!!'" &amp; ",'" &amp; SUBSTITUTE("{'zh_TW': '" &amp;  "【"&amp; $Z189 &amp;"】已使用此筆資料，不可刪除!!"  &amp; "' ,'en_US': '" &amp;  "Have used this information, it can not be deleted !!" &amp; "'  ,'zh_CN': '" &amp; "【"&amp; $Z189 &amp;"】已使用此筆資料，不可刪除!!" &amp; "' }", CHAR(39),CHAR(34))   &amp; "');","")</f>
        <v>#REF!</v>
      </c>
    </row>
    <row r="190" spans="28:28">
      <c r="AB190" s="4" t="e">
        <f>IF(#REF!="Y","INSERT INTO `sys_table_relation` (`TABLE_NAME`, `CHILD_TABLE_NAME`, `SQL_QUERY`, `ERROR_DESC` ,`ERROR_DESC_JSON`) VALUES ('" &amp;$H190 &amp; "', '" &amp; $Y190 &amp; "', '" &amp; "select count(*) from "&amp; $Y190 &amp;" where " &amp; IF(COUNTIF(D:D,"IS_DESTROYED"),"IS_DESTROYED=0 and ","") &amp;   $D190 &amp; "={pid}" &amp; "', " &amp; "'【"&amp; $Z190 &amp;"】已使用此筆資料，故不可刪除!!'" &amp; ",'" &amp; SUBSTITUTE("{'zh_TW': '" &amp;  "【"&amp; $Z190 &amp;"】已使用此筆資料，不可刪除!!"  &amp; "' ,'en_US': '" &amp;  "Have used this information, it can not be deleted !!" &amp; "'  ,'zh_CN': '" &amp; "【"&amp; $Z190 &amp;"】已使用此筆資料，不可刪除!!" &amp; "' }", CHAR(39),CHAR(34))   &amp; "');","")</f>
        <v>#REF!</v>
      </c>
    </row>
    <row r="191" spans="28:28">
      <c r="AB191" s="4" t="e">
        <f>IF(#REF!="Y","INSERT INTO `sys_table_relation` (`TABLE_NAME`, `CHILD_TABLE_NAME`, `SQL_QUERY`, `ERROR_DESC` ,`ERROR_DESC_JSON`) VALUES ('" &amp;$H191 &amp; "', '" &amp; $Y191 &amp; "', '" &amp; "select count(*) from "&amp; $Y191 &amp;" where " &amp; IF(COUNTIF(D:D,"IS_DESTROYED"),"IS_DESTROYED=0 and ","") &amp;   $D191 &amp; "={pid}" &amp; "', " &amp; "'【"&amp; $Z191 &amp;"】已使用此筆資料，故不可刪除!!'" &amp; ",'" &amp; SUBSTITUTE("{'zh_TW': '" &amp;  "【"&amp; $Z191 &amp;"】已使用此筆資料，不可刪除!!"  &amp; "' ,'en_US': '" &amp;  "Have used this information, it can not be deleted !!" &amp; "'  ,'zh_CN': '" &amp; "【"&amp; $Z191 &amp;"】已使用此筆資料，不可刪除!!" &amp; "' }", CHAR(39),CHAR(34))   &amp; "');","")</f>
        <v>#REF!</v>
      </c>
    </row>
    <row r="192" spans="28:28">
      <c r="AB192" s="4" t="e">
        <f>IF(#REF!="Y","INSERT INTO `sys_table_relation` (`TABLE_NAME`, `CHILD_TABLE_NAME`, `SQL_QUERY`, `ERROR_DESC` ,`ERROR_DESC_JSON`) VALUES ('" &amp;$H192 &amp; "', '" &amp; $Y192 &amp; "', '" &amp; "select count(*) from "&amp; $Y192 &amp;" where " &amp; IF(COUNTIF(D:D,"IS_DESTROYED"),"IS_DESTROYED=0 and ","") &amp;   $D192 &amp; "={pid}" &amp; "', " &amp; "'【"&amp; $Z192 &amp;"】已使用此筆資料，故不可刪除!!'" &amp; ",'" &amp; SUBSTITUTE("{'zh_TW': '" &amp;  "【"&amp; $Z192 &amp;"】已使用此筆資料，不可刪除!!"  &amp; "' ,'en_US': '" &amp;  "Have used this information, it can not be deleted !!" &amp; "'  ,'zh_CN': '" &amp; "【"&amp; $Z192 &amp;"】已使用此筆資料，不可刪除!!" &amp; "' }", CHAR(39),CHAR(34))   &amp; "');","")</f>
        <v>#REF!</v>
      </c>
    </row>
    <row r="193" spans="28:28">
      <c r="AB193" s="4" t="e">
        <f>IF(#REF!="Y","INSERT INTO `sys_table_relation` (`TABLE_NAME`, `CHILD_TABLE_NAME`, `SQL_QUERY`, `ERROR_DESC` ,`ERROR_DESC_JSON`) VALUES ('" &amp;$H193 &amp; "', '" &amp; $Y193 &amp; "', '" &amp; "select count(*) from "&amp; $Y193 &amp;" where " &amp; IF(COUNTIF(D:D,"IS_DESTROYED"),"IS_DESTROYED=0 and ","") &amp;   $D193 &amp; "={pid}" &amp; "', " &amp; "'【"&amp; $Z193 &amp;"】已使用此筆資料，故不可刪除!!'" &amp; ",'" &amp; SUBSTITUTE("{'zh_TW': '" &amp;  "【"&amp; $Z193 &amp;"】已使用此筆資料，不可刪除!!"  &amp; "' ,'en_US': '" &amp;  "Have used this information, it can not be deleted !!" &amp; "'  ,'zh_CN': '" &amp; "【"&amp; $Z193 &amp;"】已使用此筆資料，不可刪除!!" &amp; "' }", CHAR(39),CHAR(34))   &amp; "');","")</f>
        <v>#REF!</v>
      </c>
    </row>
    <row r="194" spans="28:28">
      <c r="AB194" s="4" t="e">
        <f>IF(#REF!="Y","INSERT INTO `sys_table_relation` (`TABLE_NAME`, `CHILD_TABLE_NAME`, `SQL_QUERY`, `ERROR_DESC` ,`ERROR_DESC_JSON`) VALUES ('" &amp;$H194 &amp; "', '" &amp; $Y194 &amp; "', '" &amp; "select count(*) from "&amp; $Y194 &amp;" where " &amp; IF(COUNTIF(D:D,"IS_DESTROYED"),"IS_DESTROYED=0 and ","") &amp;   $D194 &amp; "={pid}" &amp; "', " &amp; "'【"&amp; $Z194 &amp;"】已使用此筆資料，故不可刪除!!'" &amp; ",'" &amp; SUBSTITUTE("{'zh_TW': '" &amp;  "【"&amp; $Z194 &amp;"】已使用此筆資料，不可刪除!!"  &amp; "' ,'en_US': '" &amp;  "Have used this information, it can not be deleted !!" &amp; "'  ,'zh_CN': '" &amp; "【"&amp; $Z194 &amp;"】已使用此筆資料，不可刪除!!" &amp; "' }", CHAR(39),CHAR(34))   &amp; "');","")</f>
        <v>#REF!</v>
      </c>
    </row>
    <row r="195" spans="28:28">
      <c r="AB195" s="4" t="e">
        <f>IF(#REF!="Y","INSERT INTO `sys_table_relation` (`TABLE_NAME`, `CHILD_TABLE_NAME`, `SQL_QUERY`, `ERROR_DESC` ,`ERROR_DESC_JSON`) VALUES ('" &amp;$H195 &amp; "', '" &amp; $Y195 &amp; "', '" &amp; "select count(*) from "&amp; $Y195 &amp;" where " &amp; IF(COUNTIF(D:D,"IS_DESTROYED"),"IS_DESTROYED=0 and ","") &amp;   $D195 &amp; "={pid}" &amp; "', " &amp; "'【"&amp; $Z195 &amp;"】已使用此筆資料，故不可刪除!!'" &amp; ",'" &amp; SUBSTITUTE("{'zh_TW': '" &amp;  "【"&amp; $Z195 &amp;"】已使用此筆資料，不可刪除!!"  &amp; "' ,'en_US': '" &amp;  "Have used this information, it can not be deleted !!" &amp; "'  ,'zh_CN': '" &amp; "【"&amp; $Z195 &amp;"】已使用此筆資料，不可刪除!!" &amp; "' }", CHAR(39),CHAR(34))   &amp; "');","")</f>
        <v>#REF!</v>
      </c>
    </row>
    <row r="196" spans="28:28">
      <c r="AB196" s="4" t="e">
        <f>IF(#REF!="Y","INSERT INTO `sys_table_relation` (`TABLE_NAME`, `CHILD_TABLE_NAME`, `SQL_QUERY`, `ERROR_DESC` ,`ERROR_DESC_JSON`) VALUES ('" &amp;$H196 &amp; "', '" &amp; $Y196 &amp; "', '" &amp; "select count(*) from "&amp; $Y196 &amp;" where " &amp; IF(COUNTIF(D:D,"IS_DESTROYED"),"IS_DESTROYED=0 and ","") &amp;   $D196 &amp; "={pid}" &amp; "', " &amp; "'【"&amp; $Z196 &amp;"】已使用此筆資料，故不可刪除!!'" &amp; ",'" &amp; SUBSTITUTE("{'zh_TW': '" &amp;  "【"&amp; $Z196 &amp;"】已使用此筆資料，不可刪除!!"  &amp; "' ,'en_US': '" &amp;  "Have used this information, it can not be deleted !!" &amp; "'  ,'zh_CN': '" &amp; "【"&amp; $Z196 &amp;"】已使用此筆資料，不可刪除!!" &amp; "' }", CHAR(39),CHAR(34))   &amp; "');","")</f>
        <v>#REF!</v>
      </c>
    </row>
    <row r="197" spans="28:28">
      <c r="AB197" s="4" t="e">
        <f>IF(#REF!="Y","INSERT INTO `sys_table_relation` (`TABLE_NAME`, `CHILD_TABLE_NAME`, `SQL_QUERY`, `ERROR_DESC` ,`ERROR_DESC_JSON`) VALUES ('" &amp;$H197 &amp; "', '" &amp; $Y197 &amp; "', '" &amp; "select count(*) from "&amp; $Y197 &amp;" where " &amp; IF(COUNTIF(D:D,"IS_DESTROYED"),"IS_DESTROYED=0 and ","") &amp;   $D197 &amp; "={pid}" &amp; "', " &amp; "'【"&amp; $Z197 &amp;"】已使用此筆資料，故不可刪除!!'" &amp; ",'" &amp; SUBSTITUTE("{'zh_TW': '" &amp;  "【"&amp; $Z197 &amp;"】已使用此筆資料，不可刪除!!"  &amp; "' ,'en_US': '" &amp;  "Have used this information, it can not be deleted !!" &amp; "'  ,'zh_CN': '" &amp; "【"&amp; $Z197 &amp;"】已使用此筆資料，不可刪除!!" &amp; "' }", CHAR(39),CHAR(34))   &amp; "');","")</f>
        <v>#REF!</v>
      </c>
    </row>
    <row r="198" spans="28:28">
      <c r="AB198" s="4" t="e">
        <f>IF(#REF!="Y","INSERT INTO `sys_table_relation` (`TABLE_NAME`, `CHILD_TABLE_NAME`, `SQL_QUERY`, `ERROR_DESC` ,`ERROR_DESC_JSON`) VALUES ('" &amp;$H198 &amp; "', '" &amp; $Y198 &amp; "', '" &amp; "select count(*) from "&amp; $Y198 &amp;" where " &amp; IF(COUNTIF(D:D,"IS_DESTROYED"),"IS_DESTROYED=0 and ","") &amp;   $D198 &amp; "={pid}" &amp; "', " &amp; "'【"&amp; $Z198 &amp;"】已使用此筆資料，故不可刪除!!'" &amp; ",'" &amp; SUBSTITUTE("{'zh_TW': '" &amp;  "【"&amp; $Z198 &amp;"】已使用此筆資料，不可刪除!!"  &amp; "' ,'en_US': '" &amp;  "Have used this information, it can not be deleted !!" &amp; "'  ,'zh_CN': '" &amp; "【"&amp; $Z198 &amp;"】已使用此筆資料，不可刪除!!" &amp; "' }", CHAR(39),CHAR(34))   &amp; "');","")</f>
        <v>#REF!</v>
      </c>
    </row>
    <row r="199" spans="28:28">
      <c r="AB199" s="4" t="e">
        <f>IF(#REF!="Y","INSERT INTO `sys_table_relation` (`TABLE_NAME`, `CHILD_TABLE_NAME`, `SQL_QUERY`, `ERROR_DESC` ,`ERROR_DESC_JSON`) VALUES ('" &amp;$H199 &amp; "', '" &amp; $Y199 &amp; "', '" &amp; "select count(*) from "&amp; $Y199 &amp;" where " &amp; IF(COUNTIF(D:D,"IS_DESTROYED"),"IS_DESTROYED=0 and ","") &amp;   $D199 &amp; "={pid}" &amp; "', " &amp; "'【"&amp; $Z199 &amp;"】已使用此筆資料，故不可刪除!!'" &amp; ",'" &amp; SUBSTITUTE("{'zh_TW': '" &amp;  "【"&amp; $Z199 &amp;"】已使用此筆資料，不可刪除!!"  &amp; "' ,'en_US': '" &amp;  "Have used this information, it can not be deleted !!" &amp; "'  ,'zh_CN': '" &amp; "【"&amp; $Z199 &amp;"】已使用此筆資料，不可刪除!!" &amp; "' }", CHAR(39),CHAR(34))   &amp; "');","")</f>
        <v>#REF!</v>
      </c>
    </row>
    <row r="200" spans="28:28">
      <c r="AB200" s="4" t="e">
        <f>IF(#REF!="Y","INSERT INTO `sys_table_relation` (`TABLE_NAME`, `CHILD_TABLE_NAME`, `SQL_QUERY`, `ERROR_DESC` ,`ERROR_DESC_JSON`) VALUES ('" &amp;$H200 &amp; "', '" &amp; $Y200 &amp; "', '" &amp; "select count(*) from "&amp; $Y200 &amp;" where " &amp; IF(COUNTIF(D:D,"IS_DESTROYED"),"IS_DESTROYED=0 and ","") &amp;   $D200 &amp; "={pid}" &amp; "', " &amp; "'【"&amp; $Z200 &amp;"】已使用此筆資料，故不可刪除!!'" &amp; ",'" &amp; SUBSTITUTE("{'zh_TW': '" &amp;  "【"&amp; $Z200 &amp;"】已使用此筆資料，不可刪除!!"  &amp; "' ,'en_US': '" &amp;  "Have used this information, it can not be deleted !!" &amp; "'  ,'zh_CN': '" &amp; "【"&amp; $Z200 &amp;"】已使用此筆資料，不可刪除!!" &amp; "' }", CHAR(39),CHAR(34))   &amp; "');","")</f>
        <v>#REF!</v>
      </c>
    </row>
    <row r="201" spans="28:28">
      <c r="AB201" s="4" t="e">
        <f>IF(#REF!="Y","INSERT INTO `sys_table_relation` (`TABLE_NAME`, `CHILD_TABLE_NAME`, `SQL_QUERY`, `ERROR_DESC` ,`ERROR_DESC_JSON`) VALUES ('" &amp;$H201 &amp; "', '" &amp; $Y201 &amp; "', '" &amp; "select count(*) from "&amp; $Y201 &amp;" where " &amp; IF(COUNTIF(D:D,"IS_DESTROYED"),"IS_DESTROYED=0 and ","") &amp;   $D201 &amp; "={pid}" &amp; "', " &amp; "'【"&amp; $Z201 &amp;"】已使用此筆資料，故不可刪除!!'" &amp; ",'" &amp; SUBSTITUTE("{'zh_TW': '" &amp;  "【"&amp; $Z201 &amp;"】已使用此筆資料，不可刪除!!"  &amp; "' ,'en_US': '" &amp;  "Have used this information, it can not be deleted !!" &amp; "'  ,'zh_CN': '" &amp; "【"&amp; $Z201 &amp;"】已使用此筆資料，不可刪除!!" &amp; "' }", CHAR(39),CHAR(34))   &amp; "');","")</f>
        <v>#REF!</v>
      </c>
    </row>
    <row r="202" spans="28:28">
      <c r="AB202" s="4" t="e">
        <f>IF(#REF!="Y","INSERT INTO `sys_table_relation` (`TABLE_NAME`, `CHILD_TABLE_NAME`, `SQL_QUERY`, `ERROR_DESC` ,`ERROR_DESC_JSON`) VALUES ('" &amp;$H202 &amp; "', '" &amp; $Y202 &amp; "', '" &amp; "select count(*) from "&amp; $Y202 &amp;" where " &amp; IF(COUNTIF(D:D,"IS_DESTROYED"),"IS_DESTROYED=0 and ","") &amp;   $D202 &amp; "={pid}" &amp; "', " &amp; "'【"&amp; $Z202 &amp;"】已使用此筆資料，故不可刪除!!'" &amp; ",'" &amp; SUBSTITUTE("{'zh_TW': '" &amp;  "【"&amp; $Z202 &amp;"】已使用此筆資料，不可刪除!!"  &amp; "' ,'en_US': '" &amp;  "Have used this information, it can not be deleted !!" &amp; "'  ,'zh_CN': '" &amp; "【"&amp; $Z202 &amp;"】已使用此筆資料，不可刪除!!" &amp; "' }", CHAR(39),CHAR(34))   &amp; "');","")</f>
        <v>#REF!</v>
      </c>
    </row>
    <row r="203" spans="28:28">
      <c r="AB203" s="4" t="e">
        <f>IF(#REF!="Y","INSERT INTO `sys_table_relation` (`TABLE_NAME`, `CHILD_TABLE_NAME`, `SQL_QUERY`, `ERROR_DESC` ,`ERROR_DESC_JSON`) VALUES ('" &amp;$H203 &amp; "', '" &amp; $Y203 &amp; "', '" &amp; "select count(*) from "&amp; $Y203 &amp;" where " &amp; IF(COUNTIF(D:D,"IS_DESTROYED"),"IS_DESTROYED=0 and ","") &amp;   $D203 &amp; "={pid}" &amp; "', " &amp; "'【"&amp; $Z203 &amp;"】已使用此筆資料，故不可刪除!!'" &amp; ",'" &amp; SUBSTITUTE("{'zh_TW': '" &amp;  "【"&amp; $Z203 &amp;"】已使用此筆資料，不可刪除!!"  &amp; "' ,'en_US': '" &amp;  "Have used this information, it can not be deleted !!" &amp; "'  ,'zh_CN': '" &amp; "【"&amp; $Z203 &amp;"】已使用此筆資料，不可刪除!!" &amp; "' }", CHAR(39),CHAR(34))   &amp; "');","")</f>
        <v>#REF!</v>
      </c>
    </row>
    <row r="204" spans="28:28">
      <c r="AB204" s="4" t="e">
        <f>IF(#REF!="Y","INSERT INTO `sys_table_relation` (`TABLE_NAME`, `CHILD_TABLE_NAME`, `SQL_QUERY`, `ERROR_DESC` ,`ERROR_DESC_JSON`) VALUES ('" &amp;$H204 &amp; "', '" &amp; $Y204 &amp; "', '" &amp; "select count(*) from "&amp; $Y204 &amp;" where " &amp; IF(COUNTIF(D:D,"IS_DESTROYED"),"IS_DESTROYED=0 and ","") &amp;   $D204 &amp; "={pid}" &amp; "', " &amp; "'【"&amp; $Z204 &amp;"】已使用此筆資料，故不可刪除!!'" &amp; ",'" &amp; SUBSTITUTE("{'zh_TW': '" &amp;  "【"&amp; $Z204 &amp;"】已使用此筆資料，不可刪除!!"  &amp; "' ,'en_US': '" &amp;  "Have used this information, it can not be deleted !!" &amp; "'  ,'zh_CN': '" &amp; "【"&amp; $Z204 &amp;"】已使用此筆資料，不可刪除!!" &amp; "' }", CHAR(39),CHAR(34))   &amp; "');","")</f>
        <v>#REF!</v>
      </c>
    </row>
    <row r="205" spans="28:28">
      <c r="AB205" s="4" t="e">
        <f>IF(#REF!="Y","INSERT INTO `sys_table_relation` (`TABLE_NAME`, `CHILD_TABLE_NAME`, `SQL_QUERY`, `ERROR_DESC` ,`ERROR_DESC_JSON`) VALUES ('" &amp;$H205 &amp; "', '" &amp; $Y205 &amp; "', '" &amp; "select count(*) from "&amp; $Y205 &amp;" where " &amp; IF(COUNTIF(D:D,"IS_DESTROYED"),"IS_DESTROYED=0 and ","") &amp;   $D205 &amp; "={pid}" &amp; "', " &amp; "'【"&amp; $Z205 &amp;"】已使用此筆資料，故不可刪除!!'" &amp; ",'" &amp; SUBSTITUTE("{'zh_TW': '" &amp;  "【"&amp; $Z205 &amp;"】已使用此筆資料，不可刪除!!"  &amp; "' ,'en_US': '" &amp;  "Have used this information, it can not be deleted !!" &amp; "'  ,'zh_CN': '" &amp; "【"&amp; $Z205 &amp;"】已使用此筆資料，不可刪除!!" &amp; "' }", CHAR(39),CHAR(34))   &amp; "');","")</f>
        <v>#REF!</v>
      </c>
    </row>
    <row r="206" spans="28:28">
      <c r="AB206" s="4" t="e">
        <f>IF(#REF!="Y","INSERT INTO `sys_table_relation` (`TABLE_NAME`, `CHILD_TABLE_NAME`, `SQL_QUERY`, `ERROR_DESC` ,`ERROR_DESC_JSON`) VALUES ('" &amp;$H206 &amp; "', '" &amp; $Y206 &amp; "', '" &amp; "select count(*) from "&amp; $Y206 &amp;" where " &amp; IF(COUNTIF(D:D,"IS_DESTROYED"),"IS_DESTROYED=0 and ","") &amp;   $D206 &amp; "={pid}" &amp; "', " &amp; "'【"&amp; $Z206 &amp;"】已使用此筆資料，故不可刪除!!'" &amp; ",'" &amp; SUBSTITUTE("{'zh_TW': '" &amp;  "【"&amp; $Z206 &amp;"】已使用此筆資料，不可刪除!!"  &amp; "' ,'en_US': '" &amp;  "Have used this information, it can not be deleted !!" &amp; "'  ,'zh_CN': '" &amp; "【"&amp; $Z206 &amp;"】已使用此筆資料，不可刪除!!" &amp; "' }", CHAR(39),CHAR(34))   &amp; "');","")</f>
        <v>#REF!</v>
      </c>
    </row>
    <row r="207" spans="28:28">
      <c r="AB207" s="4" t="e">
        <f>IF(#REF!="Y","INSERT INTO `sys_table_relation` (`TABLE_NAME`, `CHILD_TABLE_NAME`, `SQL_QUERY`, `ERROR_DESC` ,`ERROR_DESC_JSON`) VALUES ('" &amp;$H207 &amp; "', '" &amp; $Y207 &amp; "', '" &amp; "select count(*) from "&amp; $Y207 &amp;" where " &amp; IF(COUNTIF(D:D,"IS_DESTROYED"),"IS_DESTROYED=0 and ","") &amp;   $D207 &amp; "={pid}" &amp; "', " &amp; "'【"&amp; $Z207 &amp;"】已使用此筆資料，故不可刪除!!'" &amp; ",'" &amp; SUBSTITUTE("{'zh_TW': '" &amp;  "【"&amp; $Z207 &amp;"】已使用此筆資料，不可刪除!!"  &amp; "' ,'en_US': '" &amp;  "Have used this information, it can not be deleted !!" &amp; "'  ,'zh_CN': '" &amp; "【"&amp; $Z207 &amp;"】已使用此筆資料，不可刪除!!" &amp; "' }", CHAR(39),CHAR(34))   &amp; "');","")</f>
        <v>#REF!</v>
      </c>
    </row>
    <row r="208" spans="28:28">
      <c r="AB208" s="4" t="e">
        <f>IF(#REF!="Y","INSERT INTO `sys_table_relation` (`TABLE_NAME`, `CHILD_TABLE_NAME`, `SQL_QUERY`, `ERROR_DESC` ,`ERROR_DESC_JSON`) VALUES ('" &amp;$H208 &amp; "', '" &amp; $Y208 &amp; "', '" &amp; "select count(*) from "&amp; $Y208 &amp;" where " &amp; IF(COUNTIF(D:D,"IS_DESTROYED"),"IS_DESTROYED=0 and ","") &amp;   $D208 &amp; "={pid}" &amp; "', " &amp; "'【"&amp; $Z208 &amp;"】已使用此筆資料，故不可刪除!!'" &amp; ",'" &amp; SUBSTITUTE("{'zh_TW': '" &amp;  "【"&amp; $Z208 &amp;"】已使用此筆資料，不可刪除!!"  &amp; "' ,'en_US': '" &amp;  "Have used this information, it can not be deleted !!" &amp; "'  ,'zh_CN': '" &amp; "【"&amp; $Z208 &amp;"】已使用此筆資料，不可刪除!!" &amp; "' }", CHAR(39),CHAR(34))   &amp; "');","")</f>
        <v>#REF!</v>
      </c>
    </row>
    <row r="209" spans="28:28">
      <c r="AB209" s="4" t="e">
        <f>IF(#REF!="Y","INSERT INTO `sys_table_relation` (`TABLE_NAME`, `CHILD_TABLE_NAME`, `SQL_QUERY`, `ERROR_DESC` ,`ERROR_DESC_JSON`) VALUES ('" &amp;$H209 &amp; "', '" &amp; $Y209 &amp; "', '" &amp; "select count(*) from "&amp; $Y209 &amp;" where " &amp; IF(COUNTIF(D:D,"IS_DESTROYED"),"IS_DESTROYED=0 and ","") &amp;   $D209 &amp; "={pid}" &amp; "', " &amp; "'【"&amp; $Z209 &amp;"】已使用此筆資料，故不可刪除!!'" &amp; ",'" &amp; SUBSTITUTE("{'zh_TW': '" &amp;  "【"&amp; $Z209 &amp;"】已使用此筆資料，不可刪除!!"  &amp; "' ,'en_US': '" &amp;  "Have used this information, it can not be deleted !!" &amp; "'  ,'zh_CN': '" &amp; "【"&amp; $Z209 &amp;"】已使用此筆資料，不可刪除!!" &amp; "' }", CHAR(39),CHAR(34))   &amp; "');","")</f>
        <v>#REF!</v>
      </c>
    </row>
    <row r="210" spans="28:28">
      <c r="AB210" s="4" t="e">
        <f>IF(#REF!="Y","INSERT INTO `sys_table_relation` (`TABLE_NAME`, `CHILD_TABLE_NAME`, `SQL_QUERY`, `ERROR_DESC` ,`ERROR_DESC_JSON`) VALUES ('" &amp;$H210 &amp; "', '" &amp; $Y210 &amp; "', '" &amp; "select count(*) from "&amp; $Y210 &amp;" where " &amp; IF(COUNTIF(D:D,"IS_DESTROYED"),"IS_DESTROYED=0 and ","") &amp;   $D210 &amp; "={pid}" &amp; "', " &amp; "'【"&amp; $Z210 &amp;"】已使用此筆資料，故不可刪除!!'" &amp; ",'" &amp; SUBSTITUTE("{'zh_TW': '" &amp;  "【"&amp; $Z210 &amp;"】已使用此筆資料，不可刪除!!"  &amp; "' ,'en_US': '" &amp;  "Have used this information, it can not be deleted !!" &amp; "'  ,'zh_CN': '" &amp; "【"&amp; $Z210 &amp;"】已使用此筆資料，不可刪除!!" &amp; "' }", CHAR(39),CHAR(34))   &amp; "');","")</f>
        <v>#REF!</v>
      </c>
    </row>
    <row r="211" spans="28:28">
      <c r="AB211" s="4" t="e">
        <f>IF(#REF!="Y","INSERT INTO `sys_table_relation` (`TABLE_NAME`, `CHILD_TABLE_NAME`, `SQL_QUERY`, `ERROR_DESC` ,`ERROR_DESC_JSON`) VALUES ('" &amp;$H211 &amp; "', '" &amp; $Y211 &amp; "', '" &amp; "select count(*) from "&amp; $Y211 &amp;" where " &amp; IF(COUNTIF(D:D,"IS_DESTROYED"),"IS_DESTROYED=0 and ","") &amp;   $D211 &amp; "={pid}" &amp; "', " &amp; "'【"&amp; $Z211 &amp;"】已使用此筆資料，故不可刪除!!'" &amp; ",'" &amp; SUBSTITUTE("{'zh_TW': '" &amp;  "【"&amp; $Z211 &amp;"】已使用此筆資料，不可刪除!!"  &amp; "' ,'en_US': '" &amp;  "Have used this information, it can not be deleted !!" &amp; "'  ,'zh_CN': '" &amp; "【"&amp; $Z211 &amp;"】已使用此筆資料，不可刪除!!" &amp; "' }", CHAR(39),CHAR(34))   &amp; "');","")</f>
        <v>#REF!</v>
      </c>
    </row>
    <row r="212" spans="28:28">
      <c r="AB212" s="4" t="e">
        <f>IF(#REF!="Y","INSERT INTO `sys_table_relation` (`TABLE_NAME`, `CHILD_TABLE_NAME`, `SQL_QUERY`, `ERROR_DESC` ,`ERROR_DESC_JSON`) VALUES ('" &amp;$H212 &amp; "', '" &amp; $Y212 &amp; "', '" &amp; "select count(*) from "&amp; $Y212 &amp;" where " &amp; IF(COUNTIF(D:D,"IS_DESTROYED"),"IS_DESTROYED=0 and ","") &amp;   $D212 &amp; "={pid}" &amp; "', " &amp; "'【"&amp; $Z212 &amp;"】已使用此筆資料，故不可刪除!!'" &amp; ",'" &amp; SUBSTITUTE("{'zh_TW': '" &amp;  "【"&amp; $Z212 &amp;"】已使用此筆資料，不可刪除!!"  &amp; "' ,'en_US': '" &amp;  "Have used this information, it can not be deleted !!" &amp; "'  ,'zh_CN': '" &amp; "【"&amp; $Z212 &amp;"】已使用此筆資料，不可刪除!!" &amp; "' }", CHAR(39),CHAR(34))   &amp; "');","")</f>
        <v>#REF!</v>
      </c>
    </row>
    <row r="213" spans="28:28">
      <c r="AB213" s="4" t="e">
        <f>IF(#REF!="Y","INSERT INTO `sys_table_relation` (`TABLE_NAME`, `CHILD_TABLE_NAME`, `SQL_QUERY`, `ERROR_DESC` ,`ERROR_DESC_JSON`) VALUES ('" &amp;$H213 &amp; "', '" &amp; $Y213 &amp; "', '" &amp; "select count(*) from "&amp; $Y213 &amp;" where " &amp; IF(COUNTIF(D:D,"IS_DESTROYED"),"IS_DESTROYED=0 and ","") &amp;   $D213 &amp; "={pid}" &amp; "', " &amp; "'【"&amp; $Z213 &amp;"】已使用此筆資料，故不可刪除!!'" &amp; ",'" &amp; SUBSTITUTE("{'zh_TW': '" &amp;  "【"&amp; $Z213 &amp;"】已使用此筆資料，不可刪除!!"  &amp; "' ,'en_US': '" &amp;  "Have used this information, it can not be deleted !!" &amp; "'  ,'zh_CN': '" &amp; "【"&amp; $Z213 &amp;"】已使用此筆資料，不可刪除!!" &amp; "' }", CHAR(39),CHAR(34))   &amp; "');","")</f>
        <v>#REF!</v>
      </c>
    </row>
    <row r="214" spans="28:28">
      <c r="AB214" s="4" t="e">
        <f>IF(#REF!="Y","INSERT INTO `sys_table_relation` (`TABLE_NAME`, `CHILD_TABLE_NAME`, `SQL_QUERY`, `ERROR_DESC` ,`ERROR_DESC_JSON`) VALUES ('" &amp;$H214 &amp; "', '" &amp; $Y214 &amp; "', '" &amp; "select count(*) from "&amp; $Y214 &amp;" where " &amp; IF(COUNTIF(D:D,"IS_DESTROYED"),"IS_DESTROYED=0 and ","") &amp;   $D214 &amp; "={pid}" &amp; "', " &amp; "'【"&amp; $Z214 &amp;"】已使用此筆資料，故不可刪除!!'" &amp; ",'" &amp; SUBSTITUTE("{'zh_TW': '" &amp;  "【"&amp; $Z214 &amp;"】已使用此筆資料，不可刪除!!"  &amp; "' ,'en_US': '" &amp;  "Have used this information, it can not be deleted !!" &amp; "'  ,'zh_CN': '" &amp; "【"&amp; $Z214 &amp;"】已使用此筆資料，不可刪除!!" &amp; "' }", CHAR(39),CHAR(34))   &amp; "');","")</f>
        <v>#REF!</v>
      </c>
    </row>
    <row r="215" spans="28:28">
      <c r="AB215" s="4" t="e">
        <f>IF(#REF!="Y","INSERT INTO `sys_table_relation` (`TABLE_NAME`, `CHILD_TABLE_NAME`, `SQL_QUERY`, `ERROR_DESC` ,`ERROR_DESC_JSON`) VALUES ('" &amp;$H215 &amp; "', '" &amp; $Y215 &amp; "', '" &amp; "select count(*) from "&amp; $Y215 &amp;" where " &amp; IF(COUNTIF(D:D,"IS_DESTROYED"),"IS_DESTROYED=0 and ","") &amp;   $D215 &amp; "={pid}" &amp; "', " &amp; "'【"&amp; $Z215 &amp;"】已使用此筆資料，故不可刪除!!'" &amp; ",'" &amp; SUBSTITUTE("{'zh_TW': '" &amp;  "【"&amp; $Z215 &amp;"】已使用此筆資料，不可刪除!!"  &amp; "' ,'en_US': '" &amp;  "Have used this information, it can not be deleted !!" &amp; "'  ,'zh_CN': '" &amp; "【"&amp; $Z215 &amp;"】已使用此筆資料，不可刪除!!" &amp; "' }", CHAR(39),CHAR(34))   &amp; "');","")</f>
        <v>#REF!</v>
      </c>
    </row>
    <row r="216" spans="28:28">
      <c r="AB216" s="4" t="e">
        <f>IF(#REF!="Y","INSERT INTO `sys_table_relation` (`TABLE_NAME`, `CHILD_TABLE_NAME`, `SQL_QUERY`, `ERROR_DESC` ,`ERROR_DESC_JSON`) VALUES ('" &amp;$H216 &amp; "', '" &amp; $Y216 &amp; "', '" &amp; "select count(*) from "&amp; $Y216 &amp;" where " &amp; IF(COUNTIF(D:D,"IS_DESTROYED"),"IS_DESTROYED=0 and ","") &amp;   $D216 &amp; "={pid}" &amp; "', " &amp; "'【"&amp; $Z216 &amp;"】已使用此筆資料，故不可刪除!!'" &amp; ",'" &amp; SUBSTITUTE("{'zh_TW': '" &amp;  "【"&amp; $Z216 &amp;"】已使用此筆資料，不可刪除!!"  &amp; "' ,'en_US': '" &amp;  "Have used this information, it can not be deleted !!" &amp; "'  ,'zh_CN': '" &amp; "【"&amp; $Z216 &amp;"】已使用此筆資料，不可刪除!!" &amp; "' }", CHAR(39),CHAR(34))   &amp; "');","")</f>
        <v>#REF!</v>
      </c>
    </row>
    <row r="217" spans="28:28">
      <c r="AB217" s="4" t="e">
        <f>IF(#REF!="Y","INSERT INTO `sys_table_relation` (`TABLE_NAME`, `CHILD_TABLE_NAME`, `SQL_QUERY`, `ERROR_DESC` ,`ERROR_DESC_JSON`) VALUES ('" &amp;$H217 &amp; "', '" &amp; $Y217 &amp; "', '" &amp; "select count(*) from "&amp; $Y217 &amp;" where " &amp; IF(COUNTIF(D:D,"IS_DESTROYED"),"IS_DESTROYED=0 and ","") &amp;   $D217 &amp; "={pid}" &amp; "', " &amp; "'【"&amp; $Z217 &amp;"】已使用此筆資料，故不可刪除!!'" &amp; ",'" &amp; SUBSTITUTE("{'zh_TW': '" &amp;  "【"&amp; $Z217 &amp;"】已使用此筆資料，不可刪除!!"  &amp; "' ,'en_US': '" &amp;  "Have used this information, it can not be deleted !!" &amp; "'  ,'zh_CN': '" &amp; "【"&amp; $Z217 &amp;"】已使用此筆資料，不可刪除!!" &amp; "' }", CHAR(39),CHAR(34))   &amp; "');","")</f>
        <v>#REF!</v>
      </c>
    </row>
    <row r="218" spans="28:28">
      <c r="AB218" s="4" t="e">
        <f>IF(#REF!="Y","INSERT INTO `sys_table_relation` (`TABLE_NAME`, `CHILD_TABLE_NAME`, `SQL_QUERY`, `ERROR_DESC` ,`ERROR_DESC_JSON`) VALUES ('" &amp;$H218 &amp; "', '" &amp; $Y218 &amp; "', '" &amp; "select count(*) from "&amp; $Y218 &amp;" where " &amp; IF(COUNTIF(D:D,"IS_DESTROYED"),"IS_DESTROYED=0 and ","") &amp;   $D218 &amp; "={pid}" &amp; "', " &amp; "'【"&amp; $Z218 &amp;"】已使用此筆資料，故不可刪除!!'" &amp; ",'" &amp; SUBSTITUTE("{'zh_TW': '" &amp;  "【"&amp; $Z218 &amp;"】已使用此筆資料，不可刪除!!"  &amp; "' ,'en_US': '" &amp;  "Have used this information, it can not be deleted !!" &amp; "'  ,'zh_CN': '" &amp; "【"&amp; $Z218 &amp;"】已使用此筆資料，不可刪除!!" &amp; "' }", CHAR(39),CHAR(34))   &amp; "');","")</f>
        <v>#REF!</v>
      </c>
    </row>
    <row r="219" spans="28:28">
      <c r="AB219" s="4" t="e">
        <f>IF(#REF!="Y","INSERT INTO `sys_table_relation` (`TABLE_NAME`, `CHILD_TABLE_NAME`, `SQL_QUERY`, `ERROR_DESC` ,`ERROR_DESC_JSON`) VALUES ('" &amp;$H219 &amp; "', '" &amp; $Y219 &amp; "', '" &amp; "select count(*) from "&amp; $Y219 &amp;" where " &amp; IF(COUNTIF(D:D,"IS_DESTROYED"),"IS_DESTROYED=0 and ","") &amp;   $D219 &amp; "={pid}" &amp; "', " &amp; "'【"&amp; $Z219 &amp;"】已使用此筆資料，故不可刪除!!'" &amp; ",'" &amp; SUBSTITUTE("{'zh_TW': '" &amp;  "【"&amp; $Z219 &amp;"】已使用此筆資料，不可刪除!!"  &amp; "' ,'en_US': '" &amp;  "Have used this information, it can not be deleted !!" &amp; "'  ,'zh_CN': '" &amp; "【"&amp; $Z219 &amp;"】已使用此筆資料，不可刪除!!" &amp; "' }", CHAR(39),CHAR(34))   &amp; "');","")</f>
        <v>#REF!</v>
      </c>
    </row>
    <row r="220" spans="28:28">
      <c r="AB220" s="4" t="e">
        <f>IF(#REF!="Y","INSERT INTO `sys_table_relation` (`TABLE_NAME`, `CHILD_TABLE_NAME`, `SQL_QUERY`, `ERROR_DESC` ,`ERROR_DESC_JSON`) VALUES ('" &amp;$H220 &amp; "', '" &amp; $Y220 &amp; "', '" &amp; "select count(*) from "&amp; $Y220 &amp;" where " &amp; IF(COUNTIF(D:D,"IS_DESTROYED"),"IS_DESTROYED=0 and ","") &amp;   $D220 &amp; "={pid}" &amp; "', " &amp; "'【"&amp; $Z220 &amp;"】已使用此筆資料，故不可刪除!!'" &amp; ",'" &amp; SUBSTITUTE("{'zh_TW': '" &amp;  "【"&amp; $Z220 &amp;"】已使用此筆資料，不可刪除!!"  &amp; "' ,'en_US': '" &amp;  "Have used this information, it can not be deleted !!" &amp; "'  ,'zh_CN': '" &amp; "【"&amp; $Z220 &amp;"】已使用此筆資料，不可刪除!!" &amp; "' }", CHAR(39),CHAR(34))   &amp; "');","")</f>
        <v>#REF!</v>
      </c>
    </row>
    <row r="221" spans="28:28">
      <c r="AB221" s="4" t="e">
        <f>IF(#REF!="Y","INSERT INTO `sys_table_relation` (`TABLE_NAME`, `CHILD_TABLE_NAME`, `SQL_QUERY`, `ERROR_DESC` ,`ERROR_DESC_JSON`) VALUES ('" &amp;$H221 &amp; "', '" &amp; $Y221 &amp; "', '" &amp; "select count(*) from "&amp; $Y221 &amp;" where " &amp; IF(COUNTIF(D:D,"IS_DESTROYED"),"IS_DESTROYED=0 and ","") &amp;   $D221 &amp; "={pid}" &amp; "', " &amp; "'【"&amp; $Z221 &amp;"】已使用此筆資料，故不可刪除!!'" &amp; ",'" &amp; SUBSTITUTE("{'zh_TW': '" &amp;  "【"&amp; $Z221 &amp;"】已使用此筆資料，不可刪除!!"  &amp; "' ,'en_US': '" &amp;  "Have used this information, it can not be deleted !!" &amp; "'  ,'zh_CN': '" &amp; "【"&amp; $Z221 &amp;"】已使用此筆資料，不可刪除!!" &amp; "' }", CHAR(39),CHAR(34))   &amp; "');","")</f>
        <v>#REF!</v>
      </c>
    </row>
    <row r="222" spans="28:28">
      <c r="AB222" s="4" t="e">
        <f>IF(#REF!="Y","INSERT INTO `sys_table_relation` (`TABLE_NAME`, `CHILD_TABLE_NAME`, `SQL_QUERY`, `ERROR_DESC` ,`ERROR_DESC_JSON`) VALUES ('" &amp;$H222 &amp; "', '" &amp; $Y222 &amp; "', '" &amp; "select count(*) from "&amp; $Y222 &amp;" where " &amp; IF(COUNTIF(D:D,"IS_DESTROYED"),"IS_DESTROYED=0 and ","") &amp;   $D222 &amp; "={pid}" &amp; "', " &amp; "'【"&amp; $Z222 &amp;"】已使用此筆資料，故不可刪除!!'" &amp; ",'" &amp; SUBSTITUTE("{'zh_TW': '" &amp;  "【"&amp; $Z222 &amp;"】已使用此筆資料，不可刪除!!"  &amp; "' ,'en_US': '" &amp;  "Have used this information, it can not be deleted !!" &amp; "'  ,'zh_CN': '" &amp; "【"&amp; $Z222 &amp;"】已使用此筆資料，不可刪除!!" &amp; "' }", CHAR(39),CHAR(34))   &amp; "');","")</f>
        <v>#REF!</v>
      </c>
    </row>
    <row r="223" spans="28:28">
      <c r="AB223" s="4" t="e">
        <f>IF(#REF!="Y","INSERT INTO `sys_table_relation` (`TABLE_NAME`, `CHILD_TABLE_NAME`, `SQL_QUERY`, `ERROR_DESC` ,`ERROR_DESC_JSON`) VALUES ('" &amp;$H223 &amp; "', '" &amp; $Y223 &amp; "', '" &amp; "select count(*) from "&amp; $Y223 &amp;" where " &amp; IF(COUNTIF(D:D,"IS_DESTROYED"),"IS_DESTROYED=0 and ","") &amp;   $D223 &amp; "={pid}" &amp; "', " &amp; "'【"&amp; $Z223 &amp;"】已使用此筆資料，故不可刪除!!'" &amp; ",'" &amp; SUBSTITUTE("{'zh_TW': '" &amp;  "【"&amp; $Z223 &amp;"】已使用此筆資料，不可刪除!!"  &amp; "' ,'en_US': '" &amp;  "Have used this information, it can not be deleted !!" &amp; "'  ,'zh_CN': '" &amp; "【"&amp; $Z223 &amp;"】已使用此筆資料，不可刪除!!" &amp; "' }", CHAR(39),CHAR(34))   &amp; "');","")</f>
        <v>#REF!</v>
      </c>
    </row>
    <row r="224" spans="28:28">
      <c r="AB224" s="4" t="e">
        <f>IF(#REF!="Y","INSERT INTO `sys_table_relation` (`TABLE_NAME`, `CHILD_TABLE_NAME`, `SQL_QUERY`, `ERROR_DESC` ,`ERROR_DESC_JSON`) VALUES ('" &amp;$H224 &amp; "', '" &amp; $Y224 &amp; "', '" &amp; "select count(*) from "&amp; $Y224 &amp;" where " &amp; IF(COUNTIF(D:D,"IS_DESTROYED"),"IS_DESTROYED=0 and ","") &amp;   $D224 &amp; "={pid}" &amp; "', " &amp; "'【"&amp; $Z224 &amp;"】已使用此筆資料，故不可刪除!!'" &amp; ",'" &amp; SUBSTITUTE("{'zh_TW': '" &amp;  "【"&amp; $Z224 &amp;"】已使用此筆資料，不可刪除!!"  &amp; "' ,'en_US': '" &amp;  "Have used this information, it can not be deleted !!" &amp; "'  ,'zh_CN': '" &amp; "【"&amp; $Z224 &amp;"】已使用此筆資料，不可刪除!!" &amp; "' }", CHAR(39),CHAR(34))   &amp; "');","")</f>
        <v>#REF!</v>
      </c>
    </row>
    <row r="225" spans="28:28">
      <c r="AB225" s="4" t="e">
        <f>IF(#REF!="Y","INSERT INTO `sys_table_relation` (`TABLE_NAME`, `CHILD_TABLE_NAME`, `SQL_QUERY`, `ERROR_DESC` ,`ERROR_DESC_JSON`) VALUES ('" &amp;$H225 &amp; "', '" &amp; $Y225 &amp; "', '" &amp; "select count(*) from "&amp; $Y225 &amp;" where " &amp; IF(COUNTIF(D:D,"IS_DESTROYED"),"IS_DESTROYED=0 and ","") &amp;   $D225 &amp; "={pid}" &amp; "', " &amp; "'【"&amp; $Z225 &amp;"】已使用此筆資料，故不可刪除!!'" &amp; ",'" &amp; SUBSTITUTE("{'zh_TW': '" &amp;  "【"&amp; $Z225 &amp;"】已使用此筆資料，不可刪除!!"  &amp; "' ,'en_US': '" &amp;  "Have used this information, it can not be deleted !!" &amp; "'  ,'zh_CN': '" &amp; "【"&amp; $Z225 &amp;"】已使用此筆資料，不可刪除!!" &amp; "' }", CHAR(39),CHAR(34))   &amp; "');","")</f>
        <v>#REF!</v>
      </c>
    </row>
    <row r="226" spans="28:28">
      <c r="AB226" s="4" t="e">
        <f>IF(#REF!="Y","INSERT INTO `sys_table_relation` (`TABLE_NAME`, `CHILD_TABLE_NAME`, `SQL_QUERY`, `ERROR_DESC` ,`ERROR_DESC_JSON`) VALUES ('" &amp;$H226 &amp; "', '" &amp; $Y226 &amp; "', '" &amp; "select count(*) from "&amp; $Y226 &amp;" where " &amp; IF(COUNTIF(D:D,"IS_DESTROYED"),"IS_DESTROYED=0 and ","") &amp;   $D226 &amp; "={pid}" &amp; "', " &amp; "'【"&amp; $Z226 &amp;"】已使用此筆資料，故不可刪除!!'" &amp; ",'" &amp; SUBSTITUTE("{'zh_TW': '" &amp;  "【"&amp; $Z226 &amp;"】已使用此筆資料，不可刪除!!"  &amp; "' ,'en_US': '" &amp;  "Have used this information, it can not be deleted !!" &amp; "'  ,'zh_CN': '" &amp; "【"&amp; $Z226 &amp;"】已使用此筆資料，不可刪除!!" &amp; "' }", CHAR(39),CHAR(34))   &amp; "');","")</f>
        <v>#REF!</v>
      </c>
    </row>
    <row r="227" spans="28:28">
      <c r="AB227" s="4" t="e">
        <f>IF(#REF!="Y","INSERT INTO `sys_table_relation` (`TABLE_NAME`, `CHILD_TABLE_NAME`, `SQL_QUERY`, `ERROR_DESC` ,`ERROR_DESC_JSON`) VALUES ('" &amp;$H227 &amp; "', '" &amp; $Y227 &amp; "', '" &amp; "select count(*) from "&amp; $Y227 &amp;" where " &amp; IF(COUNTIF(D:D,"IS_DESTROYED"),"IS_DESTROYED=0 and ","") &amp;   $D227 &amp; "={pid}" &amp; "', " &amp; "'【"&amp; $Z227 &amp;"】已使用此筆資料，故不可刪除!!'" &amp; ",'" &amp; SUBSTITUTE("{'zh_TW': '" &amp;  "【"&amp; $Z227 &amp;"】已使用此筆資料，不可刪除!!"  &amp; "' ,'en_US': '" &amp;  "Have used this information, it can not be deleted !!" &amp; "'  ,'zh_CN': '" &amp; "【"&amp; $Z227 &amp;"】已使用此筆資料，不可刪除!!" &amp; "' }", CHAR(39),CHAR(34))   &amp; "');","")</f>
        <v>#REF!</v>
      </c>
    </row>
    <row r="228" spans="28:28">
      <c r="AB228" s="4" t="e">
        <f>IF(#REF!="Y","INSERT INTO `sys_table_relation` (`TABLE_NAME`, `CHILD_TABLE_NAME`, `SQL_QUERY`, `ERROR_DESC` ,`ERROR_DESC_JSON`) VALUES ('" &amp;$H228 &amp; "', '" &amp; $Y228 &amp; "', '" &amp; "select count(*) from "&amp; $Y228 &amp;" where " &amp; IF(COUNTIF(D:D,"IS_DESTROYED"),"IS_DESTROYED=0 and ","") &amp;   $D228 &amp; "={pid}" &amp; "', " &amp; "'【"&amp; $Z228 &amp;"】已使用此筆資料，故不可刪除!!'" &amp; ",'" &amp; SUBSTITUTE("{'zh_TW': '" &amp;  "【"&amp; $Z228 &amp;"】已使用此筆資料，不可刪除!!"  &amp; "' ,'en_US': '" &amp;  "Have used this information, it can not be deleted !!" &amp; "'  ,'zh_CN': '" &amp; "【"&amp; $Z228 &amp;"】已使用此筆資料，不可刪除!!" &amp; "' }", CHAR(39),CHAR(34))   &amp; "');","")</f>
        <v>#REF!</v>
      </c>
    </row>
    <row r="229" spans="28:28">
      <c r="AB229" s="4" t="e">
        <f>IF(#REF!="Y","INSERT INTO `sys_table_relation` (`TABLE_NAME`, `CHILD_TABLE_NAME`, `SQL_QUERY`, `ERROR_DESC` ,`ERROR_DESC_JSON`) VALUES ('" &amp;$H229 &amp; "', '" &amp; $Y229 &amp; "', '" &amp; "select count(*) from "&amp; $Y229 &amp;" where " &amp; IF(COUNTIF(D:D,"IS_DESTROYED"),"IS_DESTROYED=0 and ","") &amp;   $D229 &amp; "={pid}" &amp; "', " &amp; "'【"&amp; $Z229 &amp;"】已使用此筆資料，故不可刪除!!'" &amp; ",'" &amp; SUBSTITUTE("{'zh_TW': '" &amp;  "【"&amp; $Z229 &amp;"】已使用此筆資料，不可刪除!!"  &amp; "' ,'en_US': '" &amp;  "Have used this information, it can not be deleted !!" &amp; "'  ,'zh_CN': '" &amp; "【"&amp; $Z229 &amp;"】已使用此筆資料，不可刪除!!" &amp; "' }", CHAR(39),CHAR(34))   &amp; "');","")</f>
        <v>#REF!</v>
      </c>
    </row>
    <row r="230" spans="28:28">
      <c r="AB230" s="4" t="e">
        <f>IF(#REF!="Y","INSERT INTO `sys_table_relation` (`TABLE_NAME`, `CHILD_TABLE_NAME`, `SQL_QUERY`, `ERROR_DESC` ,`ERROR_DESC_JSON`) VALUES ('" &amp;$H230 &amp; "', '" &amp; $Y230 &amp; "', '" &amp; "select count(*) from "&amp; $Y230 &amp;" where " &amp; IF(COUNTIF(D:D,"IS_DESTROYED"),"IS_DESTROYED=0 and ","") &amp;   $D230 &amp; "={pid}" &amp; "', " &amp; "'【"&amp; $Z230 &amp;"】已使用此筆資料，故不可刪除!!'" &amp; ",'" &amp; SUBSTITUTE("{'zh_TW': '" &amp;  "【"&amp; $Z230 &amp;"】已使用此筆資料，不可刪除!!"  &amp; "' ,'en_US': '" &amp;  "Have used this information, it can not be deleted !!" &amp; "'  ,'zh_CN': '" &amp; "【"&amp; $Z230 &amp;"】已使用此筆資料，不可刪除!!" &amp; "' }", CHAR(39),CHAR(34))   &amp; "');","")</f>
        <v>#REF!</v>
      </c>
    </row>
    <row r="231" spans="28:28">
      <c r="AB231" s="4" t="e">
        <f>IF(#REF!="Y","INSERT INTO `sys_table_relation` (`TABLE_NAME`, `CHILD_TABLE_NAME`, `SQL_QUERY`, `ERROR_DESC` ,`ERROR_DESC_JSON`) VALUES ('" &amp;$H231 &amp; "', '" &amp; $Y231 &amp; "', '" &amp; "select count(*) from "&amp; $Y231 &amp;" where " &amp; IF(COUNTIF(D:D,"IS_DESTROYED"),"IS_DESTROYED=0 and ","") &amp;   $D231 &amp; "={pid}" &amp; "', " &amp; "'【"&amp; $Z231 &amp;"】已使用此筆資料，故不可刪除!!'" &amp; ",'" &amp; SUBSTITUTE("{'zh_TW': '" &amp;  "【"&amp; $Z231 &amp;"】已使用此筆資料，不可刪除!!"  &amp; "' ,'en_US': '" &amp;  "Have used this information, it can not be deleted !!" &amp; "'  ,'zh_CN': '" &amp; "【"&amp; $Z231 &amp;"】已使用此筆資料，不可刪除!!" &amp; "' }", CHAR(39),CHAR(34))   &amp; "');","")</f>
        <v>#REF!</v>
      </c>
    </row>
    <row r="232" spans="28:28">
      <c r="AB232" s="4" t="e">
        <f>IF(#REF!="Y","INSERT INTO `sys_table_relation` (`TABLE_NAME`, `CHILD_TABLE_NAME`, `SQL_QUERY`, `ERROR_DESC` ,`ERROR_DESC_JSON`) VALUES ('" &amp;$H232 &amp; "', '" &amp; $Y232 &amp; "', '" &amp; "select count(*) from "&amp; $Y232 &amp;" where " &amp; IF(COUNTIF(D:D,"IS_DESTROYED"),"IS_DESTROYED=0 and ","") &amp;   $D232 &amp; "={pid}" &amp; "', " &amp; "'【"&amp; $Z232 &amp;"】已使用此筆資料，故不可刪除!!'" &amp; ",'" &amp; SUBSTITUTE("{'zh_TW': '" &amp;  "【"&amp; $Z232 &amp;"】已使用此筆資料，不可刪除!!"  &amp; "' ,'en_US': '" &amp;  "Have used this information, it can not be deleted !!" &amp; "'  ,'zh_CN': '" &amp; "【"&amp; $Z232 &amp;"】已使用此筆資料，不可刪除!!" &amp; "' }", CHAR(39),CHAR(34))   &amp; "');","")</f>
        <v>#REF!</v>
      </c>
    </row>
    <row r="233" spans="28:28">
      <c r="AB233" s="4" t="e">
        <f>IF(#REF!="Y","INSERT INTO `sys_table_relation` (`TABLE_NAME`, `CHILD_TABLE_NAME`, `SQL_QUERY`, `ERROR_DESC` ,`ERROR_DESC_JSON`) VALUES ('" &amp;$H233 &amp; "', '" &amp; $Y233 &amp; "', '" &amp; "select count(*) from "&amp; $Y233 &amp;" where " &amp; IF(COUNTIF(D:D,"IS_DESTROYED"),"IS_DESTROYED=0 and ","") &amp;   $D233 &amp; "={pid}" &amp; "', " &amp; "'【"&amp; $Z233 &amp;"】已使用此筆資料，故不可刪除!!'" &amp; ",'" &amp; SUBSTITUTE("{'zh_TW': '" &amp;  "【"&amp; $Z233 &amp;"】已使用此筆資料，不可刪除!!"  &amp; "' ,'en_US': '" &amp;  "Have used this information, it can not be deleted !!" &amp; "'  ,'zh_CN': '" &amp; "【"&amp; $Z233 &amp;"】已使用此筆資料，不可刪除!!" &amp; "' }", CHAR(39),CHAR(34))   &amp; "');","")</f>
        <v>#REF!</v>
      </c>
    </row>
    <row r="234" spans="28:28">
      <c r="AB234" s="4" t="e">
        <f>IF(#REF!="Y","INSERT INTO `sys_table_relation` (`TABLE_NAME`, `CHILD_TABLE_NAME`, `SQL_QUERY`, `ERROR_DESC` ,`ERROR_DESC_JSON`) VALUES ('" &amp;$H234 &amp; "', '" &amp; $Y234 &amp; "', '" &amp; "select count(*) from "&amp; $Y234 &amp;" where " &amp; IF(COUNTIF(D:D,"IS_DESTROYED"),"IS_DESTROYED=0 and ","") &amp;   $D234 &amp; "={pid}" &amp; "', " &amp; "'【"&amp; $Z234 &amp;"】已使用此筆資料，故不可刪除!!'" &amp; ",'" &amp; SUBSTITUTE("{'zh_TW': '" &amp;  "【"&amp; $Z234 &amp;"】已使用此筆資料，不可刪除!!"  &amp; "' ,'en_US': '" &amp;  "Have used this information, it can not be deleted !!" &amp; "'  ,'zh_CN': '" &amp; "【"&amp; $Z234 &amp;"】已使用此筆資料，不可刪除!!" &amp; "' }", CHAR(39),CHAR(34))   &amp; "');","")</f>
        <v>#REF!</v>
      </c>
    </row>
    <row r="235" spans="28:28">
      <c r="AB235" s="4" t="e">
        <f>IF(#REF!="Y","INSERT INTO `sys_table_relation` (`TABLE_NAME`, `CHILD_TABLE_NAME`, `SQL_QUERY`, `ERROR_DESC` ,`ERROR_DESC_JSON`) VALUES ('" &amp;$H235 &amp; "', '" &amp; $Y235 &amp; "', '" &amp; "select count(*) from "&amp; $Y235 &amp;" where " &amp; IF(COUNTIF(D:D,"IS_DESTROYED"),"IS_DESTROYED=0 and ","") &amp;   $D235 &amp; "={pid}" &amp; "', " &amp; "'【"&amp; $Z235 &amp;"】已使用此筆資料，故不可刪除!!'" &amp; ",'" &amp; SUBSTITUTE("{'zh_TW': '" &amp;  "【"&amp; $Z235 &amp;"】已使用此筆資料，不可刪除!!"  &amp; "' ,'en_US': '" &amp;  "Have used this information, it can not be deleted !!" &amp; "'  ,'zh_CN': '" &amp; "【"&amp; $Z235 &amp;"】已使用此筆資料，不可刪除!!" &amp; "' }", CHAR(39),CHAR(34))   &amp; "');","")</f>
        <v>#REF!</v>
      </c>
    </row>
    <row r="236" spans="28:28">
      <c r="AB236" s="4" t="e">
        <f>IF(#REF!="Y","INSERT INTO `sys_table_relation` (`TABLE_NAME`, `CHILD_TABLE_NAME`, `SQL_QUERY`, `ERROR_DESC` ,`ERROR_DESC_JSON`) VALUES ('" &amp;$H236 &amp; "', '" &amp; $Y236 &amp; "', '" &amp; "select count(*) from "&amp; $Y236 &amp;" where " &amp; IF(COUNTIF(D:D,"IS_DESTROYED"),"IS_DESTROYED=0 and ","") &amp;   $D236 &amp; "={pid}" &amp; "', " &amp; "'【"&amp; $Z236 &amp;"】已使用此筆資料，故不可刪除!!'" &amp; ",'" &amp; SUBSTITUTE("{'zh_TW': '" &amp;  "【"&amp; $Z236 &amp;"】已使用此筆資料，不可刪除!!"  &amp; "' ,'en_US': '" &amp;  "Have used this information, it can not be deleted !!" &amp; "'  ,'zh_CN': '" &amp; "【"&amp; $Z236 &amp;"】已使用此筆資料，不可刪除!!" &amp; "' }", CHAR(39),CHAR(34))   &amp; "');","")</f>
        <v>#REF!</v>
      </c>
    </row>
    <row r="237" spans="28:28">
      <c r="AB237" s="4" t="e">
        <f>IF(#REF!="Y","INSERT INTO `sys_table_relation` (`TABLE_NAME`, `CHILD_TABLE_NAME`, `SQL_QUERY`, `ERROR_DESC` ,`ERROR_DESC_JSON`) VALUES ('" &amp;$H237 &amp; "', '" &amp; $Y237 &amp; "', '" &amp; "select count(*) from "&amp; $Y237 &amp;" where " &amp; IF(COUNTIF(D:D,"IS_DESTROYED"),"IS_DESTROYED=0 and ","") &amp;   $D237 &amp; "={pid}" &amp; "', " &amp; "'【"&amp; $Z237 &amp;"】已使用此筆資料，故不可刪除!!'" &amp; ",'" &amp; SUBSTITUTE("{'zh_TW': '" &amp;  "【"&amp; $Z237 &amp;"】已使用此筆資料，不可刪除!!"  &amp; "' ,'en_US': '" &amp;  "Have used this information, it can not be deleted !!" &amp; "'  ,'zh_CN': '" &amp; "【"&amp; $Z237 &amp;"】已使用此筆資料，不可刪除!!" &amp; "' }", CHAR(39),CHAR(34))   &amp; "');","")</f>
        <v>#REF!</v>
      </c>
    </row>
    <row r="238" spans="28:28">
      <c r="AB238" s="4" t="e">
        <f>IF(#REF!="Y","INSERT INTO `sys_table_relation` (`TABLE_NAME`, `CHILD_TABLE_NAME`, `SQL_QUERY`, `ERROR_DESC` ,`ERROR_DESC_JSON`) VALUES ('" &amp;$H238 &amp; "', '" &amp; $Y238 &amp; "', '" &amp; "select count(*) from "&amp; $Y238 &amp;" where " &amp; IF(COUNTIF(D:D,"IS_DESTROYED"),"IS_DESTROYED=0 and ","") &amp;   $D238 &amp; "={pid}" &amp; "', " &amp; "'【"&amp; $Z238 &amp;"】已使用此筆資料，故不可刪除!!'" &amp; ",'" &amp; SUBSTITUTE("{'zh_TW': '" &amp;  "【"&amp; $Z238 &amp;"】已使用此筆資料，不可刪除!!"  &amp; "' ,'en_US': '" &amp;  "Have used this information, it can not be deleted !!" &amp; "'  ,'zh_CN': '" &amp; "【"&amp; $Z238 &amp;"】已使用此筆資料，不可刪除!!" &amp; "' }", CHAR(39),CHAR(34))   &amp; "');","")</f>
        <v>#REF!</v>
      </c>
    </row>
    <row r="239" spans="28:28">
      <c r="AB239" s="4" t="e">
        <f>IF(#REF!="Y","INSERT INTO `sys_table_relation` (`TABLE_NAME`, `CHILD_TABLE_NAME`, `SQL_QUERY`, `ERROR_DESC` ,`ERROR_DESC_JSON`) VALUES ('" &amp;$H239 &amp; "', '" &amp; $Y239 &amp; "', '" &amp; "select count(*) from "&amp; $Y239 &amp;" where " &amp; IF(COUNTIF(D:D,"IS_DESTROYED"),"IS_DESTROYED=0 and ","") &amp;   $D239 &amp; "={pid}" &amp; "', " &amp; "'【"&amp; $Z239 &amp;"】已使用此筆資料，故不可刪除!!'" &amp; ",'" &amp; SUBSTITUTE("{'zh_TW': '" &amp;  "【"&amp; $Z239 &amp;"】已使用此筆資料，不可刪除!!"  &amp; "' ,'en_US': '" &amp;  "Have used this information, it can not be deleted !!" &amp; "'  ,'zh_CN': '" &amp; "【"&amp; $Z239 &amp;"】已使用此筆資料，不可刪除!!" &amp; "' }", CHAR(39),CHAR(34))   &amp; "');","")</f>
        <v>#REF!</v>
      </c>
    </row>
    <row r="240" spans="28:28">
      <c r="AB240" s="4" t="e">
        <f>IF(#REF!="Y","INSERT INTO `sys_table_relation` (`TABLE_NAME`, `CHILD_TABLE_NAME`, `SQL_QUERY`, `ERROR_DESC` ,`ERROR_DESC_JSON`) VALUES ('" &amp;$H240 &amp; "', '" &amp; $Y240 &amp; "', '" &amp; "select count(*) from "&amp; $Y240 &amp;" where " &amp; IF(COUNTIF(D:D,"IS_DESTROYED"),"IS_DESTROYED=0 and ","") &amp;   $D240 &amp; "={pid}" &amp; "', " &amp; "'【"&amp; $Z240 &amp;"】已使用此筆資料，故不可刪除!!'" &amp; ",'" &amp; SUBSTITUTE("{'zh_TW': '" &amp;  "【"&amp; $Z240 &amp;"】已使用此筆資料，不可刪除!!"  &amp; "' ,'en_US': '" &amp;  "Have used this information, it can not be deleted !!" &amp; "'  ,'zh_CN': '" &amp; "【"&amp; $Z240 &amp;"】已使用此筆資料，不可刪除!!" &amp; "' }", CHAR(39),CHAR(34))   &amp; "');","")</f>
        <v>#REF!</v>
      </c>
    </row>
    <row r="241" spans="28:28">
      <c r="AB241" s="4" t="e">
        <f>IF(#REF!="Y","INSERT INTO `sys_table_relation` (`TABLE_NAME`, `CHILD_TABLE_NAME`, `SQL_QUERY`, `ERROR_DESC` ,`ERROR_DESC_JSON`) VALUES ('" &amp;$H241 &amp; "', '" &amp; $Y241 &amp; "', '" &amp; "select count(*) from "&amp; $Y241 &amp;" where " &amp; IF(COUNTIF(D:D,"IS_DESTROYED"),"IS_DESTROYED=0 and ","") &amp;   $D241 &amp; "={pid}" &amp; "', " &amp; "'【"&amp; $Z241 &amp;"】已使用此筆資料，故不可刪除!!'" &amp; ",'" &amp; SUBSTITUTE("{'zh_TW': '" &amp;  "【"&amp; $Z241 &amp;"】已使用此筆資料，不可刪除!!"  &amp; "' ,'en_US': '" &amp;  "Have used this information, it can not be deleted !!" &amp; "'  ,'zh_CN': '" &amp; "【"&amp; $Z241 &amp;"】已使用此筆資料，不可刪除!!" &amp; "' }", CHAR(39),CHAR(34))   &amp; "');","")</f>
        <v>#REF!</v>
      </c>
    </row>
    <row r="242" spans="28:28">
      <c r="AB242" s="4" t="e">
        <f>IF(#REF!="Y","INSERT INTO `sys_table_relation` (`TABLE_NAME`, `CHILD_TABLE_NAME`, `SQL_QUERY`, `ERROR_DESC` ,`ERROR_DESC_JSON`) VALUES ('" &amp;$H242 &amp; "', '" &amp; $Y242 &amp; "', '" &amp; "select count(*) from "&amp; $Y242 &amp;" where " &amp; IF(COUNTIF(D:D,"IS_DESTROYED"),"IS_DESTROYED=0 and ","") &amp;   $D242 &amp; "={pid}" &amp; "', " &amp; "'【"&amp; $Z242 &amp;"】已使用此筆資料，故不可刪除!!'" &amp; ",'" &amp; SUBSTITUTE("{'zh_TW': '" &amp;  "【"&amp; $Z242 &amp;"】已使用此筆資料，不可刪除!!"  &amp; "' ,'en_US': '" &amp;  "Have used this information, it can not be deleted !!" &amp; "'  ,'zh_CN': '" &amp; "【"&amp; $Z242 &amp;"】已使用此筆資料，不可刪除!!" &amp; "' }", CHAR(39),CHAR(34))   &amp; "');","")</f>
        <v>#REF!</v>
      </c>
    </row>
    <row r="243" spans="28:28">
      <c r="AB243" s="4" t="e">
        <f>IF(#REF!="Y","INSERT INTO `sys_table_relation` (`TABLE_NAME`, `CHILD_TABLE_NAME`, `SQL_QUERY`, `ERROR_DESC` ,`ERROR_DESC_JSON`) VALUES ('" &amp;$H243 &amp; "', '" &amp; $Y243 &amp; "', '" &amp; "select count(*) from "&amp; $Y243 &amp;" where " &amp; IF(COUNTIF(D:D,"IS_DESTROYED"),"IS_DESTROYED=0 and ","") &amp;   $D243 &amp; "={pid}" &amp; "', " &amp; "'【"&amp; $Z243 &amp;"】已使用此筆資料，故不可刪除!!'" &amp; ",'" &amp; SUBSTITUTE("{'zh_TW': '" &amp;  "【"&amp; $Z243 &amp;"】已使用此筆資料，不可刪除!!"  &amp; "' ,'en_US': '" &amp;  "Have used this information, it can not be deleted !!" &amp; "'  ,'zh_CN': '" &amp; "【"&amp; $Z243 &amp;"】已使用此筆資料，不可刪除!!" &amp; "' }", CHAR(39),CHAR(34))   &amp; "');","")</f>
        <v>#REF!</v>
      </c>
    </row>
    <row r="244" spans="28:28">
      <c r="AB244" s="4" t="e">
        <f>IF(#REF!="Y","INSERT INTO `sys_table_relation` (`TABLE_NAME`, `CHILD_TABLE_NAME`, `SQL_QUERY`, `ERROR_DESC` ,`ERROR_DESC_JSON`) VALUES ('" &amp;$H244 &amp; "', '" &amp; $Y244 &amp; "', '" &amp; "select count(*) from "&amp; $Y244 &amp;" where " &amp; IF(COUNTIF(D:D,"IS_DESTROYED"),"IS_DESTROYED=0 and ","") &amp;   $D244 &amp; "={pid}" &amp; "', " &amp; "'【"&amp; $Z244 &amp;"】已使用此筆資料，故不可刪除!!'" &amp; ",'" &amp; SUBSTITUTE("{'zh_TW': '" &amp;  "【"&amp; $Z244 &amp;"】已使用此筆資料，不可刪除!!"  &amp; "' ,'en_US': '" &amp;  "Have used this information, it can not be deleted !!" &amp; "'  ,'zh_CN': '" &amp; "【"&amp; $Z244 &amp;"】已使用此筆資料，不可刪除!!" &amp; "' }", CHAR(39),CHAR(34))   &amp; "');","")</f>
        <v>#REF!</v>
      </c>
    </row>
    <row r="245" spans="28:28">
      <c r="AB245" s="4" t="e">
        <f>IF(#REF!="Y","INSERT INTO `sys_table_relation` (`TABLE_NAME`, `CHILD_TABLE_NAME`, `SQL_QUERY`, `ERROR_DESC` ,`ERROR_DESC_JSON`) VALUES ('" &amp;$H245 &amp; "', '" &amp; $Y245 &amp; "', '" &amp; "select count(*) from "&amp; $Y245 &amp;" where " &amp; IF(COUNTIF(D:D,"IS_DESTROYED"),"IS_DESTROYED=0 and ","") &amp;   $D245 &amp; "={pid}" &amp; "', " &amp; "'【"&amp; $Z245 &amp;"】已使用此筆資料，故不可刪除!!'" &amp; ",'" &amp; SUBSTITUTE("{'zh_TW': '" &amp;  "【"&amp; $Z245 &amp;"】已使用此筆資料，不可刪除!!"  &amp; "' ,'en_US': '" &amp;  "Have used this information, it can not be deleted !!" &amp; "'  ,'zh_CN': '" &amp; "【"&amp; $Z245 &amp;"】已使用此筆資料，不可刪除!!" &amp; "' }", CHAR(39),CHAR(34))   &amp; "');","")</f>
        <v>#REF!</v>
      </c>
    </row>
    <row r="246" spans="28:28">
      <c r="AB246" s="4" t="e">
        <f>IF(#REF!="Y","INSERT INTO `sys_table_relation` (`TABLE_NAME`, `CHILD_TABLE_NAME`, `SQL_QUERY`, `ERROR_DESC` ,`ERROR_DESC_JSON`) VALUES ('" &amp;$H246 &amp; "', '" &amp; $Y246 &amp; "', '" &amp; "select count(*) from "&amp; $Y246 &amp;" where " &amp; IF(COUNTIF(D:D,"IS_DESTROYED"),"IS_DESTROYED=0 and ","") &amp;   $D246 &amp; "={pid}" &amp; "', " &amp; "'【"&amp; $Z246 &amp;"】已使用此筆資料，故不可刪除!!'" &amp; ",'" &amp; SUBSTITUTE("{'zh_TW': '" &amp;  "【"&amp; $Z246 &amp;"】已使用此筆資料，不可刪除!!"  &amp; "' ,'en_US': '" &amp;  "Have used this information, it can not be deleted !!" &amp; "'  ,'zh_CN': '" &amp; "【"&amp; $Z246 &amp;"】已使用此筆資料，不可刪除!!" &amp; "' }", CHAR(39),CHAR(34))   &amp; "');","")</f>
        <v>#REF!</v>
      </c>
    </row>
    <row r="247" spans="28:28">
      <c r="AB247" s="4" t="e">
        <f>IF(#REF!="Y","INSERT INTO `sys_table_relation` (`TABLE_NAME`, `CHILD_TABLE_NAME`, `SQL_QUERY`, `ERROR_DESC` ,`ERROR_DESC_JSON`) VALUES ('" &amp;$H247 &amp; "', '" &amp; $Y247 &amp; "', '" &amp; "select count(*) from "&amp; $Y247 &amp;" where " &amp; IF(COUNTIF(D:D,"IS_DESTROYED"),"IS_DESTROYED=0 and ","") &amp;   $D247 &amp; "={pid}" &amp; "', " &amp; "'【"&amp; $Z247 &amp;"】已使用此筆資料，故不可刪除!!'" &amp; ",'" &amp; SUBSTITUTE("{'zh_TW': '" &amp;  "【"&amp; $Z247 &amp;"】已使用此筆資料，不可刪除!!"  &amp; "' ,'en_US': '" &amp;  "Have used this information, it can not be deleted !!" &amp; "'  ,'zh_CN': '" &amp; "【"&amp; $Z247 &amp;"】已使用此筆資料，不可刪除!!" &amp; "' }", CHAR(39),CHAR(34))   &amp; "');","")</f>
        <v>#REF!</v>
      </c>
    </row>
    <row r="248" spans="28:28">
      <c r="AB248" s="4" t="e">
        <f>IF(#REF!="Y","INSERT INTO `sys_table_relation` (`TABLE_NAME`, `CHILD_TABLE_NAME`, `SQL_QUERY`, `ERROR_DESC` ,`ERROR_DESC_JSON`) VALUES ('" &amp;$H248 &amp; "', '" &amp; $Y248 &amp; "', '" &amp; "select count(*) from "&amp; $Y248 &amp;" where " &amp; IF(COUNTIF(D:D,"IS_DESTROYED"),"IS_DESTROYED=0 and ","") &amp;   $D248 &amp; "={pid}" &amp; "', " &amp; "'【"&amp; $Z248 &amp;"】已使用此筆資料，故不可刪除!!'" &amp; ",'" &amp; SUBSTITUTE("{'zh_TW': '" &amp;  "【"&amp; $Z248 &amp;"】已使用此筆資料，不可刪除!!"  &amp; "' ,'en_US': '" &amp;  "Have used this information, it can not be deleted !!" &amp; "'  ,'zh_CN': '" &amp; "【"&amp; $Z248 &amp;"】已使用此筆資料，不可刪除!!" &amp; "' }", CHAR(39),CHAR(34))   &amp; "');","")</f>
        <v>#REF!</v>
      </c>
    </row>
    <row r="249" spans="28:28">
      <c r="AB249" s="4" t="e">
        <f>IF(#REF!="Y","INSERT INTO `sys_table_relation` (`TABLE_NAME`, `CHILD_TABLE_NAME`, `SQL_QUERY`, `ERROR_DESC` ,`ERROR_DESC_JSON`) VALUES ('" &amp;$H249 &amp; "', '" &amp; $Y249 &amp; "', '" &amp; "select count(*) from "&amp; $Y249 &amp;" where " &amp; IF(COUNTIF(D:D,"IS_DESTROYED"),"IS_DESTROYED=0 and ","") &amp;   $D249 &amp; "={pid}" &amp; "', " &amp; "'【"&amp; $Z249 &amp;"】已使用此筆資料，故不可刪除!!'" &amp; ",'" &amp; SUBSTITUTE("{'zh_TW': '" &amp;  "【"&amp; $Z249 &amp;"】已使用此筆資料，不可刪除!!"  &amp; "' ,'en_US': '" &amp;  "Have used this information, it can not be deleted !!" &amp; "'  ,'zh_CN': '" &amp; "【"&amp; $Z249 &amp;"】已使用此筆資料，不可刪除!!" &amp; "' }", CHAR(39),CHAR(34))   &amp; "');","")</f>
        <v>#REF!</v>
      </c>
    </row>
    <row r="250" spans="28:28">
      <c r="AB250" s="4" t="e">
        <f>IF(#REF!="Y","INSERT INTO `sys_table_relation` (`TABLE_NAME`, `CHILD_TABLE_NAME`, `SQL_QUERY`, `ERROR_DESC` ,`ERROR_DESC_JSON`) VALUES ('" &amp;$H250 &amp; "', '" &amp; $Y250 &amp; "', '" &amp; "select count(*) from "&amp; $Y250 &amp;" where " &amp; IF(COUNTIF(D:D,"IS_DESTROYED"),"IS_DESTROYED=0 and ","") &amp;   $D250 &amp; "={pid}" &amp; "', " &amp; "'【"&amp; $Z250 &amp;"】已使用此筆資料，故不可刪除!!'" &amp; ",'" &amp; SUBSTITUTE("{'zh_TW': '" &amp;  "【"&amp; $Z250 &amp;"】已使用此筆資料，不可刪除!!"  &amp; "' ,'en_US': '" &amp;  "Have used this information, it can not be deleted !!" &amp; "'  ,'zh_CN': '" &amp; "【"&amp; $Z250 &amp;"】已使用此筆資料，不可刪除!!" &amp; "' }", CHAR(39),CHAR(34))   &amp; "');","")</f>
        <v>#REF!</v>
      </c>
    </row>
    <row r="251" spans="28:28">
      <c r="AB251" s="4" t="e">
        <f>IF(#REF!="Y","INSERT INTO `sys_table_relation` (`TABLE_NAME`, `CHILD_TABLE_NAME`, `SQL_QUERY`, `ERROR_DESC` ,`ERROR_DESC_JSON`) VALUES ('" &amp;$H251 &amp; "', '" &amp; $Y251 &amp; "', '" &amp; "select count(*) from "&amp; $Y251 &amp;" where " &amp; IF(COUNTIF(D:D,"IS_DESTROYED"),"IS_DESTROYED=0 and ","") &amp;   $D251 &amp; "={pid}" &amp; "', " &amp; "'【"&amp; $Z251 &amp;"】已使用此筆資料，故不可刪除!!'" &amp; ",'" &amp; SUBSTITUTE("{'zh_TW': '" &amp;  "【"&amp; $Z251 &amp;"】已使用此筆資料，不可刪除!!"  &amp; "' ,'en_US': '" &amp;  "Have used this information, it can not be deleted !!" &amp; "'  ,'zh_CN': '" &amp; "【"&amp; $Z251 &amp;"】已使用此筆資料，不可刪除!!" &amp; "' }", CHAR(39),CHAR(34))   &amp; "');","")</f>
        <v>#REF!</v>
      </c>
    </row>
    <row r="252" spans="28:28">
      <c r="AB252" s="4" t="e">
        <f>IF(#REF!="Y","INSERT INTO `sys_table_relation` (`TABLE_NAME`, `CHILD_TABLE_NAME`, `SQL_QUERY`, `ERROR_DESC` ,`ERROR_DESC_JSON`) VALUES ('" &amp;$H252 &amp; "', '" &amp; $Y252 &amp; "', '" &amp; "select count(*) from "&amp; $Y252 &amp;" where " &amp; IF(COUNTIF(D:D,"IS_DESTROYED"),"IS_DESTROYED=0 and ","") &amp;   $D252 &amp; "={pid}" &amp; "', " &amp; "'【"&amp; $Z252 &amp;"】已使用此筆資料，故不可刪除!!'" &amp; ",'" &amp; SUBSTITUTE("{'zh_TW': '" &amp;  "【"&amp; $Z252 &amp;"】已使用此筆資料，不可刪除!!"  &amp; "' ,'en_US': '" &amp;  "Have used this information, it can not be deleted !!" &amp; "'  ,'zh_CN': '" &amp; "【"&amp; $Z252 &amp;"】已使用此筆資料，不可刪除!!" &amp; "' }", CHAR(39),CHAR(34))   &amp; "');","")</f>
        <v>#REF!</v>
      </c>
    </row>
    <row r="253" spans="28:28">
      <c r="AB253" s="4" t="e">
        <f>IF(#REF!="Y","INSERT INTO `sys_table_relation` (`TABLE_NAME`, `CHILD_TABLE_NAME`, `SQL_QUERY`, `ERROR_DESC` ,`ERROR_DESC_JSON`) VALUES ('" &amp;$H253 &amp; "', '" &amp; $Y253 &amp; "', '" &amp; "select count(*) from "&amp; $Y253 &amp;" where " &amp; IF(COUNTIF(D:D,"IS_DESTROYED"),"IS_DESTROYED=0 and ","") &amp;   $D253 &amp; "={pid}" &amp; "', " &amp; "'【"&amp; $Z253 &amp;"】已使用此筆資料，故不可刪除!!'" &amp; ",'" &amp; SUBSTITUTE("{'zh_TW': '" &amp;  "【"&amp; $Z253 &amp;"】已使用此筆資料，不可刪除!!"  &amp; "' ,'en_US': '" &amp;  "Have used this information, it can not be deleted !!" &amp; "'  ,'zh_CN': '" &amp; "【"&amp; $Z253 &amp;"】已使用此筆資料，不可刪除!!" &amp; "' }", CHAR(39),CHAR(34))   &amp; "');","")</f>
        <v>#REF!</v>
      </c>
    </row>
    <row r="254" spans="28:28">
      <c r="AB254" s="4" t="e">
        <f>IF(#REF!="Y","INSERT INTO `sys_table_relation` (`TABLE_NAME`, `CHILD_TABLE_NAME`, `SQL_QUERY`, `ERROR_DESC` ,`ERROR_DESC_JSON`) VALUES ('" &amp;$H254 &amp; "', '" &amp; $Y254 &amp; "', '" &amp; "select count(*) from "&amp; $Y254 &amp;" where " &amp; IF(COUNTIF(D:D,"IS_DESTROYED"),"IS_DESTROYED=0 and ","") &amp;   $D254 &amp; "={pid}" &amp; "', " &amp; "'【"&amp; $Z254 &amp;"】已使用此筆資料，故不可刪除!!'" &amp; ",'" &amp; SUBSTITUTE("{'zh_TW': '" &amp;  "【"&amp; $Z254 &amp;"】已使用此筆資料，不可刪除!!"  &amp; "' ,'en_US': '" &amp;  "Have used this information, it can not be deleted !!" &amp; "'  ,'zh_CN': '" &amp; "【"&amp; $Z254 &amp;"】已使用此筆資料，不可刪除!!" &amp; "' }", CHAR(39),CHAR(34))   &amp; "');","")</f>
        <v>#REF!</v>
      </c>
    </row>
    <row r="255" spans="28:28">
      <c r="AB255" s="4" t="e">
        <f>IF(#REF!="Y","INSERT INTO `sys_table_relation` (`TABLE_NAME`, `CHILD_TABLE_NAME`, `SQL_QUERY`, `ERROR_DESC` ,`ERROR_DESC_JSON`) VALUES ('" &amp;$H255 &amp; "', '" &amp; $Y255 &amp; "', '" &amp; "select count(*) from "&amp; $Y255 &amp;" where " &amp; IF(COUNTIF(D:D,"IS_DESTROYED"),"IS_DESTROYED=0 and ","") &amp;   $D255 &amp; "={pid}" &amp; "', " &amp; "'【"&amp; $Z255 &amp;"】已使用此筆資料，故不可刪除!!'" &amp; ",'" &amp; SUBSTITUTE("{'zh_TW': '" &amp;  "【"&amp; $Z255 &amp;"】已使用此筆資料，不可刪除!!"  &amp; "' ,'en_US': '" &amp;  "Have used this information, it can not be deleted !!" &amp; "'  ,'zh_CN': '" &amp; "【"&amp; $Z255 &amp;"】已使用此筆資料，不可刪除!!" &amp; "' }", CHAR(39),CHAR(34))   &amp; "');","")</f>
        <v>#REF!</v>
      </c>
    </row>
    <row r="256" spans="28:28">
      <c r="AB256" s="4" t="e">
        <f>IF(#REF!="Y","INSERT INTO `sys_table_relation` (`TABLE_NAME`, `CHILD_TABLE_NAME`, `SQL_QUERY`, `ERROR_DESC` ,`ERROR_DESC_JSON`) VALUES ('" &amp;$H256 &amp; "', '" &amp; $Y256 &amp; "', '" &amp; "select count(*) from "&amp; $Y256 &amp;" where " &amp; IF(COUNTIF(D:D,"IS_DESTROYED"),"IS_DESTROYED=0 and ","") &amp;   $D256 &amp; "={pid}" &amp; "', " &amp; "'【"&amp; $Z256 &amp;"】已使用此筆資料，故不可刪除!!'" &amp; ",'" &amp; SUBSTITUTE("{'zh_TW': '" &amp;  "【"&amp; $Z256 &amp;"】已使用此筆資料，不可刪除!!"  &amp; "' ,'en_US': '" &amp;  "Have used this information, it can not be deleted !!" &amp; "'  ,'zh_CN': '" &amp; "【"&amp; $Z256 &amp;"】已使用此筆資料，不可刪除!!" &amp; "' }", CHAR(39),CHAR(34))   &amp; "');","")</f>
        <v>#REF!</v>
      </c>
    </row>
    <row r="257" spans="28:28">
      <c r="AB257" s="4" t="e">
        <f>IF(#REF!="Y","INSERT INTO `sys_table_relation` (`TABLE_NAME`, `CHILD_TABLE_NAME`, `SQL_QUERY`, `ERROR_DESC` ,`ERROR_DESC_JSON`) VALUES ('" &amp;$H257 &amp; "', '" &amp; $Y257 &amp; "', '" &amp; "select count(*) from "&amp; $Y257 &amp;" where " &amp; IF(COUNTIF(D:D,"IS_DESTROYED"),"IS_DESTROYED=0 and ","") &amp;   $D257 &amp; "={pid}" &amp; "', " &amp; "'【"&amp; $Z257 &amp;"】已使用此筆資料，故不可刪除!!'" &amp; ",'" &amp; SUBSTITUTE("{'zh_TW': '" &amp;  "【"&amp; $Z257 &amp;"】已使用此筆資料，不可刪除!!"  &amp; "' ,'en_US': '" &amp;  "Have used this information, it can not be deleted !!" &amp; "'  ,'zh_CN': '" &amp; "【"&amp; $Z257 &amp;"】已使用此筆資料，不可刪除!!" &amp; "' }", CHAR(39),CHAR(34))   &amp; "');","")</f>
        <v>#REF!</v>
      </c>
    </row>
    <row r="258" spans="28:28">
      <c r="AB258" s="4" t="e">
        <f>IF(#REF!="Y","INSERT INTO `sys_table_relation` (`TABLE_NAME`, `CHILD_TABLE_NAME`, `SQL_QUERY`, `ERROR_DESC` ,`ERROR_DESC_JSON`) VALUES ('" &amp;$H258 &amp; "', '" &amp; $Y258 &amp; "', '" &amp; "select count(*) from "&amp; $Y258 &amp;" where " &amp; IF(COUNTIF(D:D,"IS_DESTROYED"),"IS_DESTROYED=0 and ","") &amp;   $D258 &amp; "={pid}" &amp; "', " &amp; "'【"&amp; $Z258 &amp;"】已使用此筆資料，故不可刪除!!'" &amp; ",'" &amp; SUBSTITUTE("{'zh_TW': '" &amp;  "【"&amp; $Z258 &amp;"】已使用此筆資料，不可刪除!!"  &amp; "' ,'en_US': '" &amp;  "Have used this information, it can not be deleted !!" &amp; "'  ,'zh_CN': '" &amp; "【"&amp; $Z258 &amp;"】已使用此筆資料，不可刪除!!" &amp; "' }", CHAR(39),CHAR(34))   &amp; "');","")</f>
        <v>#REF!</v>
      </c>
    </row>
    <row r="259" spans="28:28">
      <c r="AB259" s="4" t="e">
        <f>IF(#REF!="Y","INSERT INTO `sys_table_relation` (`TABLE_NAME`, `CHILD_TABLE_NAME`, `SQL_QUERY`, `ERROR_DESC` ,`ERROR_DESC_JSON`) VALUES ('" &amp;$H259 &amp; "', '" &amp; $Y259 &amp; "', '" &amp; "select count(*) from "&amp; $Y259 &amp;" where " &amp; IF(COUNTIF(D:D,"IS_DESTROYED"),"IS_DESTROYED=0 and ","") &amp;   $D259 &amp; "={pid}" &amp; "', " &amp; "'【"&amp; $Z259 &amp;"】已使用此筆資料，故不可刪除!!'" &amp; ",'" &amp; SUBSTITUTE("{'zh_TW': '" &amp;  "【"&amp; $Z259 &amp;"】已使用此筆資料，不可刪除!!"  &amp; "' ,'en_US': '" &amp;  "Have used this information, it can not be deleted !!" &amp; "'  ,'zh_CN': '" &amp; "【"&amp; $Z259 &amp;"】已使用此筆資料，不可刪除!!" &amp; "' }", CHAR(39),CHAR(34))   &amp; "');","")</f>
        <v>#REF!</v>
      </c>
    </row>
    <row r="260" spans="28:28">
      <c r="AB260" s="4" t="e">
        <f>IF(#REF!="Y","INSERT INTO `sys_table_relation` (`TABLE_NAME`, `CHILD_TABLE_NAME`, `SQL_QUERY`, `ERROR_DESC` ,`ERROR_DESC_JSON`) VALUES ('" &amp;$H260 &amp; "', '" &amp; $Y260 &amp; "', '" &amp; "select count(*) from "&amp; $Y260 &amp;" where " &amp; IF(COUNTIF(D:D,"IS_DESTROYED"),"IS_DESTROYED=0 and ","") &amp;   $D260 &amp; "={pid}" &amp; "', " &amp; "'【"&amp; $Z260 &amp;"】已使用此筆資料，故不可刪除!!'" &amp; ",'" &amp; SUBSTITUTE("{'zh_TW': '" &amp;  "【"&amp; $Z260 &amp;"】已使用此筆資料，不可刪除!!"  &amp; "' ,'en_US': '" &amp;  "Have used this information, it can not be deleted !!" &amp; "'  ,'zh_CN': '" &amp; "【"&amp; $Z260 &amp;"】已使用此筆資料，不可刪除!!" &amp; "' }", CHAR(39),CHAR(34))   &amp; "');","")</f>
        <v>#REF!</v>
      </c>
    </row>
    <row r="261" spans="28:28">
      <c r="AB261" s="4" t="e">
        <f>IF(#REF!="Y","INSERT INTO `sys_table_relation` (`TABLE_NAME`, `CHILD_TABLE_NAME`, `SQL_QUERY`, `ERROR_DESC` ,`ERROR_DESC_JSON`) VALUES ('" &amp;$H261 &amp; "', '" &amp; $Y261 &amp; "', '" &amp; "select count(*) from "&amp; $Y261 &amp;" where " &amp; IF(COUNTIF(D:D,"IS_DESTROYED"),"IS_DESTROYED=0 and ","") &amp;   $D261 &amp; "={pid}" &amp; "', " &amp; "'【"&amp; $Z261 &amp;"】已使用此筆資料，故不可刪除!!'" &amp; ",'" &amp; SUBSTITUTE("{'zh_TW': '" &amp;  "【"&amp; $Z261 &amp;"】已使用此筆資料，不可刪除!!"  &amp; "' ,'en_US': '" &amp;  "Have used this information, it can not be deleted !!" &amp; "'  ,'zh_CN': '" &amp; "【"&amp; $Z261 &amp;"】已使用此筆資料，不可刪除!!" &amp; "' }", CHAR(39),CHAR(34))   &amp; "');","")</f>
        <v>#REF!</v>
      </c>
    </row>
    <row r="262" spans="28:28">
      <c r="AB262" s="4" t="e">
        <f>IF(#REF!="Y","INSERT INTO `sys_table_relation` (`TABLE_NAME`, `CHILD_TABLE_NAME`, `SQL_QUERY`, `ERROR_DESC` ,`ERROR_DESC_JSON`) VALUES ('" &amp;$H262 &amp; "', '" &amp; $Y262 &amp; "', '" &amp; "select count(*) from "&amp; $Y262 &amp;" where " &amp; IF(COUNTIF(D:D,"IS_DESTROYED"),"IS_DESTROYED=0 and ","") &amp;   $D262 &amp; "={pid}" &amp; "', " &amp; "'【"&amp; $Z262 &amp;"】已使用此筆資料，故不可刪除!!'" &amp; ",'" &amp; SUBSTITUTE("{'zh_TW': '" &amp;  "【"&amp; $Z262 &amp;"】已使用此筆資料，不可刪除!!"  &amp; "' ,'en_US': '" &amp;  "Have used this information, it can not be deleted !!" &amp; "'  ,'zh_CN': '" &amp; "【"&amp; $Z262 &amp;"】已使用此筆資料，不可刪除!!" &amp; "' }", CHAR(39),CHAR(34))   &amp; "');","")</f>
        <v>#REF!</v>
      </c>
    </row>
    <row r="263" spans="28:28">
      <c r="AB263" s="4" t="e">
        <f>IF(#REF!="Y","INSERT INTO `sys_table_relation` (`TABLE_NAME`, `CHILD_TABLE_NAME`, `SQL_QUERY`, `ERROR_DESC` ,`ERROR_DESC_JSON`) VALUES ('" &amp;$H263 &amp; "', '" &amp; $Y263 &amp; "', '" &amp; "select count(*) from "&amp; $Y263 &amp;" where " &amp; IF(COUNTIF(D:D,"IS_DESTROYED"),"IS_DESTROYED=0 and ","") &amp;   $D263 &amp; "={pid}" &amp; "', " &amp; "'【"&amp; $Z263 &amp;"】已使用此筆資料，故不可刪除!!'" &amp; ",'" &amp; SUBSTITUTE("{'zh_TW': '" &amp;  "【"&amp; $Z263 &amp;"】已使用此筆資料，不可刪除!!"  &amp; "' ,'en_US': '" &amp;  "Have used this information, it can not be deleted !!" &amp; "'  ,'zh_CN': '" &amp; "【"&amp; $Z263 &amp;"】已使用此筆資料，不可刪除!!" &amp; "' }", CHAR(39),CHAR(34))   &amp; "');","")</f>
        <v>#REF!</v>
      </c>
    </row>
    <row r="264" spans="28:28">
      <c r="AB264" s="4" t="e">
        <f>IF(#REF!="Y","INSERT INTO `sys_table_relation` (`TABLE_NAME`, `CHILD_TABLE_NAME`, `SQL_QUERY`, `ERROR_DESC` ,`ERROR_DESC_JSON`) VALUES ('" &amp;$H264 &amp; "', '" &amp; $Y264 &amp; "', '" &amp; "select count(*) from "&amp; $Y264 &amp;" where " &amp; IF(COUNTIF(D:D,"IS_DESTROYED"),"IS_DESTROYED=0 and ","") &amp;   $D264 &amp; "={pid}" &amp; "', " &amp; "'【"&amp; $Z264 &amp;"】已使用此筆資料，故不可刪除!!'" &amp; ",'" &amp; SUBSTITUTE("{'zh_TW': '" &amp;  "【"&amp; $Z264 &amp;"】已使用此筆資料，不可刪除!!"  &amp; "' ,'en_US': '" &amp;  "Have used this information, it can not be deleted !!" &amp; "'  ,'zh_CN': '" &amp; "【"&amp; $Z264 &amp;"】已使用此筆資料，不可刪除!!" &amp; "' }", CHAR(39),CHAR(34))   &amp; "');","")</f>
        <v>#REF!</v>
      </c>
    </row>
    <row r="265" spans="28:28">
      <c r="AB265" s="4" t="e">
        <f>IF(#REF!="Y","INSERT INTO `sys_table_relation` (`TABLE_NAME`, `CHILD_TABLE_NAME`, `SQL_QUERY`, `ERROR_DESC` ,`ERROR_DESC_JSON`) VALUES ('" &amp;$H265 &amp; "', '" &amp; $Y265 &amp; "', '" &amp; "select count(*) from "&amp; $Y265 &amp;" where " &amp; IF(COUNTIF(D:D,"IS_DESTROYED"),"IS_DESTROYED=0 and ","") &amp;   $D265 &amp; "={pid}" &amp; "', " &amp; "'【"&amp; $Z265 &amp;"】已使用此筆資料，故不可刪除!!'" &amp; ",'" &amp; SUBSTITUTE("{'zh_TW': '" &amp;  "【"&amp; $Z265 &amp;"】已使用此筆資料，不可刪除!!"  &amp; "' ,'en_US': '" &amp;  "Have used this information, it can not be deleted !!" &amp; "'  ,'zh_CN': '" &amp; "【"&amp; $Z265 &amp;"】已使用此筆資料，不可刪除!!" &amp; "' }", CHAR(39),CHAR(34))   &amp; "');","")</f>
        <v>#REF!</v>
      </c>
    </row>
    <row r="266" spans="28:28">
      <c r="AB266" s="4" t="e">
        <f>IF(#REF!="Y","INSERT INTO `sys_table_relation` (`TABLE_NAME`, `CHILD_TABLE_NAME`, `SQL_QUERY`, `ERROR_DESC` ,`ERROR_DESC_JSON`) VALUES ('" &amp;$H266 &amp; "', '" &amp; $Y266 &amp; "', '" &amp; "select count(*) from "&amp; $Y266 &amp;" where " &amp; IF(COUNTIF(D:D,"IS_DESTROYED"),"IS_DESTROYED=0 and ","") &amp;   $D266 &amp; "={pid}" &amp; "', " &amp; "'【"&amp; $Z266 &amp;"】已使用此筆資料，故不可刪除!!'" &amp; ",'" &amp; SUBSTITUTE("{'zh_TW': '" &amp;  "【"&amp; $Z266 &amp;"】已使用此筆資料，不可刪除!!"  &amp; "' ,'en_US': '" &amp;  "Have used this information, it can not be deleted !!" &amp; "'  ,'zh_CN': '" &amp; "【"&amp; $Z266 &amp;"】已使用此筆資料，不可刪除!!" &amp; "' }", CHAR(39),CHAR(34))   &amp; "');","")</f>
        <v>#REF!</v>
      </c>
    </row>
    <row r="267" spans="28:28">
      <c r="AB267" s="4" t="e">
        <f>IF(#REF!="Y","INSERT INTO `sys_table_relation` (`TABLE_NAME`, `CHILD_TABLE_NAME`, `SQL_QUERY`, `ERROR_DESC` ,`ERROR_DESC_JSON`) VALUES ('" &amp;$H267 &amp; "', '" &amp; $Y267 &amp; "', '" &amp; "select count(*) from "&amp; $Y267 &amp;" where " &amp; IF(COUNTIF(D:D,"IS_DESTROYED"),"IS_DESTROYED=0 and ","") &amp;   $D267 &amp; "={pid}" &amp; "', " &amp; "'【"&amp; $Z267 &amp;"】已使用此筆資料，故不可刪除!!'" &amp; ",'" &amp; SUBSTITUTE("{'zh_TW': '" &amp;  "【"&amp; $Z267 &amp;"】已使用此筆資料，不可刪除!!"  &amp; "' ,'en_US': '" &amp;  "Have used this information, it can not be deleted !!" &amp; "'  ,'zh_CN': '" &amp; "【"&amp; $Z267 &amp;"】已使用此筆資料，不可刪除!!" &amp; "' }", CHAR(39),CHAR(34))   &amp; "');","")</f>
        <v>#REF!</v>
      </c>
    </row>
    <row r="268" spans="28:28">
      <c r="AB268" s="4" t="e">
        <f>IF(#REF!="Y","INSERT INTO `sys_table_relation` (`TABLE_NAME`, `CHILD_TABLE_NAME`, `SQL_QUERY`, `ERROR_DESC` ,`ERROR_DESC_JSON`) VALUES ('" &amp;$H268 &amp; "', '" &amp; $Y268 &amp; "', '" &amp; "select count(*) from "&amp; $Y268 &amp;" where " &amp; IF(COUNTIF(D:D,"IS_DESTROYED"),"IS_DESTROYED=0 and ","") &amp;   $D268 &amp; "={pid}" &amp; "', " &amp; "'【"&amp; $Z268 &amp;"】已使用此筆資料，故不可刪除!!'" &amp; ",'" &amp; SUBSTITUTE("{'zh_TW': '" &amp;  "【"&amp; $Z268 &amp;"】已使用此筆資料，不可刪除!!"  &amp; "' ,'en_US': '" &amp;  "Have used this information, it can not be deleted !!" &amp; "'  ,'zh_CN': '" &amp; "【"&amp; $Z268 &amp;"】已使用此筆資料，不可刪除!!" &amp; "' }", CHAR(39),CHAR(34))   &amp; "');","")</f>
        <v>#REF!</v>
      </c>
    </row>
    <row r="269" spans="28:28">
      <c r="AB269" s="4" t="e">
        <f>IF(#REF!="Y","INSERT INTO `sys_table_relation` (`TABLE_NAME`, `CHILD_TABLE_NAME`, `SQL_QUERY`, `ERROR_DESC` ,`ERROR_DESC_JSON`) VALUES ('" &amp;$H269 &amp; "', '" &amp; $Y269 &amp; "', '" &amp; "select count(*) from "&amp; $Y269 &amp;" where " &amp; IF(COUNTIF(D:D,"IS_DESTROYED"),"IS_DESTROYED=0 and ","") &amp;   $D269 &amp; "={pid}" &amp; "', " &amp; "'【"&amp; $Z269 &amp;"】已使用此筆資料，故不可刪除!!'" &amp; ",'" &amp; SUBSTITUTE("{'zh_TW': '" &amp;  "【"&amp; $Z269 &amp;"】已使用此筆資料，不可刪除!!"  &amp; "' ,'en_US': '" &amp;  "Have used this information, it can not be deleted !!" &amp; "'  ,'zh_CN': '" &amp; "【"&amp; $Z269 &amp;"】已使用此筆資料，不可刪除!!" &amp; "' }", CHAR(39),CHAR(34))   &amp; "');","")</f>
        <v>#REF!</v>
      </c>
    </row>
    <row r="270" spans="28:28">
      <c r="AB270" s="4" t="e">
        <f>IF(#REF!="Y","INSERT INTO `sys_table_relation` (`TABLE_NAME`, `CHILD_TABLE_NAME`, `SQL_QUERY`, `ERROR_DESC` ,`ERROR_DESC_JSON`) VALUES ('" &amp;$H270 &amp; "', '" &amp; $Y270 &amp; "', '" &amp; "select count(*) from "&amp; $Y270 &amp;" where " &amp; IF(COUNTIF(D:D,"IS_DESTROYED"),"IS_DESTROYED=0 and ","") &amp;   $D270 &amp; "={pid}" &amp; "', " &amp; "'【"&amp; $Z270 &amp;"】已使用此筆資料，故不可刪除!!'" &amp; ",'" &amp; SUBSTITUTE("{'zh_TW': '" &amp;  "【"&amp; $Z270 &amp;"】已使用此筆資料，不可刪除!!"  &amp; "' ,'en_US': '" &amp;  "Have used this information, it can not be deleted !!" &amp; "'  ,'zh_CN': '" &amp; "【"&amp; $Z270 &amp;"】已使用此筆資料，不可刪除!!" &amp; "' }", CHAR(39),CHAR(34))   &amp; "');","")</f>
        <v>#REF!</v>
      </c>
    </row>
    <row r="271" spans="28:28">
      <c r="AB271" s="4" t="e">
        <f>IF(#REF!="Y","INSERT INTO `sys_table_relation` (`TABLE_NAME`, `CHILD_TABLE_NAME`, `SQL_QUERY`, `ERROR_DESC` ,`ERROR_DESC_JSON`) VALUES ('" &amp;$H271 &amp; "', '" &amp; $Y271 &amp; "', '" &amp; "select count(*) from "&amp; $Y271 &amp;" where " &amp; IF(COUNTIF(D:D,"IS_DESTROYED"),"IS_DESTROYED=0 and ","") &amp;   $D271 &amp; "={pid}" &amp; "', " &amp; "'【"&amp; $Z271 &amp;"】已使用此筆資料，故不可刪除!!'" &amp; ",'" &amp; SUBSTITUTE("{'zh_TW': '" &amp;  "【"&amp; $Z271 &amp;"】已使用此筆資料，不可刪除!!"  &amp; "' ,'en_US': '" &amp;  "Have used this information, it can not be deleted !!" &amp; "'  ,'zh_CN': '" &amp; "【"&amp; $Z271 &amp;"】已使用此筆資料，不可刪除!!" &amp; "' }", CHAR(39),CHAR(34))   &amp; "');","")</f>
        <v>#REF!</v>
      </c>
    </row>
    <row r="272" spans="28:28" ht="16.5" customHeight="1"/>
    <row r="273" ht="16.5" customHeight="1"/>
    <row r="274" ht="16.5" customHeight="1"/>
    <row r="275" ht="16.5" customHeight="1"/>
  </sheetData>
  <mergeCells count="6">
    <mergeCell ref="B7:E7"/>
    <mergeCell ref="F7:I7"/>
    <mergeCell ref="B1:E1"/>
    <mergeCell ref="F1:I1"/>
    <mergeCell ref="B2:E2"/>
    <mergeCell ref="F2:I2"/>
  </mergeCells>
  <phoneticPr fontId="5" type="noConversion"/>
  <pageMargins left="0.7" right="0.7" top="0.75" bottom="0.75" header="0.3" footer="0.3"/>
  <pageSetup paperSize="9" orientation="portrait" horizontalDpi="0" verticalDpi="0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4824B13-F9CE-4907-BDCC-96268DC91903}">
  <sheetPr codeName="工作表15"/>
  <dimension ref="A1:I18"/>
  <sheetViews>
    <sheetView workbookViewId="0"/>
  </sheetViews>
  <sheetFormatPr defaultColWidth="6.625" defaultRowHeight="13.5"/>
  <cols>
    <col min="1" max="1" width="3.125" style="4" bestFit="1" customWidth="1"/>
    <col min="2" max="2" width="5.5" style="8" customWidth="1"/>
    <col min="3" max="3" width="18.5" style="4" bestFit="1" customWidth="1"/>
    <col min="4" max="4" width="18.625" style="4" customWidth="1"/>
    <col min="5" max="5" width="11.125" style="4" bestFit="1" customWidth="1"/>
    <col min="6" max="6" width="15.5" style="4" customWidth="1"/>
    <col min="7" max="7" width="27.125" style="4" customWidth="1"/>
    <col min="8" max="8" width="28.625" style="4" customWidth="1"/>
    <col min="9" max="9" width="27" style="4" customWidth="1"/>
    <col min="10" max="16384" width="6.625" style="4"/>
  </cols>
  <sheetData>
    <row r="1" spans="1:9" ht="24">
      <c r="A1" s="1" t="e">
        <f ca="1">HYPERLINK("#'介面'!E"&amp;MATCH(VALUE(RIGHT(CELL("filename"),LEN(CELL("filename"))-FIND("]",CELL("filename")))),介面!D:D,"0"),"←")</f>
        <v>#VALUE!</v>
      </c>
      <c r="B1" s="207" t="s">
        <v>50</v>
      </c>
      <c r="C1" s="208"/>
      <c r="D1" s="208"/>
      <c r="E1" s="209"/>
      <c r="F1" s="207" t="s">
        <v>449</v>
      </c>
      <c r="G1" s="208"/>
      <c r="H1" s="208"/>
      <c r="I1" s="208"/>
    </row>
    <row r="2" spans="1:9" ht="24">
      <c r="A2" s="1"/>
      <c r="B2" s="210" t="s">
        <v>275</v>
      </c>
      <c r="C2" s="211"/>
      <c r="D2" s="211"/>
      <c r="E2" s="212"/>
      <c r="F2" s="210"/>
      <c r="G2" s="211"/>
      <c r="H2" s="211"/>
      <c r="I2" s="212"/>
    </row>
    <row r="3" spans="1:9" s="8" customFormat="1" ht="15">
      <c r="A3" s="6"/>
      <c r="B3" s="7" t="s">
        <v>276</v>
      </c>
      <c r="C3" s="56" t="s">
        <v>277</v>
      </c>
      <c r="D3" s="56" t="s">
        <v>278</v>
      </c>
      <c r="E3" s="57" t="s">
        <v>279</v>
      </c>
      <c r="F3" s="57" t="s">
        <v>280</v>
      </c>
      <c r="G3" s="56" t="s">
        <v>281</v>
      </c>
      <c r="H3" s="56" t="s">
        <v>11</v>
      </c>
      <c r="I3" s="56" t="s">
        <v>282</v>
      </c>
    </row>
    <row r="4" spans="1:9" s="24" customFormat="1" ht="15.75">
      <c r="A4" s="25"/>
      <c r="B4" s="46">
        <v>1</v>
      </c>
      <c r="C4" s="80" t="s">
        <v>297</v>
      </c>
      <c r="D4" s="80" t="s">
        <v>298</v>
      </c>
      <c r="E4" s="81" t="s">
        <v>285</v>
      </c>
      <c r="F4" s="81">
        <v>500</v>
      </c>
      <c r="G4" s="66" t="s">
        <v>330</v>
      </c>
      <c r="H4" s="142" t="s">
        <v>302</v>
      </c>
      <c r="I4" s="66" t="s">
        <v>287</v>
      </c>
    </row>
    <row r="5" spans="1:9" s="24" customFormat="1" ht="15">
      <c r="A5" s="25"/>
      <c r="B5" s="46">
        <f>B4+1</f>
        <v>2</v>
      </c>
      <c r="C5" s="50" t="s">
        <v>303</v>
      </c>
      <c r="D5" s="76" t="s">
        <v>304</v>
      </c>
      <c r="E5" s="51" t="s">
        <v>296</v>
      </c>
      <c r="F5" s="51">
        <v>20</v>
      </c>
      <c r="G5" s="66" t="s">
        <v>331</v>
      </c>
      <c r="H5" s="66"/>
      <c r="I5" s="66" t="s">
        <v>287</v>
      </c>
    </row>
    <row r="6" spans="1:9" ht="15.75">
      <c r="A6" s="1"/>
      <c r="B6" s="2"/>
      <c r="C6" s="3"/>
      <c r="D6" s="3"/>
      <c r="E6" s="3"/>
      <c r="F6" s="3"/>
      <c r="G6" s="3"/>
      <c r="H6" s="3"/>
      <c r="I6" s="3"/>
    </row>
    <row r="7" spans="1:9" ht="24">
      <c r="A7" s="1"/>
      <c r="B7" s="204" t="s">
        <v>291</v>
      </c>
      <c r="C7" s="205"/>
      <c r="D7" s="205"/>
      <c r="E7" s="206"/>
      <c r="F7" s="204"/>
      <c r="G7" s="205"/>
      <c r="H7" s="205"/>
      <c r="I7" s="206"/>
    </row>
    <row r="8" spans="1:9" s="8" customFormat="1" ht="15">
      <c r="A8" s="6"/>
      <c r="B8" s="7" t="s">
        <v>276</v>
      </c>
      <c r="C8" s="56" t="s">
        <v>277</v>
      </c>
      <c r="D8" s="56" t="s">
        <v>278</v>
      </c>
      <c r="E8" s="57" t="s">
        <v>279</v>
      </c>
      <c r="F8" s="57" t="s">
        <v>280</v>
      </c>
      <c r="G8" s="56" t="s">
        <v>11</v>
      </c>
      <c r="H8" s="56" t="s">
        <v>292</v>
      </c>
      <c r="I8" s="56" t="s">
        <v>293</v>
      </c>
    </row>
    <row r="9" spans="1:9" s="24" customFormat="1" ht="15">
      <c r="A9" s="25"/>
      <c r="B9" s="23">
        <f>1</f>
        <v>1</v>
      </c>
      <c r="C9" s="71" t="s">
        <v>450</v>
      </c>
      <c r="D9" s="71" t="s">
        <v>451</v>
      </c>
      <c r="E9" s="72" t="s">
        <v>452</v>
      </c>
      <c r="F9" s="72">
        <v>20</v>
      </c>
      <c r="G9" s="73"/>
      <c r="H9" s="73"/>
      <c r="I9" s="73"/>
    </row>
    <row r="10" spans="1:9" s="24" customFormat="1" ht="15">
      <c r="A10" s="25"/>
      <c r="B10" s="23">
        <f t="shared" ref="B10:B15" si="0">B9+1</f>
        <v>2</v>
      </c>
      <c r="C10" s="120" t="s">
        <v>453</v>
      </c>
      <c r="D10" s="120" t="s">
        <v>304</v>
      </c>
      <c r="E10" s="74" t="s">
        <v>452</v>
      </c>
      <c r="F10" s="74">
        <v>20</v>
      </c>
      <c r="G10" s="119"/>
      <c r="H10" s="73" t="s">
        <v>41</v>
      </c>
      <c r="I10" s="73" t="s">
        <v>304</v>
      </c>
    </row>
    <row r="11" spans="1:9" s="24" customFormat="1" ht="15">
      <c r="A11" s="25"/>
      <c r="B11" s="23">
        <f t="shared" si="0"/>
        <v>3</v>
      </c>
      <c r="C11" s="71" t="s">
        <v>454</v>
      </c>
      <c r="D11" s="71" t="s">
        <v>455</v>
      </c>
      <c r="E11" s="72" t="s">
        <v>456</v>
      </c>
      <c r="F11" s="72">
        <v>20</v>
      </c>
      <c r="G11" s="73"/>
      <c r="H11" s="73"/>
      <c r="I11" s="73"/>
    </row>
    <row r="12" spans="1:9" s="24" customFormat="1" ht="15">
      <c r="A12" s="22"/>
      <c r="B12" s="23">
        <f t="shared" si="0"/>
        <v>4</v>
      </c>
      <c r="C12" s="71" t="s">
        <v>457</v>
      </c>
      <c r="D12" s="71" t="s">
        <v>458</v>
      </c>
      <c r="E12" s="74" t="s">
        <v>456</v>
      </c>
      <c r="F12" s="72">
        <v>50</v>
      </c>
      <c r="G12" s="73"/>
      <c r="H12" s="73"/>
      <c r="I12" s="73"/>
    </row>
    <row r="13" spans="1:9" s="24" customFormat="1" ht="15">
      <c r="A13" s="22"/>
      <c r="B13" s="23">
        <f t="shared" si="0"/>
        <v>5</v>
      </c>
      <c r="C13" s="71" t="s">
        <v>459</v>
      </c>
      <c r="D13" s="71" t="s">
        <v>460</v>
      </c>
      <c r="E13" s="74" t="s">
        <v>456</v>
      </c>
      <c r="F13" s="72">
        <v>500</v>
      </c>
      <c r="G13" s="73"/>
      <c r="H13" s="73"/>
      <c r="I13" s="73"/>
    </row>
    <row r="14" spans="1:9" s="24" customFormat="1" ht="15">
      <c r="A14" s="22"/>
      <c r="B14" s="23">
        <f t="shared" si="0"/>
        <v>6</v>
      </c>
      <c r="C14" s="70" t="s">
        <v>398</v>
      </c>
      <c r="D14" s="71" t="s">
        <v>325</v>
      </c>
      <c r="E14" s="72" t="s">
        <v>326</v>
      </c>
      <c r="F14" s="72">
        <v>4</v>
      </c>
      <c r="G14" s="73" t="s">
        <v>327</v>
      </c>
      <c r="H14" s="28" t="s">
        <v>435</v>
      </c>
      <c r="I14" s="73"/>
    </row>
    <row r="15" spans="1:9" s="24" customFormat="1" ht="15">
      <c r="A15" s="22"/>
      <c r="B15" s="23">
        <f t="shared" si="0"/>
        <v>7</v>
      </c>
      <c r="C15" s="71" t="s">
        <v>311</v>
      </c>
      <c r="D15" s="71" t="s">
        <v>312</v>
      </c>
      <c r="E15" s="74" t="s">
        <v>313</v>
      </c>
      <c r="F15" s="72"/>
      <c r="G15" s="73"/>
      <c r="H15" s="73"/>
      <c r="I15" s="73"/>
    </row>
    <row r="16" spans="1:9" ht="15">
      <c r="B16" s="21"/>
    </row>
    <row r="17" spans="2:2" ht="15">
      <c r="B17" s="45"/>
    </row>
    <row r="18" spans="2:2" ht="15">
      <c r="B18" s="45"/>
    </row>
  </sheetData>
  <mergeCells count="6">
    <mergeCell ref="B7:E7"/>
    <mergeCell ref="F7:I7"/>
    <mergeCell ref="B1:E1"/>
    <mergeCell ref="F1:I1"/>
    <mergeCell ref="B2:E2"/>
    <mergeCell ref="F2:I2"/>
  </mergeCells>
  <phoneticPr fontId="5" type="noConversion"/>
  <pageMargins left="0.7" right="0.7" top="0.75" bottom="0.75" header="0.3" footer="0.3"/>
  <pageSetup paperSize="9" orientation="portrait" horizontalDpi="0" verticalDpi="0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2084E71-0395-4214-88C5-3D01C6197214}">
  <sheetPr codeName="工作表16"/>
  <dimension ref="A1:I21"/>
  <sheetViews>
    <sheetView workbookViewId="0">
      <selection activeCell="F1" sqref="F1:I1"/>
    </sheetView>
  </sheetViews>
  <sheetFormatPr defaultColWidth="6.625" defaultRowHeight="13.5"/>
  <cols>
    <col min="1" max="1" width="3.125" style="4" bestFit="1" customWidth="1"/>
    <col min="2" max="2" width="5.5" style="8" customWidth="1"/>
    <col min="3" max="3" width="18.5" style="4" bestFit="1" customWidth="1"/>
    <col min="4" max="4" width="18.625" style="4" customWidth="1"/>
    <col min="5" max="5" width="11.125" style="4" bestFit="1" customWidth="1"/>
    <col min="6" max="6" width="12.625" style="4" customWidth="1"/>
    <col min="7" max="7" width="18.625" style="4" customWidth="1"/>
    <col min="8" max="8" width="26.5" style="4" customWidth="1"/>
    <col min="9" max="9" width="13.625" style="4" customWidth="1"/>
    <col min="10" max="16384" width="6.625" style="4"/>
  </cols>
  <sheetData>
    <row r="1" spans="1:9" ht="24">
      <c r="A1" s="1" t="e">
        <f ca="1">HYPERLINK("#'介面'!E"&amp;MATCH(VALUE(RIGHT(CELL("filename"),LEN(CELL("filename"))-FIND("]",CELL("filename")))),介面!D:D,"0"),"←")</f>
        <v>#VALUE!</v>
      </c>
      <c r="B1" s="207" t="s">
        <v>461</v>
      </c>
      <c r="C1" s="208"/>
      <c r="D1" s="208"/>
      <c r="E1" s="209"/>
      <c r="F1" s="207" t="s">
        <v>462</v>
      </c>
      <c r="G1" s="208"/>
      <c r="H1" s="208"/>
      <c r="I1" s="208"/>
    </row>
    <row r="2" spans="1:9" ht="24">
      <c r="A2" s="1"/>
      <c r="B2" s="210" t="s">
        <v>275</v>
      </c>
      <c r="C2" s="211"/>
      <c r="D2" s="211"/>
      <c r="E2" s="212"/>
      <c r="F2" s="210"/>
      <c r="G2" s="211"/>
      <c r="H2" s="211"/>
      <c r="I2" s="212"/>
    </row>
    <row r="3" spans="1:9" s="8" customFormat="1" ht="15">
      <c r="A3" s="6"/>
      <c r="B3" s="7" t="s">
        <v>276</v>
      </c>
      <c r="C3" s="56" t="s">
        <v>277</v>
      </c>
      <c r="D3" s="56" t="s">
        <v>278</v>
      </c>
      <c r="E3" s="57" t="s">
        <v>279</v>
      </c>
      <c r="F3" s="57" t="s">
        <v>280</v>
      </c>
      <c r="G3" s="56" t="s">
        <v>281</v>
      </c>
      <c r="H3" s="56" t="s">
        <v>11</v>
      </c>
      <c r="I3" s="56" t="s">
        <v>282</v>
      </c>
    </row>
    <row r="4" spans="1:9" s="24" customFormat="1" ht="15.75">
      <c r="A4" s="25"/>
      <c r="B4" s="46">
        <v>1</v>
      </c>
      <c r="C4" s="80" t="s">
        <v>297</v>
      </c>
      <c r="D4" s="80" t="s">
        <v>298</v>
      </c>
      <c r="E4" s="81" t="s">
        <v>285</v>
      </c>
      <c r="F4" s="81">
        <v>500</v>
      </c>
      <c r="G4" s="66" t="s">
        <v>330</v>
      </c>
      <c r="H4" s="142" t="s">
        <v>302</v>
      </c>
      <c r="I4" s="66" t="s">
        <v>287</v>
      </c>
    </row>
    <row r="5" spans="1:9" s="24" customFormat="1" ht="15">
      <c r="A5" s="25"/>
      <c r="B5" s="46">
        <f>B4+1</f>
        <v>2</v>
      </c>
      <c r="C5" s="50" t="s">
        <v>303</v>
      </c>
      <c r="D5" s="76" t="s">
        <v>304</v>
      </c>
      <c r="E5" s="51" t="s">
        <v>296</v>
      </c>
      <c r="F5" s="51">
        <v>20</v>
      </c>
      <c r="G5" s="66" t="s">
        <v>331</v>
      </c>
      <c r="H5" s="66"/>
      <c r="I5" s="66" t="s">
        <v>287</v>
      </c>
    </row>
    <row r="6" spans="1:9" ht="15.75">
      <c r="A6" s="1"/>
      <c r="B6" s="2"/>
      <c r="C6" s="3"/>
      <c r="D6" s="3"/>
      <c r="E6" s="3"/>
      <c r="F6" s="3"/>
      <c r="G6" s="3"/>
      <c r="H6" s="3"/>
      <c r="I6" s="3"/>
    </row>
    <row r="7" spans="1:9" ht="24">
      <c r="A7" s="1"/>
      <c r="B7" s="204" t="s">
        <v>291</v>
      </c>
      <c r="C7" s="205"/>
      <c r="D7" s="205"/>
      <c r="E7" s="206"/>
      <c r="F7" s="204"/>
      <c r="G7" s="205"/>
      <c r="H7" s="205"/>
      <c r="I7" s="206"/>
    </row>
    <row r="8" spans="1:9" s="8" customFormat="1" ht="15">
      <c r="A8" s="6"/>
      <c r="B8" s="7" t="s">
        <v>276</v>
      </c>
      <c r="C8" s="56" t="s">
        <v>277</v>
      </c>
      <c r="D8" s="56" t="s">
        <v>278</v>
      </c>
      <c r="E8" s="57" t="s">
        <v>279</v>
      </c>
      <c r="F8" s="57" t="s">
        <v>280</v>
      </c>
      <c r="G8" s="56" t="s">
        <v>11</v>
      </c>
      <c r="H8" s="56" t="s">
        <v>292</v>
      </c>
      <c r="I8" s="56" t="s">
        <v>293</v>
      </c>
    </row>
    <row r="9" spans="1:9" ht="15">
      <c r="A9" s="5"/>
      <c r="B9" s="46">
        <v>1</v>
      </c>
      <c r="C9" s="64" t="s">
        <v>463</v>
      </c>
      <c r="D9" s="64" t="s">
        <v>464</v>
      </c>
      <c r="E9" s="62" t="s">
        <v>452</v>
      </c>
      <c r="F9" s="62">
        <v>20</v>
      </c>
      <c r="G9" s="66"/>
      <c r="H9" s="66"/>
      <c r="I9" s="66"/>
    </row>
    <row r="10" spans="1:9" ht="15">
      <c r="A10" s="5"/>
      <c r="B10" s="46">
        <f>B9+1</f>
        <v>2</v>
      </c>
      <c r="C10" s="67" t="s">
        <v>453</v>
      </c>
      <c r="D10" s="67" t="s">
        <v>304</v>
      </c>
      <c r="E10" s="68" t="s">
        <v>452</v>
      </c>
      <c r="F10" s="68">
        <v>20</v>
      </c>
      <c r="G10" s="69"/>
      <c r="H10" s="66" t="s">
        <v>41</v>
      </c>
      <c r="I10" s="66" t="s">
        <v>304</v>
      </c>
    </row>
    <row r="11" spans="1:9" ht="15">
      <c r="A11" s="5"/>
      <c r="B11" s="46">
        <f t="shared" ref="B11:B19" si="0">B10+1</f>
        <v>3</v>
      </c>
      <c r="C11" s="67" t="s">
        <v>465</v>
      </c>
      <c r="D11" s="67" t="s">
        <v>466</v>
      </c>
      <c r="E11" s="68" t="s">
        <v>452</v>
      </c>
      <c r="F11" s="68">
        <v>20</v>
      </c>
      <c r="G11" s="69"/>
      <c r="H11" s="66" t="s">
        <v>50</v>
      </c>
      <c r="I11" s="66" t="s">
        <v>466</v>
      </c>
    </row>
    <row r="12" spans="1:9" s="24" customFormat="1" ht="15">
      <c r="A12" s="25"/>
      <c r="B12" s="23">
        <f t="shared" si="0"/>
        <v>4</v>
      </c>
      <c r="C12" s="71" t="s">
        <v>454</v>
      </c>
      <c r="D12" s="71" t="s">
        <v>455</v>
      </c>
      <c r="E12" s="72" t="s">
        <v>456</v>
      </c>
      <c r="F12" s="72">
        <v>20</v>
      </c>
      <c r="G12" s="73"/>
      <c r="H12" s="73"/>
      <c r="I12" s="73"/>
    </row>
    <row r="13" spans="1:9" s="24" customFormat="1" ht="15">
      <c r="A13" s="22"/>
      <c r="B13" s="23">
        <f t="shared" si="0"/>
        <v>5</v>
      </c>
      <c r="C13" s="71" t="s">
        <v>457</v>
      </c>
      <c r="D13" s="71" t="s">
        <v>458</v>
      </c>
      <c r="E13" s="74" t="s">
        <v>456</v>
      </c>
      <c r="F13" s="72">
        <v>50</v>
      </c>
      <c r="G13" s="73"/>
      <c r="H13" s="73"/>
      <c r="I13" s="73"/>
    </row>
    <row r="14" spans="1:9" s="24" customFormat="1" ht="15">
      <c r="A14" s="22"/>
      <c r="B14" s="23">
        <f t="shared" si="0"/>
        <v>6</v>
      </c>
      <c r="C14" s="71" t="s">
        <v>459</v>
      </c>
      <c r="D14" s="71" t="s">
        <v>460</v>
      </c>
      <c r="E14" s="74" t="s">
        <v>456</v>
      </c>
      <c r="F14" s="72">
        <v>500</v>
      </c>
      <c r="G14" s="73"/>
      <c r="H14" s="73"/>
      <c r="I14" s="73"/>
    </row>
    <row r="15" spans="1:9" s="24" customFormat="1" ht="15">
      <c r="A15" s="22"/>
      <c r="B15" s="23">
        <f>B11+1</f>
        <v>4</v>
      </c>
      <c r="C15" s="71" t="s">
        <v>467</v>
      </c>
      <c r="D15" s="71" t="s">
        <v>468</v>
      </c>
      <c r="E15" s="72" t="s">
        <v>456</v>
      </c>
      <c r="F15" s="72">
        <v>20</v>
      </c>
      <c r="G15" s="73"/>
      <c r="H15" s="73"/>
      <c r="I15" s="73"/>
    </row>
    <row r="16" spans="1:9" s="24" customFormat="1" ht="15">
      <c r="A16" s="22"/>
      <c r="B16" s="23">
        <f t="shared" si="0"/>
        <v>5</v>
      </c>
      <c r="C16" s="71" t="s">
        <v>469</v>
      </c>
      <c r="D16" s="71" t="s">
        <v>432</v>
      </c>
      <c r="E16" s="74" t="s">
        <v>456</v>
      </c>
      <c r="F16" s="72">
        <v>50</v>
      </c>
      <c r="G16" s="73"/>
      <c r="H16" s="73"/>
      <c r="I16" s="73"/>
    </row>
    <row r="17" spans="1:9" s="24" customFormat="1" ht="15">
      <c r="A17" s="22"/>
      <c r="B17" s="23">
        <f t="shared" si="0"/>
        <v>6</v>
      </c>
      <c r="C17" s="71" t="s">
        <v>470</v>
      </c>
      <c r="D17" s="71" t="s">
        <v>471</v>
      </c>
      <c r="E17" s="74" t="s">
        <v>456</v>
      </c>
      <c r="F17" s="72">
        <v>500</v>
      </c>
      <c r="G17" s="73"/>
      <c r="H17" s="73"/>
      <c r="I17" s="73"/>
    </row>
    <row r="18" spans="1:9" ht="15">
      <c r="A18" s="58"/>
      <c r="B18" s="46">
        <f t="shared" si="0"/>
        <v>7</v>
      </c>
      <c r="C18" s="70" t="s">
        <v>398</v>
      </c>
      <c r="D18" s="71" t="s">
        <v>325</v>
      </c>
      <c r="E18" s="72" t="s">
        <v>326</v>
      </c>
      <c r="F18" s="72">
        <v>4</v>
      </c>
      <c r="G18" s="66" t="s">
        <v>327</v>
      </c>
      <c r="H18" s="28" t="s">
        <v>435</v>
      </c>
      <c r="I18" s="73"/>
    </row>
    <row r="19" spans="1:9" ht="15">
      <c r="A19" s="58"/>
      <c r="B19" s="46">
        <f t="shared" si="0"/>
        <v>8</v>
      </c>
      <c r="C19" s="64" t="s">
        <v>311</v>
      </c>
      <c r="D19" s="64" t="s">
        <v>312</v>
      </c>
      <c r="E19" s="74" t="s">
        <v>313</v>
      </c>
      <c r="F19" s="72"/>
      <c r="G19" s="66"/>
      <c r="H19" s="66"/>
      <c r="I19" s="66"/>
    </row>
    <row r="20" spans="1:9" ht="15">
      <c r="B20" s="45"/>
    </row>
    <row r="21" spans="1:9" ht="15">
      <c r="B21" s="45"/>
    </row>
  </sheetData>
  <mergeCells count="6">
    <mergeCell ref="B7:E7"/>
    <mergeCell ref="F7:I7"/>
    <mergeCell ref="B1:E1"/>
    <mergeCell ref="F1:I1"/>
    <mergeCell ref="B2:E2"/>
    <mergeCell ref="F2:I2"/>
  </mergeCells>
  <phoneticPr fontId="5" type="noConversion"/>
  <pageMargins left="0.7" right="0.7" top="0.75" bottom="0.75" header="0.3" footer="0.3"/>
  <pageSetup paperSize="9" orientation="portrait" horizontalDpi="0" verticalDpi="0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1FD000D-EE8F-46FA-BD74-0F70B0C9F337}">
  <sheetPr codeName="工作表17"/>
  <dimension ref="A1:I19"/>
  <sheetViews>
    <sheetView workbookViewId="0">
      <selection activeCell="A16" sqref="A16:IV18"/>
    </sheetView>
  </sheetViews>
  <sheetFormatPr defaultColWidth="6.625" defaultRowHeight="13.5"/>
  <cols>
    <col min="1" max="1" width="3.125" style="4" bestFit="1" customWidth="1"/>
    <col min="2" max="2" width="5.5" style="8" customWidth="1"/>
    <col min="3" max="3" width="18.5" style="4" bestFit="1" customWidth="1"/>
    <col min="4" max="4" width="18.625" style="4" customWidth="1"/>
    <col min="5" max="5" width="11.125" style="4" bestFit="1" customWidth="1"/>
    <col min="6" max="6" width="12.625" style="4" customWidth="1"/>
    <col min="7" max="7" width="18.625" style="4" customWidth="1"/>
    <col min="8" max="8" width="29.125" style="4" customWidth="1"/>
    <col min="9" max="9" width="13.625" style="4" customWidth="1"/>
    <col min="10" max="16384" width="6.625" style="4"/>
  </cols>
  <sheetData>
    <row r="1" spans="1:9" ht="24">
      <c r="A1" s="1" t="e">
        <f ca="1">HYPERLINK("#'介面'!E"&amp;MATCH(VALUE(RIGHT(CELL("filename"),LEN(CELL("filename"))-FIND("]",CELL("filename")))),介面!D:D,"0"),"←")</f>
        <v>#VALUE!</v>
      </c>
      <c r="B1" s="207" t="s">
        <v>472</v>
      </c>
      <c r="C1" s="208"/>
      <c r="D1" s="208"/>
      <c r="E1" s="209"/>
      <c r="F1" s="207" t="s">
        <v>473</v>
      </c>
      <c r="G1" s="208"/>
      <c r="H1" s="208"/>
      <c r="I1" s="208"/>
    </row>
    <row r="2" spans="1:9" ht="24">
      <c r="A2" s="1"/>
      <c r="B2" s="210" t="s">
        <v>275</v>
      </c>
      <c r="C2" s="211"/>
      <c r="D2" s="211"/>
      <c r="E2" s="212"/>
      <c r="F2" s="210"/>
      <c r="G2" s="211"/>
      <c r="H2" s="211"/>
      <c r="I2" s="212"/>
    </row>
    <row r="3" spans="1:9" s="8" customFormat="1" ht="15">
      <c r="A3" s="6"/>
      <c r="B3" s="7" t="s">
        <v>276</v>
      </c>
      <c r="C3" s="56" t="s">
        <v>277</v>
      </c>
      <c r="D3" s="56" t="s">
        <v>278</v>
      </c>
      <c r="E3" s="57" t="s">
        <v>279</v>
      </c>
      <c r="F3" s="57" t="s">
        <v>280</v>
      </c>
      <c r="G3" s="56" t="s">
        <v>281</v>
      </c>
      <c r="H3" s="56" t="s">
        <v>11</v>
      </c>
      <c r="I3" s="56" t="s">
        <v>282</v>
      </c>
    </row>
    <row r="4" spans="1:9" s="24" customFormat="1" ht="15.75">
      <c r="A4" s="25"/>
      <c r="B4" s="46">
        <v>1</v>
      </c>
      <c r="C4" s="80" t="s">
        <v>297</v>
      </c>
      <c r="D4" s="80" t="s">
        <v>298</v>
      </c>
      <c r="E4" s="81" t="s">
        <v>285</v>
      </c>
      <c r="F4" s="81">
        <v>500</v>
      </c>
      <c r="G4" s="66" t="s">
        <v>330</v>
      </c>
      <c r="H4" s="142" t="s">
        <v>302</v>
      </c>
      <c r="I4" s="66" t="s">
        <v>287</v>
      </c>
    </row>
    <row r="5" spans="1:9" s="24" customFormat="1" ht="15">
      <c r="A5" s="25"/>
      <c r="B5" s="46">
        <f>B4+1</f>
        <v>2</v>
      </c>
      <c r="C5" s="50" t="s">
        <v>303</v>
      </c>
      <c r="D5" s="76" t="s">
        <v>304</v>
      </c>
      <c r="E5" s="51" t="s">
        <v>296</v>
      </c>
      <c r="F5" s="51">
        <v>20</v>
      </c>
      <c r="G5" s="66" t="s">
        <v>331</v>
      </c>
      <c r="H5" s="66"/>
      <c r="I5" s="66" t="s">
        <v>287</v>
      </c>
    </row>
    <row r="6" spans="1:9" ht="15.75">
      <c r="A6" s="1"/>
      <c r="B6" s="2"/>
      <c r="C6" s="3"/>
      <c r="D6" s="3"/>
      <c r="E6" s="3"/>
      <c r="F6" s="3"/>
      <c r="G6" s="3"/>
      <c r="H6" s="3"/>
      <c r="I6" s="3"/>
    </row>
    <row r="7" spans="1:9" ht="24">
      <c r="A7" s="1"/>
      <c r="B7" s="204" t="s">
        <v>291</v>
      </c>
      <c r="C7" s="205"/>
      <c r="D7" s="205"/>
      <c r="E7" s="206"/>
      <c r="F7" s="204"/>
      <c r="G7" s="205"/>
      <c r="H7" s="205"/>
      <c r="I7" s="206"/>
    </row>
    <row r="8" spans="1:9" s="8" customFormat="1" ht="15">
      <c r="A8" s="6"/>
      <c r="B8" s="7" t="s">
        <v>276</v>
      </c>
      <c r="C8" s="56" t="s">
        <v>277</v>
      </c>
      <c r="D8" s="56" t="s">
        <v>278</v>
      </c>
      <c r="E8" s="57" t="s">
        <v>279</v>
      </c>
      <c r="F8" s="57" t="s">
        <v>280</v>
      </c>
      <c r="G8" s="56" t="s">
        <v>11</v>
      </c>
      <c r="H8" s="56" t="s">
        <v>292</v>
      </c>
      <c r="I8" s="56" t="s">
        <v>293</v>
      </c>
    </row>
    <row r="9" spans="1:9" ht="15">
      <c r="A9" s="5"/>
      <c r="B9" s="46">
        <v>1</v>
      </c>
      <c r="C9" s="64" t="s">
        <v>474</v>
      </c>
      <c r="D9" s="64" t="s">
        <v>475</v>
      </c>
      <c r="E9" s="62" t="s">
        <v>296</v>
      </c>
      <c r="F9" s="62">
        <v>20</v>
      </c>
      <c r="G9" s="73"/>
      <c r="H9" s="73"/>
      <c r="I9" s="73"/>
    </row>
    <row r="10" spans="1:9" ht="15">
      <c r="A10" s="5"/>
      <c r="B10" s="46">
        <f t="shared" ref="B10:B18" si="0">B9+1</f>
        <v>2</v>
      </c>
      <c r="C10" s="64" t="s">
        <v>303</v>
      </c>
      <c r="D10" s="64" t="s">
        <v>304</v>
      </c>
      <c r="E10" s="62" t="s">
        <v>296</v>
      </c>
      <c r="F10" s="62">
        <v>20</v>
      </c>
      <c r="G10" s="75"/>
      <c r="H10" s="162" t="s">
        <v>41</v>
      </c>
      <c r="I10" s="62" t="s">
        <v>304</v>
      </c>
    </row>
    <row r="11" spans="1:9" ht="15">
      <c r="A11" s="5"/>
      <c r="B11" s="46">
        <f t="shared" si="0"/>
        <v>3</v>
      </c>
      <c r="C11" s="64" t="s">
        <v>476</v>
      </c>
      <c r="D11" s="76" t="s">
        <v>477</v>
      </c>
      <c r="E11" s="62" t="s">
        <v>285</v>
      </c>
      <c r="F11" s="62">
        <v>20</v>
      </c>
      <c r="G11" s="75"/>
      <c r="H11" s="75"/>
      <c r="I11" s="75"/>
    </row>
    <row r="12" spans="1:9" ht="15">
      <c r="A12" s="58"/>
      <c r="B12" s="46">
        <f t="shared" si="0"/>
        <v>4</v>
      </c>
      <c r="C12" s="64" t="s">
        <v>478</v>
      </c>
      <c r="D12" s="76" t="s">
        <v>479</v>
      </c>
      <c r="E12" s="62" t="s">
        <v>285</v>
      </c>
      <c r="F12" s="62">
        <v>100</v>
      </c>
      <c r="G12" s="66"/>
      <c r="H12" s="66"/>
      <c r="I12" s="66"/>
    </row>
    <row r="13" spans="1:9" ht="15">
      <c r="A13" s="58"/>
      <c r="B13" s="46">
        <f t="shared" si="0"/>
        <v>5</v>
      </c>
      <c r="C13" s="64" t="s">
        <v>480</v>
      </c>
      <c r="D13" s="76" t="s">
        <v>481</v>
      </c>
      <c r="E13" s="62" t="s">
        <v>285</v>
      </c>
      <c r="F13" s="62">
        <v>1000</v>
      </c>
      <c r="G13" s="66"/>
      <c r="H13" s="66"/>
      <c r="I13" s="66"/>
    </row>
    <row r="14" spans="1:9" ht="15">
      <c r="A14" s="58"/>
      <c r="B14" s="46">
        <f t="shared" si="0"/>
        <v>6</v>
      </c>
      <c r="C14" s="70" t="s">
        <v>398</v>
      </c>
      <c r="D14" s="71" t="s">
        <v>325</v>
      </c>
      <c r="E14" s="72" t="s">
        <v>326</v>
      </c>
      <c r="F14" s="72">
        <v>4</v>
      </c>
      <c r="G14" s="163" t="s">
        <v>327</v>
      </c>
      <c r="H14" s="28" t="s">
        <v>435</v>
      </c>
      <c r="I14" s="73"/>
    </row>
    <row r="15" spans="1:9" ht="15">
      <c r="A15" s="58"/>
      <c r="B15" s="46">
        <f t="shared" si="0"/>
        <v>7</v>
      </c>
      <c r="C15" s="64" t="s">
        <v>311</v>
      </c>
      <c r="D15" s="64" t="s">
        <v>312</v>
      </c>
      <c r="E15" s="74" t="s">
        <v>313</v>
      </c>
      <c r="F15" s="77"/>
      <c r="G15" s="63"/>
      <c r="H15" s="66"/>
      <c r="I15" s="66"/>
    </row>
    <row r="16" spans="1:9" s="24" customFormat="1" ht="30">
      <c r="A16" s="22"/>
      <c r="B16" s="23">
        <f t="shared" si="0"/>
        <v>8</v>
      </c>
      <c r="C16" s="71" t="s">
        <v>423</v>
      </c>
      <c r="D16" s="26" t="s">
        <v>424</v>
      </c>
      <c r="E16" s="27" t="s">
        <v>296</v>
      </c>
      <c r="F16" s="27">
        <v>20</v>
      </c>
      <c r="G16" s="79" t="s">
        <v>425</v>
      </c>
      <c r="H16" s="73"/>
      <c r="I16" s="73"/>
    </row>
    <row r="17" spans="1:9" s="24" customFormat="1" ht="30">
      <c r="A17" s="22"/>
      <c r="B17" s="23">
        <f t="shared" si="0"/>
        <v>9</v>
      </c>
      <c r="C17" s="71" t="s">
        <v>426</v>
      </c>
      <c r="D17" s="26" t="s">
        <v>427</v>
      </c>
      <c r="E17" s="27" t="s">
        <v>285</v>
      </c>
      <c r="F17" s="27">
        <v>20</v>
      </c>
      <c r="G17" s="79" t="s">
        <v>425</v>
      </c>
      <c r="H17" s="73"/>
      <c r="I17" s="73"/>
    </row>
    <row r="18" spans="1:9" s="24" customFormat="1" ht="15">
      <c r="A18" s="22"/>
      <c r="B18" s="23">
        <f t="shared" si="0"/>
        <v>10</v>
      </c>
      <c r="C18" s="73" t="s">
        <v>428</v>
      </c>
      <c r="D18" s="26" t="s">
        <v>482</v>
      </c>
      <c r="E18" s="182" t="s">
        <v>421</v>
      </c>
      <c r="F18" s="27"/>
      <c r="G18" s="79"/>
      <c r="H18" s="73"/>
      <c r="I18" s="73"/>
    </row>
    <row r="19" spans="1:9" ht="15">
      <c r="B19" s="45"/>
    </row>
  </sheetData>
  <mergeCells count="6">
    <mergeCell ref="B7:E7"/>
    <mergeCell ref="F7:I7"/>
    <mergeCell ref="B1:E1"/>
    <mergeCell ref="F1:I1"/>
    <mergeCell ref="B2:E2"/>
    <mergeCell ref="F2:I2"/>
  </mergeCells>
  <phoneticPr fontId="5" type="noConversion"/>
  <pageMargins left="0.7" right="0.7" top="0.75" bottom="0.75" header="0.3" footer="0.3"/>
  <pageSetup paperSize="9" orientation="portrait" horizontalDpi="0" verticalDpi="0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2CD208B-1DEF-4CEE-83D5-C2F3EDD0D7D1}">
  <sheetPr codeName="工作表19"/>
  <dimension ref="A1:I17"/>
  <sheetViews>
    <sheetView workbookViewId="0"/>
  </sheetViews>
  <sheetFormatPr defaultColWidth="6.625" defaultRowHeight="13.5"/>
  <cols>
    <col min="1" max="1" width="3.125" style="4" bestFit="1" customWidth="1"/>
    <col min="2" max="2" width="5.5" style="8" customWidth="1"/>
    <col min="3" max="3" width="18.5" style="4" bestFit="1" customWidth="1"/>
    <col min="4" max="4" width="18.625" style="4" customWidth="1"/>
    <col min="5" max="5" width="11.125" style="4" bestFit="1" customWidth="1"/>
    <col min="6" max="6" width="12.625" style="4" customWidth="1"/>
    <col min="7" max="7" width="33.625" style="4" customWidth="1"/>
    <col min="8" max="8" width="27.625" style="4" customWidth="1"/>
    <col min="9" max="9" width="13.625" style="4" customWidth="1"/>
    <col min="10" max="16384" width="6.625" style="4"/>
  </cols>
  <sheetData>
    <row r="1" spans="1:9" ht="24">
      <c r="A1" s="1" t="e">
        <f ca="1">HYPERLINK("#'介面'!E"&amp;MATCH(VALUE(RIGHT(CELL("filename"),LEN(CELL("filename"))-FIND("]",CELL("filename")))),介面!D:D,"0"),"←")</f>
        <v>#VALUE!</v>
      </c>
      <c r="B1" s="207" t="s">
        <v>483</v>
      </c>
      <c r="C1" s="208"/>
      <c r="D1" s="208"/>
      <c r="E1" s="209"/>
      <c r="F1" s="207" t="s">
        <v>484</v>
      </c>
      <c r="G1" s="208"/>
      <c r="H1" s="208"/>
      <c r="I1" s="208"/>
    </row>
    <row r="2" spans="1:9" ht="24">
      <c r="A2" s="1"/>
      <c r="B2" s="210" t="s">
        <v>275</v>
      </c>
      <c r="C2" s="211"/>
      <c r="D2" s="211"/>
      <c r="E2" s="212"/>
      <c r="F2" s="210"/>
      <c r="G2" s="211"/>
      <c r="H2" s="211"/>
      <c r="I2" s="212"/>
    </row>
    <row r="3" spans="1:9" s="8" customFormat="1" ht="15">
      <c r="A3" s="6"/>
      <c r="B3" s="7" t="s">
        <v>276</v>
      </c>
      <c r="C3" s="56" t="s">
        <v>277</v>
      </c>
      <c r="D3" s="56" t="s">
        <v>278</v>
      </c>
      <c r="E3" s="57" t="s">
        <v>279</v>
      </c>
      <c r="F3" s="57" t="s">
        <v>280</v>
      </c>
      <c r="G3" s="56" t="s">
        <v>281</v>
      </c>
      <c r="H3" s="56" t="s">
        <v>11</v>
      </c>
      <c r="I3" s="56" t="s">
        <v>282</v>
      </c>
    </row>
    <row r="4" spans="1:9" s="24" customFormat="1" ht="15.75">
      <c r="A4" s="25"/>
      <c r="B4" s="46">
        <v>1</v>
      </c>
      <c r="C4" s="80" t="s">
        <v>297</v>
      </c>
      <c r="D4" s="80" t="s">
        <v>298</v>
      </c>
      <c r="E4" s="81" t="s">
        <v>285</v>
      </c>
      <c r="F4" s="81">
        <v>500</v>
      </c>
      <c r="G4" s="66" t="s">
        <v>330</v>
      </c>
      <c r="H4" s="142" t="s">
        <v>302</v>
      </c>
      <c r="I4" s="66" t="s">
        <v>287</v>
      </c>
    </row>
    <row r="5" spans="1:9" s="24" customFormat="1" ht="15">
      <c r="A5" s="25"/>
      <c r="B5" s="46">
        <f>B4+1</f>
        <v>2</v>
      </c>
      <c r="C5" s="50" t="s">
        <v>303</v>
      </c>
      <c r="D5" s="76" t="s">
        <v>304</v>
      </c>
      <c r="E5" s="51" t="s">
        <v>296</v>
      </c>
      <c r="F5" s="51">
        <v>20</v>
      </c>
      <c r="G5" s="66" t="s">
        <v>331</v>
      </c>
      <c r="H5" s="66"/>
      <c r="I5" s="66" t="s">
        <v>287</v>
      </c>
    </row>
    <row r="6" spans="1:9" ht="15.75">
      <c r="A6" s="1"/>
      <c r="B6" s="2"/>
      <c r="C6" s="3"/>
      <c r="D6" s="3"/>
      <c r="E6" s="3"/>
      <c r="F6" s="3"/>
      <c r="G6" s="3"/>
      <c r="H6" s="3"/>
      <c r="I6" s="3"/>
    </row>
    <row r="7" spans="1:9" ht="24">
      <c r="A7" s="1"/>
      <c r="B7" s="204" t="s">
        <v>291</v>
      </c>
      <c r="C7" s="205"/>
      <c r="D7" s="205"/>
      <c r="E7" s="206"/>
      <c r="F7" s="204"/>
      <c r="G7" s="205"/>
      <c r="H7" s="205"/>
      <c r="I7" s="206"/>
    </row>
    <row r="8" spans="1:9" s="8" customFormat="1" ht="15">
      <c r="A8" s="6"/>
      <c r="B8" s="7" t="s">
        <v>276</v>
      </c>
      <c r="C8" s="56" t="s">
        <v>277</v>
      </c>
      <c r="D8" s="56" t="s">
        <v>278</v>
      </c>
      <c r="E8" s="57" t="s">
        <v>279</v>
      </c>
      <c r="F8" s="57" t="s">
        <v>280</v>
      </c>
      <c r="G8" s="56" t="s">
        <v>11</v>
      </c>
      <c r="H8" s="56" t="s">
        <v>292</v>
      </c>
      <c r="I8" s="56" t="s">
        <v>293</v>
      </c>
    </row>
    <row r="9" spans="1:9" ht="15">
      <c r="A9" s="5"/>
      <c r="B9" s="46">
        <v>1</v>
      </c>
      <c r="C9" s="64" t="s">
        <v>485</v>
      </c>
      <c r="D9" s="64" t="s">
        <v>486</v>
      </c>
      <c r="E9" s="62" t="s">
        <v>452</v>
      </c>
      <c r="F9" s="62">
        <v>20</v>
      </c>
      <c r="G9" s="66"/>
      <c r="H9" s="66"/>
      <c r="I9" s="66"/>
    </row>
    <row r="10" spans="1:9" ht="15">
      <c r="A10" s="5"/>
      <c r="B10" s="46">
        <f t="shared" ref="B10:B15" si="0">B9+1</f>
        <v>2</v>
      </c>
      <c r="C10" s="67" t="s">
        <v>453</v>
      </c>
      <c r="D10" s="67" t="s">
        <v>304</v>
      </c>
      <c r="E10" s="68" t="s">
        <v>452</v>
      </c>
      <c r="F10" s="68">
        <v>20</v>
      </c>
      <c r="G10" s="69"/>
      <c r="H10" s="66" t="s">
        <v>41</v>
      </c>
      <c r="I10" s="66" t="s">
        <v>304</v>
      </c>
    </row>
    <row r="11" spans="1:9" ht="15">
      <c r="A11" s="5"/>
      <c r="B11" s="46">
        <f t="shared" si="0"/>
        <v>3</v>
      </c>
      <c r="C11" s="64" t="s">
        <v>487</v>
      </c>
      <c r="D11" s="64" t="s">
        <v>488</v>
      </c>
      <c r="E11" s="62" t="s">
        <v>456</v>
      </c>
      <c r="F11" s="62">
        <v>20</v>
      </c>
      <c r="G11" s="66"/>
      <c r="H11" s="66"/>
      <c r="I11" s="66"/>
    </row>
    <row r="12" spans="1:9" ht="15">
      <c r="A12" s="58"/>
      <c r="B12" s="46">
        <f t="shared" si="0"/>
        <v>4</v>
      </c>
      <c r="C12" s="64" t="s">
        <v>489</v>
      </c>
      <c r="D12" s="64" t="s">
        <v>490</v>
      </c>
      <c r="E12" s="68" t="s">
        <v>456</v>
      </c>
      <c r="F12" s="62">
        <v>100</v>
      </c>
      <c r="G12" s="66"/>
      <c r="H12" s="66"/>
      <c r="I12" s="66"/>
    </row>
    <row r="13" spans="1:9" ht="15">
      <c r="A13" s="58"/>
      <c r="B13" s="46">
        <f t="shared" si="0"/>
        <v>5</v>
      </c>
      <c r="C13" s="64" t="s">
        <v>491</v>
      </c>
      <c r="D13" s="64" t="s">
        <v>492</v>
      </c>
      <c r="E13" s="68" t="s">
        <v>456</v>
      </c>
      <c r="F13" s="62">
        <v>1000</v>
      </c>
      <c r="G13" s="66"/>
      <c r="H13" s="66"/>
      <c r="I13" s="66"/>
    </row>
    <row r="14" spans="1:9" ht="15">
      <c r="A14" s="58"/>
      <c r="B14" s="46">
        <f t="shared" si="0"/>
        <v>6</v>
      </c>
      <c r="C14" s="70" t="s">
        <v>398</v>
      </c>
      <c r="D14" s="71" t="s">
        <v>325</v>
      </c>
      <c r="E14" s="72" t="s">
        <v>326</v>
      </c>
      <c r="F14" s="72">
        <v>4</v>
      </c>
      <c r="G14" s="66" t="s">
        <v>327</v>
      </c>
      <c r="H14" s="28" t="s">
        <v>435</v>
      </c>
      <c r="I14" s="73"/>
    </row>
    <row r="15" spans="1:9" ht="15">
      <c r="A15" s="58"/>
      <c r="B15" s="46">
        <f t="shared" si="0"/>
        <v>7</v>
      </c>
      <c r="C15" s="64" t="s">
        <v>493</v>
      </c>
      <c r="D15" s="64" t="s">
        <v>494</v>
      </c>
      <c r="E15" s="74" t="s">
        <v>313</v>
      </c>
      <c r="F15" s="77"/>
      <c r="G15" s="66"/>
      <c r="H15" s="66"/>
      <c r="I15" s="66"/>
    </row>
    <row r="16" spans="1:9" ht="15">
      <c r="B16" s="45"/>
    </row>
    <row r="17" spans="2:2" ht="15">
      <c r="B17" s="45"/>
    </row>
  </sheetData>
  <mergeCells count="6">
    <mergeCell ref="B7:E7"/>
    <mergeCell ref="F7:I7"/>
    <mergeCell ref="B1:E1"/>
    <mergeCell ref="F1:I1"/>
    <mergeCell ref="B2:E2"/>
    <mergeCell ref="F2:I2"/>
  </mergeCells>
  <phoneticPr fontId="5" type="noConversion"/>
  <pageMargins left="0.7" right="0.7" top="0.75" bottom="0.75" header="0.3" footer="0.3"/>
  <pageSetup paperSize="9" orientation="portrait" horizontalDpi="0" verticalDpi="0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A4C36E7-B32B-48E0-B881-5F5C341B1340}">
  <sheetPr codeName="工作表20"/>
  <dimension ref="A1:I18"/>
  <sheetViews>
    <sheetView workbookViewId="0"/>
  </sheetViews>
  <sheetFormatPr defaultColWidth="6.625" defaultRowHeight="13.5"/>
  <cols>
    <col min="1" max="1" width="3.125" style="4" bestFit="1" customWidth="1"/>
    <col min="2" max="2" width="5.5" style="8" customWidth="1"/>
    <col min="3" max="3" width="18.5" style="4" bestFit="1" customWidth="1"/>
    <col min="4" max="4" width="26.625" style="4" customWidth="1"/>
    <col min="5" max="5" width="11.125" style="4" bestFit="1" customWidth="1"/>
    <col min="6" max="6" width="12.625" style="4" customWidth="1"/>
    <col min="7" max="7" width="18.625" style="4" customWidth="1"/>
    <col min="8" max="8" width="29.625" style="4" customWidth="1"/>
    <col min="9" max="9" width="13.625" style="4" customWidth="1"/>
    <col min="10" max="16384" width="6.625" style="4"/>
  </cols>
  <sheetData>
    <row r="1" spans="1:9" ht="24">
      <c r="A1" s="149" t="e">
        <f ca="1">HYPERLINK("#'介面'!E"&amp;MATCH(VALUE(RIGHT(CELL("filename"),LEN(CELL("filename"))-FIND("]",CELL("filename")))),介面!D:D,"0"),"←")</f>
        <v>#VALUE!</v>
      </c>
      <c r="B1" s="207" t="s">
        <v>58</v>
      </c>
      <c r="C1" s="208"/>
      <c r="D1" s="208"/>
      <c r="E1" s="209"/>
      <c r="F1" s="207" t="s">
        <v>495</v>
      </c>
      <c r="G1" s="208"/>
      <c r="H1" s="208"/>
      <c r="I1" s="208"/>
    </row>
    <row r="2" spans="1:9" ht="24">
      <c r="A2" s="1"/>
      <c r="B2" s="210" t="s">
        <v>275</v>
      </c>
      <c r="C2" s="211"/>
      <c r="D2" s="211"/>
      <c r="E2" s="212"/>
      <c r="F2" s="210"/>
      <c r="G2" s="211"/>
      <c r="H2" s="211"/>
      <c r="I2" s="212"/>
    </row>
    <row r="3" spans="1:9" s="8" customFormat="1" ht="15">
      <c r="A3" s="6"/>
      <c r="B3" s="7" t="s">
        <v>276</v>
      </c>
      <c r="C3" s="56" t="s">
        <v>277</v>
      </c>
      <c r="D3" s="56" t="s">
        <v>278</v>
      </c>
      <c r="E3" s="57" t="s">
        <v>279</v>
      </c>
      <c r="F3" s="57" t="s">
        <v>280</v>
      </c>
      <c r="G3" s="56" t="s">
        <v>281</v>
      </c>
      <c r="H3" s="56" t="s">
        <v>11</v>
      </c>
      <c r="I3" s="56" t="s">
        <v>282</v>
      </c>
    </row>
    <row r="4" spans="1:9" s="24" customFormat="1" ht="15.75">
      <c r="A4" s="25"/>
      <c r="B4" s="46">
        <v>1</v>
      </c>
      <c r="C4" s="80" t="s">
        <v>297</v>
      </c>
      <c r="D4" s="80" t="s">
        <v>298</v>
      </c>
      <c r="E4" s="81" t="s">
        <v>285</v>
      </c>
      <c r="F4" s="81">
        <v>500</v>
      </c>
      <c r="G4" s="66" t="s">
        <v>330</v>
      </c>
      <c r="H4" s="142" t="s">
        <v>302</v>
      </c>
      <c r="I4" s="66" t="s">
        <v>287</v>
      </c>
    </row>
    <row r="5" spans="1:9" s="24" customFormat="1" ht="15">
      <c r="A5" s="25"/>
      <c r="B5" s="46">
        <f>B4+1</f>
        <v>2</v>
      </c>
      <c r="C5" s="50" t="s">
        <v>303</v>
      </c>
      <c r="D5" s="76" t="s">
        <v>304</v>
      </c>
      <c r="E5" s="51" t="s">
        <v>296</v>
      </c>
      <c r="F5" s="51">
        <v>20</v>
      </c>
      <c r="G5" s="66" t="s">
        <v>331</v>
      </c>
      <c r="H5" s="66"/>
      <c r="I5" s="66" t="s">
        <v>287</v>
      </c>
    </row>
    <row r="6" spans="1:9" ht="15.75">
      <c r="A6" s="1"/>
      <c r="B6" s="2"/>
      <c r="C6" s="3"/>
      <c r="D6" s="3"/>
      <c r="E6" s="3"/>
      <c r="F6" s="3"/>
      <c r="G6" s="3"/>
      <c r="H6" s="3"/>
      <c r="I6" s="3"/>
    </row>
    <row r="7" spans="1:9" ht="24">
      <c r="A7" s="1"/>
      <c r="B7" s="204" t="s">
        <v>291</v>
      </c>
      <c r="C7" s="205"/>
      <c r="D7" s="205"/>
      <c r="E7" s="206"/>
      <c r="F7" s="204"/>
      <c r="G7" s="205"/>
      <c r="H7" s="205"/>
      <c r="I7" s="206"/>
    </row>
    <row r="8" spans="1:9" s="8" customFormat="1" ht="15">
      <c r="A8" s="6"/>
      <c r="B8" s="7" t="s">
        <v>276</v>
      </c>
      <c r="C8" s="56" t="s">
        <v>277</v>
      </c>
      <c r="D8" s="56" t="s">
        <v>278</v>
      </c>
      <c r="E8" s="57" t="s">
        <v>279</v>
      </c>
      <c r="F8" s="57" t="s">
        <v>280</v>
      </c>
      <c r="G8" s="56" t="s">
        <v>11</v>
      </c>
      <c r="H8" s="56" t="s">
        <v>292</v>
      </c>
      <c r="I8" s="56" t="s">
        <v>293</v>
      </c>
    </row>
    <row r="9" spans="1:9" ht="15">
      <c r="A9" s="5"/>
      <c r="B9" s="46">
        <v>1</v>
      </c>
      <c r="C9" s="64" t="s">
        <v>496</v>
      </c>
      <c r="D9" s="64" t="s">
        <v>497</v>
      </c>
      <c r="E9" s="62" t="s">
        <v>452</v>
      </c>
      <c r="F9" s="62">
        <v>20</v>
      </c>
      <c r="G9" s="66"/>
      <c r="H9" s="66"/>
      <c r="I9" s="66"/>
    </row>
    <row r="10" spans="1:9" ht="15">
      <c r="A10" s="5"/>
      <c r="B10" s="46">
        <f t="shared" ref="B10:B15" si="0">B9+1</f>
        <v>2</v>
      </c>
      <c r="C10" s="67" t="s">
        <v>453</v>
      </c>
      <c r="D10" s="67" t="s">
        <v>304</v>
      </c>
      <c r="E10" s="68" t="s">
        <v>452</v>
      </c>
      <c r="F10" s="68">
        <v>20</v>
      </c>
      <c r="G10" s="69"/>
      <c r="H10" s="66" t="s">
        <v>41</v>
      </c>
      <c r="I10" s="66" t="s">
        <v>304</v>
      </c>
    </row>
    <row r="11" spans="1:9" ht="15">
      <c r="A11" s="5"/>
      <c r="B11" s="46">
        <f t="shared" si="0"/>
        <v>3</v>
      </c>
      <c r="C11" s="64" t="s">
        <v>498</v>
      </c>
      <c r="D11" s="64" t="s">
        <v>499</v>
      </c>
      <c r="E11" s="62" t="s">
        <v>456</v>
      </c>
      <c r="F11" s="62">
        <v>20</v>
      </c>
      <c r="G11" s="66"/>
      <c r="H11" s="66"/>
      <c r="I11" s="66"/>
    </row>
    <row r="12" spans="1:9" ht="15">
      <c r="A12" s="58"/>
      <c r="B12" s="46">
        <f t="shared" si="0"/>
        <v>4</v>
      </c>
      <c r="C12" s="64" t="s">
        <v>500</v>
      </c>
      <c r="D12" s="64" t="s">
        <v>501</v>
      </c>
      <c r="E12" s="68" t="s">
        <v>456</v>
      </c>
      <c r="F12" s="62">
        <v>100</v>
      </c>
      <c r="G12" s="66"/>
      <c r="H12" s="66"/>
      <c r="I12" s="66"/>
    </row>
    <row r="13" spans="1:9" ht="15">
      <c r="A13" s="58"/>
      <c r="B13" s="46">
        <f t="shared" si="0"/>
        <v>5</v>
      </c>
      <c r="C13" s="64" t="s">
        <v>502</v>
      </c>
      <c r="D13" s="64" t="s">
        <v>503</v>
      </c>
      <c r="E13" s="68" t="s">
        <v>456</v>
      </c>
      <c r="F13" s="62">
        <v>1000</v>
      </c>
      <c r="G13" s="66"/>
      <c r="H13" s="66"/>
      <c r="I13" s="66"/>
    </row>
    <row r="14" spans="1:9" s="24" customFormat="1" ht="15">
      <c r="A14" s="22"/>
      <c r="B14" s="46">
        <f t="shared" si="0"/>
        <v>6</v>
      </c>
      <c r="C14" s="70" t="s">
        <v>398</v>
      </c>
      <c r="D14" s="71" t="s">
        <v>325</v>
      </c>
      <c r="E14" s="72" t="s">
        <v>326</v>
      </c>
      <c r="F14" s="72">
        <v>4</v>
      </c>
      <c r="G14" s="66" t="s">
        <v>400</v>
      </c>
      <c r="H14" s="28" t="s">
        <v>435</v>
      </c>
      <c r="I14" s="73"/>
    </row>
    <row r="15" spans="1:9" ht="15">
      <c r="A15" s="58"/>
      <c r="B15" s="46">
        <f t="shared" si="0"/>
        <v>7</v>
      </c>
      <c r="C15" s="64" t="s">
        <v>493</v>
      </c>
      <c r="D15" s="64" t="s">
        <v>494</v>
      </c>
      <c r="E15" s="74" t="s">
        <v>313</v>
      </c>
      <c r="F15" s="77"/>
      <c r="G15" s="66"/>
      <c r="H15" s="66"/>
      <c r="I15" s="66"/>
    </row>
    <row r="16" spans="1:9" ht="15">
      <c r="B16" s="21"/>
    </row>
    <row r="17" spans="2:2" ht="15">
      <c r="B17" s="45"/>
    </row>
    <row r="18" spans="2:2" ht="15">
      <c r="B18" s="45"/>
    </row>
  </sheetData>
  <mergeCells count="6">
    <mergeCell ref="B7:E7"/>
    <mergeCell ref="F7:I7"/>
    <mergeCell ref="B1:E1"/>
    <mergeCell ref="F1:I1"/>
    <mergeCell ref="B2:E2"/>
    <mergeCell ref="F2:I2"/>
  </mergeCells>
  <phoneticPr fontId="5" type="noConversion"/>
  <pageMargins left="0.7" right="0.7" top="0.75" bottom="0.75" header="0.3" footer="0.3"/>
  <pageSetup paperSize="9" orientation="portrait" horizontalDpi="0" verticalDpi="0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42C0BF7-0972-442C-AC1E-2E4AC785089F}">
  <sheetPr codeName="工作表21"/>
  <dimension ref="A1:I23"/>
  <sheetViews>
    <sheetView workbookViewId="0"/>
  </sheetViews>
  <sheetFormatPr defaultColWidth="6.625" defaultRowHeight="13.5"/>
  <cols>
    <col min="1" max="1" width="3.125" style="4" bestFit="1" customWidth="1"/>
    <col min="2" max="2" width="5.5" style="8" customWidth="1"/>
    <col min="3" max="3" width="23.625" style="4" customWidth="1"/>
    <col min="4" max="4" width="25.125" style="4" customWidth="1"/>
    <col min="5" max="5" width="11.125" style="4" bestFit="1" customWidth="1"/>
    <col min="6" max="6" width="12.625" style="4" customWidth="1"/>
    <col min="7" max="7" width="18.625" style="4" customWidth="1"/>
    <col min="8" max="8" width="31.375" style="4" customWidth="1"/>
    <col min="9" max="9" width="13.625" style="4" customWidth="1"/>
    <col min="10" max="16384" width="6.625" style="4"/>
  </cols>
  <sheetData>
    <row r="1" spans="1:9" ht="24">
      <c r="A1" s="1" t="e">
        <f ca="1">HYPERLINK("#'介面'!E"&amp;MATCH(VALUE(RIGHT(CELL("filename"),LEN(CELL("filename"))-FIND("]",CELL("filename")))),介面!D:D,"0"),"←")</f>
        <v>#VALUE!</v>
      </c>
      <c r="B1" s="207" t="s">
        <v>504</v>
      </c>
      <c r="C1" s="208"/>
      <c r="D1" s="208"/>
      <c r="E1" s="209"/>
      <c r="F1" s="207" t="s">
        <v>505</v>
      </c>
      <c r="G1" s="208"/>
      <c r="H1" s="208"/>
      <c r="I1" s="208"/>
    </row>
    <row r="2" spans="1:9" ht="24">
      <c r="A2" s="1"/>
      <c r="B2" s="210" t="s">
        <v>275</v>
      </c>
      <c r="C2" s="211"/>
      <c r="D2" s="211"/>
      <c r="E2" s="212"/>
      <c r="F2" s="210"/>
      <c r="G2" s="211"/>
      <c r="H2" s="211"/>
      <c r="I2" s="212"/>
    </row>
    <row r="3" spans="1:9" s="8" customFormat="1" ht="15">
      <c r="A3" s="6"/>
      <c r="B3" s="7" t="s">
        <v>276</v>
      </c>
      <c r="C3" s="56" t="s">
        <v>277</v>
      </c>
      <c r="D3" s="56" t="s">
        <v>278</v>
      </c>
      <c r="E3" s="57" t="s">
        <v>279</v>
      </c>
      <c r="F3" s="57" t="s">
        <v>280</v>
      </c>
      <c r="G3" s="56" t="s">
        <v>281</v>
      </c>
      <c r="H3" s="56" t="s">
        <v>11</v>
      </c>
      <c r="I3" s="56" t="s">
        <v>282</v>
      </c>
    </row>
    <row r="4" spans="1:9" s="24" customFormat="1" ht="15.75">
      <c r="A4" s="25"/>
      <c r="B4" s="46">
        <v>1</v>
      </c>
      <c r="C4" s="80" t="s">
        <v>297</v>
      </c>
      <c r="D4" s="80" t="s">
        <v>298</v>
      </c>
      <c r="E4" s="81" t="s">
        <v>285</v>
      </c>
      <c r="F4" s="81">
        <v>500</v>
      </c>
      <c r="G4" s="66" t="s">
        <v>330</v>
      </c>
      <c r="H4" s="142" t="s">
        <v>302</v>
      </c>
      <c r="I4" s="66" t="s">
        <v>287</v>
      </c>
    </row>
    <row r="5" spans="1:9" s="24" customFormat="1" ht="15">
      <c r="A5" s="25"/>
      <c r="B5" s="46">
        <f>B4+1</f>
        <v>2</v>
      </c>
      <c r="C5" s="50" t="s">
        <v>303</v>
      </c>
      <c r="D5" s="76" t="s">
        <v>304</v>
      </c>
      <c r="E5" s="51" t="s">
        <v>296</v>
      </c>
      <c r="F5" s="51">
        <v>20</v>
      </c>
      <c r="G5" s="66" t="s">
        <v>331</v>
      </c>
      <c r="H5" s="66"/>
      <c r="I5" s="66" t="s">
        <v>287</v>
      </c>
    </row>
    <row r="6" spans="1:9" ht="15.75">
      <c r="A6" s="1"/>
      <c r="B6" s="2"/>
      <c r="C6" s="3"/>
      <c r="D6" s="3"/>
      <c r="E6" s="3"/>
      <c r="F6" s="3"/>
      <c r="G6" s="3"/>
      <c r="H6" s="3"/>
      <c r="I6" s="3"/>
    </row>
    <row r="7" spans="1:9" ht="24">
      <c r="A7" s="1"/>
      <c r="B7" s="204" t="s">
        <v>291</v>
      </c>
      <c r="C7" s="205"/>
      <c r="D7" s="205"/>
      <c r="E7" s="206"/>
      <c r="F7" s="204"/>
      <c r="G7" s="205"/>
      <c r="H7" s="205"/>
      <c r="I7" s="206"/>
    </row>
    <row r="8" spans="1:9" s="8" customFormat="1" ht="15">
      <c r="A8" s="6"/>
      <c r="B8" s="7" t="s">
        <v>276</v>
      </c>
      <c r="C8" s="56" t="s">
        <v>277</v>
      </c>
      <c r="D8" s="56" t="s">
        <v>278</v>
      </c>
      <c r="E8" s="57" t="s">
        <v>279</v>
      </c>
      <c r="F8" s="57" t="s">
        <v>280</v>
      </c>
      <c r="G8" s="56" t="s">
        <v>11</v>
      </c>
      <c r="H8" s="56" t="s">
        <v>292</v>
      </c>
      <c r="I8" s="56" t="s">
        <v>293</v>
      </c>
    </row>
    <row r="9" spans="1:9" ht="15">
      <c r="A9" s="5"/>
      <c r="B9" s="46">
        <v>1</v>
      </c>
      <c r="C9" s="64" t="s">
        <v>506</v>
      </c>
      <c r="D9" s="64" t="s">
        <v>507</v>
      </c>
      <c r="E9" s="62" t="s">
        <v>452</v>
      </c>
      <c r="F9" s="62">
        <v>20</v>
      </c>
      <c r="G9" s="66"/>
      <c r="H9" s="66"/>
      <c r="I9" s="66"/>
    </row>
    <row r="10" spans="1:9" ht="15">
      <c r="A10" s="5"/>
      <c r="B10" s="46">
        <f t="shared" ref="B10:B15" si="0">B9+1</f>
        <v>2</v>
      </c>
      <c r="C10" s="67" t="s">
        <v>453</v>
      </c>
      <c r="D10" s="67" t="s">
        <v>304</v>
      </c>
      <c r="E10" s="68" t="s">
        <v>452</v>
      </c>
      <c r="F10" s="68">
        <v>20</v>
      </c>
      <c r="G10" s="69"/>
      <c r="H10" s="66" t="s">
        <v>41</v>
      </c>
      <c r="I10" s="66" t="s">
        <v>304</v>
      </c>
    </row>
    <row r="11" spans="1:9" ht="15">
      <c r="A11" s="5"/>
      <c r="B11" s="46">
        <f t="shared" si="0"/>
        <v>3</v>
      </c>
      <c r="C11" s="64" t="s">
        <v>508</v>
      </c>
      <c r="D11" s="64" t="s">
        <v>509</v>
      </c>
      <c r="E11" s="62" t="s">
        <v>456</v>
      </c>
      <c r="F11" s="62">
        <v>50</v>
      </c>
      <c r="G11" s="66"/>
      <c r="H11" s="66"/>
      <c r="I11" s="66"/>
    </row>
    <row r="12" spans="1:9" ht="15">
      <c r="A12" s="58"/>
      <c r="B12" s="46">
        <f t="shared" si="0"/>
        <v>4</v>
      </c>
      <c r="C12" s="64" t="s">
        <v>510</v>
      </c>
      <c r="D12" s="64" t="s">
        <v>511</v>
      </c>
      <c r="E12" s="68" t="s">
        <v>456</v>
      </c>
      <c r="F12" s="62">
        <v>100</v>
      </c>
      <c r="G12" s="66"/>
      <c r="H12" s="66"/>
      <c r="I12" s="66"/>
    </row>
    <row r="13" spans="1:9" ht="15">
      <c r="A13" s="58"/>
      <c r="B13" s="46">
        <f t="shared" si="0"/>
        <v>5</v>
      </c>
      <c r="C13" s="64" t="s">
        <v>512</v>
      </c>
      <c r="D13" s="64" t="s">
        <v>513</v>
      </c>
      <c r="E13" s="68" t="s">
        <v>456</v>
      </c>
      <c r="F13" s="62">
        <v>1000</v>
      </c>
      <c r="G13" s="66"/>
      <c r="H13" s="66"/>
      <c r="I13" s="66"/>
    </row>
    <row r="14" spans="1:9" ht="15">
      <c r="B14" s="46">
        <f t="shared" si="0"/>
        <v>6</v>
      </c>
      <c r="C14" s="70" t="s">
        <v>398</v>
      </c>
      <c r="D14" s="71" t="s">
        <v>325</v>
      </c>
      <c r="E14" s="72" t="s">
        <v>326</v>
      </c>
      <c r="F14" s="72">
        <v>4</v>
      </c>
      <c r="G14" s="66" t="s">
        <v>327</v>
      </c>
      <c r="H14" s="28" t="s">
        <v>328</v>
      </c>
      <c r="I14" s="73"/>
    </row>
    <row r="15" spans="1:9" ht="15">
      <c r="B15" s="46">
        <f t="shared" si="0"/>
        <v>7</v>
      </c>
      <c r="C15" s="64" t="s">
        <v>493</v>
      </c>
      <c r="D15" s="64" t="s">
        <v>494</v>
      </c>
      <c r="E15" s="74" t="s">
        <v>313</v>
      </c>
      <c r="F15" s="77"/>
      <c r="G15" s="66"/>
      <c r="H15" s="66"/>
      <c r="I15" s="66"/>
    </row>
    <row r="16" spans="1:9" ht="15">
      <c r="B16" s="21"/>
    </row>
    <row r="17" spans="2:3" ht="15">
      <c r="B17" s="45"/>
    </row>
    <row r="18" spans="2:3" ht="15">
      <c r="B18" s="45"/>
    </row>
    <row r="23" spans="2:3" ht="14.25">
      <c r="C23" s="78"/>
    </row>
  </sheetData>
  <mergeCells count="6">
    <mergeCell ref="B7:E7"/>
    <mergeCell ref="F7:I7"/>
    <mergeCell ref="B1:E1"/>
    <mergeCell ref="F1:I1"/>
    <mergeCell ref="B2:E2"/>
    <mergeCell ref="F2:I2"/>
  </mergeCells>
  <phoneticPr fontId="5" type="noConversion"/>
  <pageMargins left="0.7" right="0.7" top="0.75" bottom="0.75" header="0.3" footer="0.3"/>
  <pageSetup paperSize="9" orientation="portrait" horizontalDpi="0" verticalDpi="0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7A157EE-9FD6-4931-ACA7-404B2C9CAB9F}">
  <sheetPr codeName="工作表22"/>
  <dimension ref="A1:I18"/>
  <sheetViews>
    <sheetView workbookViewId="0"/>
  </sheetViews>
  <sheetFormatPr defaultColWidth="6.625" defaultRowHeight="13.5"/>
  <cols>
    <col min="1" max="1" width="3.125" style="4" bestFit="1" customWidth="1"/>
    <col min="2" max="2" width="5.5" style="8" customWidth="1"/>
    <col min="3" max="3" width="22" style="4" customWidth="1"/>
    <col min="4" max="4" width="23.5" style="4" customWidth="1"/>
    <col min="5" max="5" width="11.125" style="4" bestFit="1" customWidth="1"/>
    <col min="6" max="6" width="12.625" style="4" customWidth="1"/>
    <col min="7" max="7" width="18.625" style="4" customWidth="1"/>
    <col min="8" max="8" width="30.5" style="4" customWidth="1"/>
    <col min="9" max="9" width="13.625" style="4" customWidth="1"/>
    <col min="10" max="16384" width="6.625" style="4"/>
  </cols>
  <sheetData>
    <row r="1" spans="1:9" ht="24">
      <c r="A1" s="1" t="e">
        <f ca="1">HYPERLINK("#'介面'!E"&amp;MATCH(VALUE(RIGHT(CELL("filename"),LEN(CELL("filename"))-FIND("]",CELL("filename")))),介面!D:D,"0"),"←")</f>
        <v>#VALUE!</v>
      </c>
      <c r="B1" s="207" t="s">
        <v>514</v>
      </c>
      <c r="C1" s="208"/>
      <c r="D1" s="208"/>
      <c r="E1" s="209"/>
      <c r="F1" s="207" t="s">
        <v>515</v>
      </c>
      <c r="G1" s="208"/>
      <c r="H1" s="208"/>
      <c r="I1" s="208"/>
    </row>
    <row r="2" spans="1:9" ht="24">
      <c r="A2" s="1"/>
      <c r="B2" s="210" t="s">
        <v>275</v>
      </c>
      <c r="C2" s="211"/>
      <c r="D2" s="211"/>
      <c r="E2" s="212"/>
      <c r="F2" s="210"/>
      <c r="G2" s="211"/>
      <c r="H2" s="211"/>
      <c r="I2" s="212"/>
    </row>
    <row r="3" spans="1:9" s="8" customFormat="1" ht="15">
      <c r="A3" s="6"/>
      <c r="B3" s="7" t="s">
        <v>276</v>
      </c>
      <c r="C3" s="56" t="s">
        <v>277</v>
      </c>
      <c r="D3" s="56" t="s">
        <v>278</v>
      </c>
      <c r="E3" s="57" t="s">
        <v>279</v>
      </c>
      <c r="F3" s="57" t="s">
        <v>280</v>
      </c>
      <c r="G3" s="56" t="s">
        <v>281</v>
      </c>
      <c r="H3" s="56" t="s">
        <v>11</v>
      </c>
      <c r="I3" s="56" t="s">
        <v>282</v>
      </c>
    </row>
    <row r="4" spans="1:9" s="24" customFormat="1" ht="15.75">
      <c r="A4" s="25"/>
      <c r="B4" s="46">
        <v>1</v>
      </c>
      <c r="C4" s="80" t="s">
        <v>297</v>
      </c>
      <c r="D4" s="80" t="s">
        <v>298</v>
      </c>
      <c r="E4" s="81" t="s">
        <v>285</v>
      </c>
      <c r="F4" s="81">
        <v>500</v>
      </c>
      <c r="G4" s="66" t="s">
        <v>330</v>
      </c>
      <c r="H4" s="142" t="s">
        <v>302</v>
      </c>
      <c r="I4" s="66" t="s">
        <v>287</v>
      </c>
    </row>
    <row r="5" spans="1:9" s="24" customFormat="1" ht="15">
      <c r="A5" s="25"/>
      <c r="B5" s="46">
        <f>B4+1</f>
        <v>2</v>
      </c>
      <c r="C5" s="50" t="s">
        <v>303</v>
      </c>
      <c r="D5" s="76" t="s">
        <v>304</v>
      </c>
      <c r="E5" s="51" t="s">
        <v>296</v>
      </c>
      <c r="F5" s="51">
        <v>20</v>
      </c>
      <c r="G5" s="66" t="s">
        <v>331</v>
      </c>
      <c r="H5" s="66"/>
      <c r="I5" s="66" t="s">
        <v>287</v>
      </c>
    </row>
    <row r="6" spans="1:9" ht="15.75">
      <c r="A6" s="1"/>
      <c r="B6" s="2"/>
      <c r="C6" s="3"/>
      <c r="D6" s="3"/>
      <c r="E6" s="3"/>
      <c r="F6" s="3"/>
      <c r="G6" s="3"/>
      <c r="H6" s="3"/>
      <c r="I6" s="3"/>
    </row>
    <row r="7" spans="1:9" ht="24">
      <c r="A7" s="1"/>
      <c r="B7" s="204" t="s">
        <v>291</v>
      </c>
      <c r="C7" s="205"/>
      <c r="D7" s="205"/>
      <c r="E7" s="206"/>
      <c r="F7" s="204"/>
      <c r="G7" s="205"/>
      <c r="H7" s="205"/>
      <c r="I7" s="206"/>
    </row>
    <row r="8" spans="1:9" s="8" customFormat="1" ht="15">
      <c r="A8" s="6"/>
      <c r="B8" s="7" t="s">
        <v>276</v>
      </c>
      <c r="C8" s="56" t="s">
        <v>277</v>
      </c>
      <c r="D8" s="56" t="s">
        <v>278</v>
      </c>
      <c r="E8" s="57" t="s">
        <v>279</v>
      </c>
      <c r="F8" s="57" t="s">
        <v>280</v>
      </c>
      <c r="G8" s="56" t="s">
        <v>11</v>
      </c>
      <c r="H8" s="56" t="s">
        <v>292</v>
      </c>
      <c r="I8" s="56" t="s">
        <v>293</v>
      </c>
    </row>
    <row r="9" spans="1:9" ht="15">
      <c r="A9" s="5"/>
      <c r="B9" s="46">
        <v>1</v>
      </c>
      <c r="C9" s="64" t="s">
        <v>516</v>
      </c>
      <c r="D9" s="64" t="s">
        <v>517</v>
      </c>
      <c r="E9" s="62" t="s">
        <v>452</v>
      </c>
      <c r="F9" s="62">
        <v>20</v>
      </c>
      <c r="G9" s="66"/>
      <c r="H9" s="66"/>
      <c r="I9" s="66"/>
    </row>
    <row r="10" spans="1:9" ht="15">
      <c r="A10" s="5"/>
      <c r="B10" s="46">
        <f t="shared" ref="B10:B15" si="0">B9+1</f>
        <v>2</v>
      </c>
      <c r="C10" s="67" t="s">
        <v>453</v>
      </c>
      <c r="D10" s="67" t="s">
        <v>304</v>
      </c>
      <c r="E10" s="68" t="s">
        <v>452</v>
      </c>
      <c r="F10" s="68">
        <v>20</v>
      </c>
      <c r="G10" s="69"/>
      <c r="H10" s="66" t="s">
        <v>41</v>
      </c>
      <c r="I10" s="66" t="s">
        <v>304</v>
      </c>
    </row>
    <row r="11" spans="1:9" ht="15">
      <c r="A11" s="5"/>
      <c r="B11" s="46">
        <f t="shared" si="0"/>
        <v>3</v>
      </c>
      <c r="C11" s="64" t="s">
        <v>518</v>
      </c>
      <c r="D11" s="64" t="s">
        <v>519</v>
      </c>
      <c r="E11" s="62" t="s">
        <v>456</v>
      </c>
      <c r="F11" s="62">
        <v>20</v>
      </c>
      <c r="G11" s="66"/>
      <c r="H11" s="66"/>
      <c r="I11" s="66"/>
    </row>
    <row r="12" spans="1:9" ht="15">
      <c r="A12" s="58"/>
      <c r="B12" s="46">
        <f t="shared" si="0"/>
        <v>4</v>
      </c>
      <c r="C12" s="64" t="s">
        <v>520</v>
      </c>
      <c r="D12" s="64" t="s">
        <v>521</v>
      </c>
      <c r="E12" s="68" t="s">
        <v>456</v>
      </c>
      <c r="F12" s="62">
        <v>100</v>
      </c>
      <c r="G12" s="66"/>
      <c r="H12" s="66"/>
      <c r="I12" s="66"/>
    </row>
    <row r="13" spans="1:9" ht="15">
      <c r="A13" s="58"/>
      <c r="B13" s="46">
        <f t="shared" si="0"/>
        <v>5</v>
      </c>
      <c r="C13" s="64" t="s">
        <v>522</v>
      </c>
      <c r="D13" s="64" t="s">
        <v>523</v>
      </c>
      <c r="E13" s="68" t="s">
        <v>456</v>
      </c>
      <c r="F13" s="62">
        <v>1000</v>
      </c>
      <c r="G13" s="66"/>
      <c r="H13" s="66"/>
      <c r="I13" s="66"/>
    </row>
    <row r="14" spans="1:9" s="24" customFormat="1" ht="15">
      <c r="A14" s="22"/>
      <c r="B14" s="46">
        <f t="shared" si="0"/>
        <v>6</v>
      </c>
      <c r="C14" s="70" t="s">
        <v>398</v>
      </c>
      <c r="D14" s="71" t="s">
        <v>325</v>
      </c>
      <c r="E14" s="72" t="s">
        <v>326</v>
      </c>
      <c r="F14" s="72">
        <v>4</v>
      </c>
      <c r="G14" s="66" t="s">
        <v>327</v>
      </c>
      <c r="H14" s="28" t="s">
        <v>435</v>
      </c>
      <c r="I14" s="73"/>
    </row>
    <row r="15" spans="1:9" ht="15">
      <c r="A15" s="58"/>
      <c r="B15" s="46">
        <f t="shared" si="0"/>
        <v>7</v>
      </c>
      <c r="C15" s="64" t="s">
        <v>493</v>
      </c>
      <c r="D15" s="64" t="s">
        <v>494</v>
      </c>
      <c r="E15" s="74" t="s">
        <v>313</v>
      </c>
      <c r="F15" s="77"/>
      <c r="G15" s="66"/>
      <c r="H15" s="66"/>
      <c r="I15" s="66"/>
    </row>
    <row r="16" spans="1:9" ht="15">
      <c r="B16" s="21"/>
    </row>
    <row r="17" spans="2:2" ht="15">
      <c r="B17" s="45"/>
    </row>
    <row r="18" spans="2:2" ht="15">
      <c r="B18" s="45"/>
    </row>
  </sheetData>
  <mergeCells count="6">
    <mergeCell ref="B7:E7"/>
    <mergeCell ref="F7:I7"/>
    <mergeCell ref="B1:E1"/>
    <mergeCell ref="F1:I1"/>
    <mergeCell ref="B2:E2"/>
    <mergeCell ref="F2:I2"/>
  </mergeCells>
  <phoneticPr fontId="5" type="noConversion"/>
  <pageMargins left="0.7" right="0.7" top="0.75" bottom="0.75" header="0.3" footer="0.3"/>
  <pageSetup paperSize="9" orientation="portrait" horizontalDpi="0" verticalDpi="0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BBE7E74-E261-4EF8-80C5-3EDE3F774A01}">
  <sheetPr codeName="工作表23"/>
  <dimension ref="A1:I18"/>
  <sheetViews>
    <sheetView workbookViewId="0"/>
  </sheetViews>
  <sheetFormatPr defaultColWidth="6.625" defaultRowHeight="13.5"/>
  <cols>
    <col min="1" max="1" width="3.125" style="4" bestFit="1" customWidth="1"/>
    <col min="2" max="2" width="5.5" style="8" customWidth="1"/>
    <col min="3" max="3" width="18.5" style="4" bestFit="1" customWidth="1"/>
    <col min="4" max="4" width="23" style="4" customWidth="1"/>
    <col min="5" max="5" width="11.125" style="4" bestFit="1" customWidth="1"/>
    <col min="6" max="6" width="12.625" style="4" customWidth="1"/>
    <col min="7" max="7" width="18.625" style="4" customWidth="1"/>
    <col min="8" max="8" width="29.125" style="4" customWidth="1"/>
    <col min="9" max="9" width="13.625" style="4" customWidth="1"/>
    <col min="10" max="16384" width="6.625" style="4"/>
  </cols>
  <sheetData>
    <row r="1" spans="1:9" ht="24">
      <c r="A1" s="1" t="e">
        <f ca="1">HYPERLINK("#'介面'!E"&amp;MATCH(VALUE(RIGHT(CELL("filename"),LEN(CELL("filename"))-FIND("]",CELL("filename")))),介面!D:D,"0"),"←")</f>
        <v>#VALUE!</v>
      </c>
      <c r="B1" s="207" t="s">
        <v>524</v>
      </c>
      <c r="C1" s="208"/>
      <c r="D1" s="208"/>
      <c r="E1" s="209"/>
      <c r="F1" s="207" t="s">
        <v>525</v>
      </c>
      <c r="G1" s="208"/>
      <c r="H1" s="208"/>
      <c r="I1" s="208"/>
    </row>
    <row r="2" spans="1:9" ht="24">
      <c r="A2" s="1"/>
      <c r="B2" s="210" t="s">
        <v>275</v>
      </c>
      <c r="C2" s="211"/>
      <c r="D2" s="211"/>
      <c r="E2" s="212"/>
      <c r="F2" s="210"/>
      <c r="G2" s="211"/>
      <c r="H2" s="211"/>
      <c r="I2" s="212"/>
    </row>
    <row r="3" spans="1:9" s="8" customFormat="1" ht="15">
      <c r="A3" s="6"/>
      <c r="B3" s="7" t="s">
        <v>276</v>
      </c>
      <c r="C3" s="56" t="s">
        <v>277</v>
      </c>
      <c r="D3" s="56" t="s">
        <v>278</v>
      </c>
      <c r="E3" s="57" t="s">
        <v>279</v>
      </c>
      <c r="F3" s="57" t="s">
        <v>280</v>
      </c>
      <c r="G3" s="56" t="s">
        <v>281</v>
      </c>
      <c r="H3" s="56" t="s">
        <v>11</v>
      </c>
      <c r="I3" s="56" t="s">
        <v>282</v>
      </c>
    </row>
    <row r="4" spans="1:9" s="24" customFormat="1" ht="15.75">
      <c r="A4" s="25"/>
      <c r="B4" s="46">
        <v>1</v>
      </c>
      <c r="C4" s="80" t="s">
        <v>297</v>
      </c>
      <c r="D4" s="80" t="s">
        <v>298</v>
      </c>
      <c r="E4" s="81" t="s">
        <v>285</v>
      </c>
      <c r="F4" s="81">
        <v>500</v>
      </c>
      <c r="G4" s="66" t="s">
        <v>330</v>
      </c>
      <c r="H4" s="142" t="s">
        <v>302</v>
      </c>
      <c r="I4" s="66" t="s">
        <v>287</v>
      </c>
    </row>
    <row r="5" spans="1:9" s="24" customFormat="1" ht="15">
      <c r="A5" s="25"/>
      <c r="B5" s="46">
        <f>B4+1</f>
        <v>2</v>
      </c>
      <c r="C5" s="50" t="s">
        <v>303</v>
      </c>
      <c r="D5" s="76" t="s">
        <v>304</v>
      </c>
      <c r="E5" s="51" t="s">
        <v>296</v>
      </c>
      <c r="F5" s="51">
        <v>20</v>
      </c>
      <c r="G5" s="66" t="s">
        <v>331</v>
      </c>
      <c r="H5" s="66"/>
      <c r="I5" s="66" t="s">
        <v>287</v>
      </c>
    </row>
    <row r="6" spans="1:9" ht="15.75">
      <c r="A6" s="1"/>
      <c r="B6" s="2"/>
      <c r="C6" s="3"/>
      <c r="D6" s="3"/>
      <c r="E6" s="3"/>
      <c r="F6" s="3"/>
      <c r="G6" s="3"/>
      <c r="H6" s="3"/>
      <c r="I6" s="3"/>
    </row>
    <row r="7" spans="1:9" ht="24">
      <c r="A7" s="1"/>
      <c r="B7" s="204" t="s">
        <v>291</v>
      </c>
      <c r="C7" s="205"/>
      <c r="D7" s="205"/>
      <c r="E7" s="206"/>
      <c r="F7" s="204"/>
      <c r="G7" s="205"/>
      <c r="H7" s="205"/>
      <c r="I7" s="206"/>
    </row>
    <row r="8" spans="1:9" s="8" customFormat="1" ht="15">
      <c r="A8" s="6"/>
      <c r="B8" s="7" t="s">
        <v>276</v>
      </c>
      <c r="C8" s="56" t="s">
        <v>277</v>
      </c>
      <c r="D8" s="56" t="s">
        <v>278</v>
      </c>
      <c r="E8" s="57" t="s">
        <v>279</v>
      </c>
      <c r="F8" s="57" t="s">
        <v>280</v>
      </c>
      <c r="G8" s="56" t="s">
        <v>11</v>
      </c>
      <c r="H8" s="56" t="s">
        <v>292</v>
      </c>
      <c r="I8" s="56" t="s">
        <v>293</v>
      </c>
    </row>
    <row r="9" spans="1:9" ht="15">
      <c r="A9" s="5"/>
      <c r="B9" s="46">
        <v>1</v>
      </c>
      <c r="C9" s="64" t="s">
        <v>526</v>
      </c>
      <c r="D9" s="64" t="s">
        <v>527</v>
      </c>
      <c r="E9" s="62" t="s">
        <v>452</v>
      </c>
      <c r="F9" s="62">
        <v>20</v>
      </c>
      <c r="G9" s="66"/>
      <c r="H9" s="66"/>
      <c r="I9" s="66"/>
    </row>
    <row r="10" spans="1:9" ht="15">
      <c r="A10" s="5"/>
      <c r="B10" s="46">
        <f t="shared" ref="B10:B15" si="0">B9+1</f>
        <v>2</v>
      </c>
      <c r="C10" s="67" t="s">
        <v>453</v>
      </c>
      <c r="D10" s="67" t="s">
        <v>304</v>
      </c>
      <c r="E10" s="68" t="s">
        <v>452</v>
      </c>
      <c r="F10" s="68">
        <v>20</v>
      </c>
      <c r="G10" s="69"/>
      <c r="H10" s="66" t="s">
        <v>41</v>
      </c>
      <c r="I10" s="66" t="s">
        <v>304</v>
      </c>
    </row>
    <row r="11" spans="1:9" ht="15">
      <c r="A11" s="5"/>
      <c r="B11" s="46">
        <f t="shared" si="0"/>
        <v>3</v>
      </c>
      <c r="C11" s="64" t="s">
        <v>528</v>
      </c>
      <c r="D11" s="64" t="s">
        <v>529</v>
      </c>
      <c r="E11" s="62" t="s">
        <v>456</v>
      </c>
      <c r="F11" s="62">
        <v>20</v>
      </c>
      <c r="G11" s="66"/>
      <c r="H11" s="66"/>
      <c r="I11" s="66"/>
    </row>
    <row r="12" spans="1:9" ht="15">
      <c r="A12" s="58"/>
      <c r="B12" s="46">
        <f t="shared" si="0"/>
        <v>4</v>
      </c>
      <c r="C12" s="64" t="s">
        <v>530</v>
      </c>
      <c r="D12" s="64" t="s">
        <v>531</v>
      </c>
      <c r="E12" s="68" t="s">
        <v>456</v>
      </c>
      <c r="F12" s="62">
        <v>100</v>
      </c>
      <c r="G12" s="66"/>
      <c r="H12" s="66"/>
      <c r="I12" s="66"/>
    </row>
    <row r="13" spans="1:9" ht="15">
      <c r="A13" s="58"/>
      <c r="B13" s="46">
        <f t="shared" si="0"/>
        <v>5</v>
      </c>
      <c r="C13" s="64" t="s">
        <v>532</v>
      </c>
      <c r="D13" s="64" t="s">
        <v>533</v>
      </c>
      <c r="E13" s="68" t="s">
        <v>456</v>
      </c>
      <c r="F13" s="62">
        <v>1000</v>
      </c>
      <c r="G13" s="66"/>
      <c r="H13" s="66"/>
      <c r="I13" s="66"/>
    </row>
    <row r="14" spans="1:9" ht="15">
      <c r="A14" s="58"/>
      <c r="B14" s="46">
        <f t="shared" si="0"/>
        <v>6</v>
      </c>
      <c r="C14" s="70" t="s">
        <v>398</v>
      </c>
      <c r="D14" s="71" t="s">
        <v>325</v>
      </c>
      <c r="E14" s="72" t="s">
        <v>326</v>
      </c>
      <c r="F14" s="72">
        <v>4</v>
      </c>
      <c r="G14" s="66" t="s">
        <v>327</v>
      </c>
      <c r="H14" s="28" t="s">
        <v>435</v>
      </c>
      <c r="I14" s="73"/>
    </row>
    <row r="15" spans="1:9" ht="15">
      <c r="A15" s="58"/>
      <c r="B15" s="46">
        <f t="shared" si="0"/>
        <v>7</v>
      </c>
      <c r="C15" s="64" t="s">
        <v>493</v>
      </c>
      <c r="D15" s="64" t="s">
        <v>494</v>
      </c>
      <c r="E15" s="74" t="s">
        <v>313</v>
      </c>
      <c r="F15" s="77"/>
      <c r="G15" s="66"/>
      <c r="H15" s="66"/>
      <c r="I15" s="66"/>
    </row>
    <row r="16" spans="1:9" ht="15">
      <c r="B16" s="21"/>
    </row>
    <row r="17" spans="2:2" ht="15">
      <c r="B17" s="45"/>
    </row>
    <row r="18" spans="2:2" ht="15">
      <c r="B18" s="45"/>
    </row>
  </sheetData>
  <mergeCells count="6">
    <mergeCell ref="B7:E7"/>
    <mergeCell ref="F7:I7"/>
    <mergeCell ref="B1:E1"/>
    <mergeCell ref="F1:I1"/>
    <mergeCell ref="B2:E2"/>
    <mergeCell ref="F2:I2"/>
  </mergeCells>
  <phoneticPr fontId="5" type="noConversion"/>
  <pageMargins left="0.7" right="0.7" top="0.75" bottom="0.75" header="0.3" footer="0.3"/>
  <pageSetup paperSize="9" orientation="portrait" horizontalDpi="0" verticalDpi="0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021CCD9-0746-4F8E-BA84-05AA334BAD1F}">
  <sheetPr codeName="工作表24"/>
  <dimension ref="A1:I18"/>
  <sheetViews>
    <sheetView workbookViewId="0"/>
  </sheetViews>
  <sheetFormatPr defaultColWidth="6.625" defaultRowHeight="13.5"/>
  <cols>
    <col min="1" max="1" width="3.125" style="4" bestFit="1" customWidth="1"/>
    <col min="2" max="2" width="5.5" style="8" customWidth="1"/>
    <col min="3" max="3" width="20.625" style="4" customWidth="1"/>
    <col min="4" max="4" width="18.625" style="4" customWidth="1"/>
    <col min="5" max="5" width="11.125" style="4" bestFit="1" customWidth="1"/>
    <col min="6" max="6" width="12.625" style="4" customWidth="1"/>
    <col min="7" max="7" width="18.625" style="4" customWidth="1"/>
    <col min="8" max="8" width="28.625" style="4" customWidth="1"/>
    <col min="9" max="9" width="13.625" style="4" customWidth="1"/>
    <col min="10" max="16384" width="6.625" style="4"/>
  </cols>
  <sheetData>
    <row r="1" spans="1:9" ht="24">
      <c r="A1" s="149" t="e">
        <f ca="1">HYPERLINK("#'介面'!E"&amp;MATCH(VALUE(RIGHT(CELL("filename"),LEN(CELL("filename"))-FIND("]",CELL("filename")))),介面!D:D,"0"),"←")</f>
        <v>#VALUE!</v>
      </c>
      <c r="B1" s="207" t="s">
        <v>66</v>
      </c>
      <c r="C1" s="208"/>
      <c r="D1" s="208"/>
      <c r="E1" s="209"/>
      <c r="F1" s="207" t="s">
        <v>534</v>
      </c>
      <c r="G1" s="208"/>
      <c r="H1" s="208"/>
      <c r="I1" s="208"/>
    </row>
    <row r="2" spans="1:9" ht="24">
      <c r="A2" s="1"/>
      <c r="B2" s="210" t="s">
        <v>275</v>
      </c>
      <c r="C2" s="211"/>
      <c r="D2" s="211"/>
      <c r="E2" s="212"/>
      <c r="F2" s="210"/>
      <c r="G2" s="211"/>
      <c r="H2" s="211"/>
      <c r="I2" s="212"/>
    </row>
    <row r="3" spans="1:9" s="8" customFormat="1" ht="15">
      <c r="A3" s="6"/>
      <c r="B3" s="7" t="s">
        <v>276</v>
      </c>
      <c r="C3" s="56" t="s">
        <v>277</v>
      </c>
      <c r="D3" s="56" t="s">
        <v>278</v>
      </c>
      <c r="E3" s="57" t="s">
        <v>279</v>
      </c>
      <c r="F3" s="57" t="s">
        <v>280</v>
      </c>
      <c r="G3" s="56" t="s">
        <v>281</v>
      </c>
      <c r="H3" s="56" t="s">
        <v>11</v>
      </c>
      <c r="I3" s="56" t="s">
        <v>282</v>
      </c>
    </row>
    <row r="4" spans="1:9" s="24" customFormat="1" ht="15.75">
      <c r="A4" s="25"/>
      <c r="B4" s="46">
        <v>1</v>
      </c>
      <c r="C4" s="80" t="s">
        <v>297</v>
      </c>
      <c r="D4" s="80" t="s">
        <v>298</v>
      </c>
      <c r="E4" s="81" t="s">
        <v>285</v>
      </c>
      <c r="F4" s="81">
        <v>500</v>
      </c>
      <c r="G4" s="66" t="s">
        <v>330</v>
      </c>
      <c r="H4" s="142" t="s">
        <v>302</v>
      </c>
      <c r="I4" s="66" t="s">
        <v>287</v>
      </c>
    </row>
    <row r="5" spans="1:9" s="24" customFormat="1" ht="15">
      <c r="A5" s="25"/>
      <c r="B5" s="46">
        <f>B4+1</f>
        <v>2</v>
      </c>
      <c r="C5" s="50" t="s">
        <v>303</v>
      </c>
      <c r="D5" s="76" t="s">
        <v>304</v>
      </c>
      <c r="E5" s="51" t="s">
        <v>296</v>
      </c>
      <c r="F5" s="51">
        <v>20</v>
      </c>
      <c r="G5" s="66" t="s">
        <v>331</v>
      </c>
      <c r="H5" s="66"/>
      <c r="I5" s="66" t="s">
        <v>287</v>
      </c>
    </row>
    <row r="6" spans="1:9" ht="15.75">
      <c r="A6" s="1"/>
      <c r="B6" s="2"/>
      <c r="C6" s="3"/>
      <c r="D6" s="3"/>
      <c r="E6" s="3"/>
      <c r="F6" s="3"/>
      <c r="G6" s="3"/>
      <c r="H6" s="3"/>
      <c r="I6" s="3"/>
    </row>
    <row r="7" spans="1:9" ht="24">
      <c r="A7" s="1"/>
      <c r="B7" s="204" t="s">
        <v>291</v>
      </c>
      <c r="C7" s="205"/>
      <c r="D7" s="205"/>
      <c r="E7" s="206"/>
      <c r="F7" s="204"/>
      <c r="G7" s="205"/>
      <c r="H7" s="205"/>
      <c r="I7" s="206"/>
    </row>
    <row r="8" spans="1:9" s="8" customFormat="1" ht="15">
      <c r="A8" s="6"/>
      <c r="B8" s="7" t="s">
        <v>276</v>
      </c>
      <c r="C8" s="56" t="s">
        <v>277</v>
      </c>
      <c r="D8" s="56" t="s">
        <v>278</v>
      </c>
      <c r="E8" s="57" t="s">
        <v>279</v>
      </c>
      <c r="F8" s="57" t="s">
        <v>280</v>
      </c>
      <c r="G8" s="56" t="s">
        <v>11</v>
      </c>
      <c r="H8" s="56" t="s">
        <v>292</v>
      </c>
      <c r="I8" s="56" t="s">
        <v>293</v>
      </c>
    </row>
    <row r="9" spans="1:9" ht="15">
      <c r="A9" s="5"/>
      <c r="B9" s="46">
        <v>1</v>
      </c>
      <c r="C9" s="64" t="s">
        <v>535</v>
      </c>
      <c r="D9" s="64" t="s">
        <v>536</v>
      </c>
      <c r="E9" s="62" t="s">
        <v>452</v>
      </c>
      <c r="F9" s="62">
        <v>20</v>
      </c>
      <c r="G9" s="66"/>
      <c r="H9" s="66"/>
      <c r="I9" s="66"/>
    </row>
    <row r="10" spans="1:9" ht="15">
      <c r="A10" s="5"/>
      <c r="B10" s="46">
        <f t="shared" ref="B10:B15" si="0">B9+1</f>
        <v>2</v>
      </c>
      <c r="C10" s="67" t="s">
        <v>453</v>
      </c>
      <c r="D10" s="67" t="s">
        <v>304</v>
      </c>
      <c r="E10" s="68" t="s">
        <v>452</v>
      </c>
      <c r="F10" s="68">
        <v>20</v>
      </c>
      <c r="G10" s="69"/>
      <c r="H10" s="66" t="s">
        <v>41</v>
      </c>
      <c r="I10" s="66" t="s">
        <v>304</v>
      </c>
    </row>
    <row r="11" spans="1:9" ht="15">
      <c r="A11" s="5"/>
      <c r="B11" s="46">
        <f t="shared" si="0"/>
        <v>3</v>
      </c>
      <c r="C11" s="64" t="s">
        <v>537</v>
      </c>
      <c r="D11" s="64" t="s">
        <v>538</v>
      </c>
      <c r="E11" s="62" t="s">
        <v>456</v>
      </c>
      <c r="F11" s="62">
        <v>20</v>
      </c>
      <c r="G11" s="66"/>
      <c r="H11" s="66"/>
      <c r="I11" s="66"/>
    </row>
    <row r="12" spans="1:9" ht="15">
      <c r="A12" s="58"/>
      <c r="B12" s="46">
        <f t="shared" si="0"/>
        <v>4</v>
      </c>
      <c r="C12" s="64" t="s">
        <v>539</v>
      </c>
      <c r="D12" s="64" t="s">
        <v>540</v>
      </c>
      <c r="E12" s="68" t="s">
        <v>456</v>
      </c>
      <c r="F12" s="62">
        <v>100</v>
      </c>
      <c r="G12" s="66"/>
      <c r="H12" s="66"/>
      <c r="I12" s="66"/>
    </row>
    <row r="13" spans="1:9" ht="15">
      <c r="A13" s="58"/>
      <c r="B13" s="46">
        <f t="shared" si="0"/>
        <v>5</v>
      </c>
      <c r="C13" s="64" t="s">
        <v>541</v>
      </c>
      <c r="D13" s="64" t="s">
        <v>542</v>
      </c>
      <c r="E13" s="68" t="s">
        <v>456</v>
      </c>
      <c r="F13" s="62">
        <v>1000</v>
      </c>
      <c r="G13" s="66"/>
      <c r="H13" s="66"/>
      <c r="I13" s="66"/>
    </row>
    <row r="14" spans="1:9" s="24" customFormat="1" ht="15">
      <c r="A14" s="22"/>
      <c r="B14" s="46">
        <f t="shared" si="0"/>
        <v>6</v>
      </c>
      <c r="C14" s="70" t="s">
        <v>398</v>
      </c>
      <c r="D14" s="71" t="s">
        <v>325</v>
      </c>
      <c r="E14" s="72" t="s">
        <v>326</v>
      </c>
      <c r="F14" s="72">
        <v>4</v>
      </c>
      <c r="G14" s="66" t="s">
        <v>327</v>
      </c>
      <c r="H14" s="28" t="s">
        <v>435</v>
      </c>
      <c r="I14" s="73"/>
    </row>
    <row r="15" spans="1:9" ht="15">
      <c r="A15" s="58"/>
      <c r="B15" s="46">
        <f t="shared" si="0"/>
        <v>7</v>
      </c>
      <c r="C15" s="64" t="s">
        <v>493</v>
      </c>
      <c r="D15" s="64" t="s">
        <v>494</v>
      </c>
      <c r="E15" s="74" t="s">
        <v>313</v>
      </c>
      <c r="F15" s="77"/>
      <c r="G15" s="66"/>
      <c r="H15" s="66"/>
      <c r="I15" s="66"/>
    </row>
    <row r="16" spans="1:9" ht="15">
      <c r="B16" s="21"/>
    </row>
    <row r="17" spans="2:2" ht="15">
      <c r="B17" s="45"/>
    </row>
    <row r="18" spans="2:2" ht="15">
      <c r="B18" s="45"/>
    </row>
  </sheetData>
  <mergeCells count="6">
    <mergeCell ref="B7:E7"/>
    <mergeCell ref="F7:I7"/>
    <mergeCell ref="B1:E1"/>
    <mergeCell ref="F1:I1"/>
    <mergeCell ref="B2:E2"/>
    <mergeCell ref="F2:I2"/>
  </mergeCells>
  <phoneticPr fontId="5" type="noConversion"/>
  <pageMargins left="0.7" right="0.7" top="0.75" bottom="0.75" header="0.3" footer="0.3"/>
  <pageSetup paperSize="9" orientation="portrait" horizontalDpi="0" verticalDpi="0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5B073F7-9C63-4FE3-A6B3-C5654C7CF1E0}">
  <sheetPr codeName="工作表25"/>
  <dimension ref="A1:I22"/>
  <sheetViews>
    <sheetView workbookViewId="0"/>
  </sheetViews>
  <sheetFormatPr defaultColWidth="6.625" defaultRowHeight="13.5"/>
  <cols>
    <col min="1" max="1" width="3.125" style="4" bestFit="1" customWidth="1"/>
    <col min="2" max="2" width="5.5" style="8" customWidth="1"/>
    <col min="3" max="3" width="18.5" style="4" bestFit="1" customWidth="1"/>
    <col min="4" max="4" width="18.625" style="4" customWidth="1"/>
    <col min="5" max="5" width="11.125" style="4" bestFit="1" customWidth="1"/>
    <col min="6" max="6" width="12.625" style="4" customWidth="1"/>
    <col min="7" max="7" width="18.625" style="4" customWidth="1"/>
    <col min="8" max="8" width="34.5" style="4" customWidth="1"/>
    <col min="9" max="9" width="13.625" style="4" customWidth="1"/>
    <col min="10" max="16384" width="6.625" style="4"/>
  </cols>
  <sheetData>
    <row r="1" spans="1:9" ht="24">
      <c r="A1" s="149" t="e">
        <f ca="1">HYPERLINK("#'介面'!E"&amp;MATCH(VALUE(RIGHT(CELL("filename"),LEN(CELL("filename"))-FIND("]",CELL("filename")))),介面!D:D,"0"),"←")</f>
        <v>#VALUE!</v>
      </c>
      <c r="B1" s="207" t="s">
        <v>543</v>
      </c>
      <c r="C1" s="208"/>
      <c r="D1" s="208"/>
      <c r="E1" s="209"/>
      <c r="F1" s="207" t="s">
        <v>544</v>
      </c>
      <c r="G1" s="208"/>
      <c r="H1" s="208"/>
      <c r="I1" s="208"/>
    </row>
    <row r="2" spans="1:9" ht="24">
      <c r="A2" s="1"/>
      <c r="B2" s="210" t="s">
        <v>275</v>
      </c>
      <c r="C2" s="211"/>
      <c r="D2" s="211"/>
      <c r="E2" s="212"/>
      <c r="F2" s="210"/>
      <c r="G2" s="211"/>
      <c r="H2" s="211"/>
      <c r="I2" s="212"/>
    </row>
    <row r="3" spans="1:9" s="8" customFormat="1" ht="15">
      <c r="A3" s="6"/>
      <c r="B3" s="7" t="s">
        <v>276</v>
      </c>
      <c r="C3" s="56" t="s">
        <v>277</v>
      </c>
      <c r="D3" s="56" t="s">
        <v>278</v>
      </c>
      <c r="E3" s="57" t="s">
        <v>279</v>
      </c>
      <c r="F3" s="57" t="s">
        <v>280</v>
      </c>
      <c r="G3" s="56" t="s">
        <v>281</v>
      </c>
      <c r="H3" s="56" t="s">
        <v>11</v>
      </c>
      <c r="I3" s="56" t="s">
        <v>282</v>
      </c>
    </row>
    <row r="4" spans="1:9" s="24" customFormat="1" ht="15.75">
      <c r="A4" s="25"/>
      <c r="B4" s="46">
        <v>1</v>
      </c>
      <c r="C4" s="80" t="s">
        <v>297</v>
      </c>
      <c r="D4" s="80" t="s">
        <v>298</v>
      </c>
      <c r="E4" s="81" t="s">
        <v>285</v>
      </c>
      <c r="F4" s="81">
        <v>500</v>
      </c>
      <c r="G4" s="66" t="s">
        <v>330</v>
      </c>
      <c r="H4" s="142" t="s">
        <v>302</v>
      </c>
      <c r="I4" s="66" t="s">
        <v>287</v>
      </c>
    </row>
    <row r="5" spans="1:9" s="24" customFormat="1" ht="15">
      <c r="A5" s="25"/>
      <c r="B5" s="46">
        <f>B4+1</f>
        <v>2</v>
      </c>
      <c r="C5" s="50" t="s">
        <v>303</v>
      </c>
      <c r="D5" s="76" t="s">
        <v>304</v>
      </c>
      <c r="E5" s="51" t="s">
        <v>296</v>
      </c>
      <c r="F5" s="51">
        <v>20</v>
      </c>
      <c r="G5" s="66" t="s">
        <v>331</v>
      </c>
      <c r="H5" s="66"/>
      <c r="I5" s="66" t="s">
        <v>287</v>
      </c>
    </row>
    <row r="6" spans="1:9" ht="15.75">
      <c r="A6" s="1"/>
      <c r="B6" s="2"/>
      <c r="C6" s="3"/>
      <c r="D6" s="3"/>
      <c r="E6" s="3"/>
      <c r="F6" s="3"/>
      <c r="G6" s="3"/>
      <c r="H6" s="3"/>
      <c r="I6" s="3"/>
    </row>
    <row r="7" spans="1:9" ht="24">
      <c r="A7" s="1"/>
      <c r="B7" s="204" t="s">
        <v>291</v>
      </c>
      <c r="C7" s="205"/>
      <c r="D7" s="205"/>
      <c r="E7" s="206"/>
      <c r="F7" s="204"/>
      <c r="G7" s="205"/>
      <c r="H7" s="205"/>
      <c r="I7" s="206"/>
    </row>
    <row r="8" spans="1:9" s="8" customFormat="1" ht="15">
      <c r="A8" s="6"/>
      <c r="B8" s="7" t="s">
        <v>276</v>
      </c>
      <c r="C8" s="56" t="s">
        <v>277</v>
      </c>
      <c r="D8" s="56" t="s">
        <v>278</v>
      </c>
      <c r="E8" s="57" t="s">
        <v>279</v>
      </c>
      <c r="F8" s="57" t="s">
        <v>280</v>
      </c>
      <c r="G8" s="56" t="s">
        <v>11</v>
      </c>
      <c r="H8" s="56" t="s">
        <v>292</v>
      </c>
      <c r="I8" s="56" t="s">
        <v>293</v>
      </c>
    </row>
    <row r="9" spans="1:9" ht="15">
      <c r="A9" s="5"/>
      <c r="B9" s="46">
        <v>1</v>
      </c>
      <c r="C9" s="64" t="s">
        <v>545</v>
      </c>
      <c r="D9" s="64" t="s">
        <v>546</v>
      </c>
      <c r="E9" s="62" t="s">
        <v>452</v>
      </c>
      <c r="F9" s="62">
        <v>20</v>
      </c>
      <c r="G9" s="66"/>
      <c r="H9" s="66"/>
      <c r="I9" s="66"/>
    </row>
    <row r="10" spans="1:9" ht="15">
      <c r="A10" s="5"/>
      <c r="B10" s="46">
        <f>B9+1</f>
        <v>2</v>
      </c>
      <c r="C10" s="67" t="s">
        <v>453</v>
      </c>
      <c r="D10" s="67" t="s">
        <v>304</v>
      </c>
      <c r="E10" s="68" t="s">
        <v>452</v>
      </c>
      <c r="F10" s="68">
        <v>20</v>
      </c>
      <c r="G10" s="69"/>
      <c r="H10" s="66" t="s">
        <v>41</v>
      </c>
      <c r="I10" s="66" t="s">
        <v>304</v>
      </c>
    </row>
    <row r="11" spans="1:9" ht="15">
      <c r="A11" s="5"/>
      <c r="B11" s="46">
        <f t="shared" ref="B11:B19" si="0">B10+1</f>
        <v>3</v>
      </c>
      <c r="C11" s="67" t="s">
        <v>547</v>
      </c>
      <c r="D11" s="67" t="s">
        <v>536</v>
      </c>
      <c r="E11" s="68" t="s">
        <v>452</v>
      </c>
      <c r="F11" s="68">
        <v>20</v>
      </c>
      <c r="G11" s="69"/>
      <c r="H11" s="66" t="s">
        <v>66</v>
      </c>
      <c r="I11" s="66" t="s">
        <v>536</v>
      </c>
    </row>
    <row r="12" spans="1:9" ht="15">
      <c r="A12" s="5"/>
      <c r="B12" s="46">
        <f t="shared" si="0"/>
        <v>4</v>
      </c>
      <c r="C12" s="64" t="s">
        <v>537</v>
      </c>
      <c r="D12" s="64" t="s">
        <v>538</v>
      </c>
      <c r="E12" s="62" t="s">
        <v>456</v>
      </c>
      <c r="F12" s="62">
        <v>20</v>
      </c>
      <c r="G12" s="66"/>
      <c r="H12" s="66"/>
      <c r="I12" s="66"/>
    </row>
    <row r="13" spans="1:9" ht="15">
      <c r="A13" s="58"/>
      <c r="B13" s="46">
        <f t="shared" si="0"/>
        <v>5</v>
      </c>
      <c r="C13" s="64" t="s">
        <v>539</v>
      </c>
      <c r="D13" s="64" t="s">
        <v>540</v>
      </c>
      <c r="E13" s="68" t="s">
        <v>456</v>
      </c>
      <c r="F13" s="62">
        <v>100</v>
      </c>
      <c r="G13" s="66"/>
      <c r="H13" s="66"/>
      <c r="I13" s="66"/>
    </row>
    <row r="14" spans="1:9" ht="15">
      <c r="A14" s="58"/>
      <c r="B14" s="46">
        <f t="shared" si="0"/>
        <v>6</v>
      </c>
      <c r="C14" s="64" t="s">
        <v>541</v>
      </c>
      <c r="D14" s="64" t="s">
        <v>542</v>
      </c>
      <c r="E14" s="68" t="s">
        <v>456</v>
      </c>
      <c r="F14" s="62">
        <v>1000</v>
      </c>
      <c r="G14" s="66"/>
      <c r="H14" s="66"/>
      <c r="I14" s="66"/>
    </row>
    <row r="15" spans="1:9" ht="15">
      <c r="A15" s="58"/>
      <c r="B15" s="46">
        <f>B11+1</f>
        <v>4</v>
      </c>
      <c r="C15" s="64" t="s">
        <v>548</v>
      </c>
      <c r="D15" s="64" t="s">
        <v>549</v>
      </c>
      <c r="E15" s="62" t="s">
        <v>456</v>
      </c>
      <c r="F15" s="62">
        <v>20</v>
      </c>
      <c r="G15" s="66"/>
      <c r="H15" s="66"/>
      <c r="I15" s="66"/>
    </row>
    <row r="16" spans="1:9" ht="15">
      <c r="A16" s="58"/>
      <c r="B16" s="46">
        <f t="shared" si="0"/>
        <v>5</v>
      </c>
      <c r="C16" s="64" t="s">
        <v>550</v>
      </c>
      <c r="D16" s="64" t="s">
        <v>551</v>
      </c>
      <c r="E16" s="68" t="s">
        <v>456</v>
      </c>
      <c r="F16" s="62">
        <v>100</v>
      </c>
      <c r="G16" s="66"/>
      <c r="H16" s="66"/>
      <c r="I16" s="66"/>
    </row>
    <row r="17" spans="1:9" s="24" customFormat="1" ht="15">
      <c r="A17" s="22"/>
      <c r="B17" s="46">
        <f t="shared" si="0"/>
        <v>6</v>
      </c>
      <c r="C17" s="64" t="s">
        <v>552</v>
      </c>
      <c r="D17" s="64" t="s">
        <v>553</v>
      </c>
      <c r="E17" s="68" t="s">
        <v>456</v>
      </c>
      <c r="F17" s="62">
        <v>1000</v>
      </c>
      <c r="G17" s="66"/>
      <c r="H17" s="66"/>
      <c r="I17" s="66"/>
    </row>
    <row r="18" spans="1:9" ht="15">
      <c r="A18" s="58"/>
      <c r="B18" s="46">
        <f t="shared" si="0"/>
        <v>7</v>
      </c>
      <c r="C18" s="70" t="s">
        <v>398</v>
      </c>
      <c r="D18" s="71" t="s">
        <v>325</v>
      </c>
      <c r="E18" s="72" t="s">
        <v>326</v>
      </c>
      <c r="F18" s="72">
        <v>4</v>
      </c>
      <c r="G18" s="66" t="s">
        <v>327</v>
      </c>
      <c r="H18" s="28" t="s">
        <v>435</v>
      </c>
      <c r="I18" s="73"/>
    </row>
    <row r="19" spans="1:9" ht="15">
      <c r="A19" s="58"/>
      <c r="B19" s="46">
        <f t="shared" si="0"/>
        <v>8</v>
      </c>
      <c r="C19" s="64" t="s">
        <v>493</v>
      </c>
      <c r="D19" s="64" t="s">
        <v>494</v>
      </c>
      <c r="E19" s="74" t="s">
        <v>313</v>
      </c>
      <c r="F19" s="77"/>
      <c r="G19" s="66"/>
      <c r="H19" s="66"/>
      <c r="I19" s="66"/>
    </row>
    <row r="20" spans="1:9" ht="15">
      <c r="B20" s="21"/>
    </row>
    <row r="21" spans="1:9" ht="15">
      <c r="B21" s="45"/>
    </row>
    <row r="22" spans="1:9" ht="15">
      <c r="B22" s="45"/>
    </row>
  </sheetData>
  <mergeCells count="6">
    <mergeCell ref="B7:E7"/>
    <mergeCell ref="F7:I7"/>
    <mergeCell ref="B1:E1"/>
    <mergeCell ref="F1:I1"/>
    <mergeCell ref="B2:E2"/>
    <mergeCell ref="F2:I2"/>
  </mergeCells>
  <phoneticPr fontId="5" type="noConversion"/>
  <pageMargins left="0.7" right="0.7" top="0.75" bottom="0.75" header="0.3" footer="0.3"/>
  <pageSetup paperSize="9" orientation="portrait" horizontalDpi="0" verticalDpi="0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7FAD4D8-9D5B-432B-A2B8-0AC62E8CA2D5}">
  <sheetPr codeName="工作表26"/>
  <dimension ref="A1:I18"/>
  <sheetViews>
    <sheetView workbookViewId="0"/>
  </sheetViews>
  <sheetFormatPr defaultColWidth="6.625" defaultRowHeight="13.5"/>
  <cols>
    <col min="1" max="1" width="3.125" style="4" bestFit="1" customWidth="1"/>
    <col min="2" max="2" width="5.5" style="8" customWidth="1"/>
    <col min="3" max="3" width="18.5" style="4" bestFit="1" customWidth="1"/>
    <col min="4" max="4" width="18.625" style="4" customWidth="1"/>
    <col min="5" max="5" width="11.125" style="4" bestFit="1" customWidth="1"/>
    <col min="6" max="6" width="12.625" style="4" customWidth="1"/>
    <col min="7" max="7" width="18.625" style="4" customWidth="1"/>
    <col min="8" max="8" width="29.625" style="4" customWidth="1"/>
    <col min="9" max="9" width="13.625" style="4" customWidth="1"/>
    <col min="10" max="16384" width="6.625" style="4"/>
  </cols>
  <sheetData>
    <row r="1" spans="1:9" ht="24">
      <c r="A1" s="1" t="e">
        <f ca="1">HYPERLINK("#'介面'!E"&amp;MATCH(VALUE(RIGHT(CELL("filename"),LEN(CELL("filename"))-FIND("]",CELL("filename")))),介面!D:D,"0"),"←")</f>
        <v>#VALUE!</v>
      </c>
      <c r="B1" s="207" t="s">
        <v>554</v>
      </c>
      <c r="C1" s="208"/>
      <c r="D1" s="208"/>
      <c r="E1" s="209"/>
      <c r="F1" s="207" t="s">
        <v>555</v>
      </c>
      <c r="G1" s="208"/>
      <c r="H1" s="208"/>
      <c r="I1" s="208"/>
    </row>
    <row r="2" spans="1:9" ht="24">
      <c r="A2" s="1"/>
      <c r="B2" s="210" t="s">
        <v>275</v>
      </c>
      <c r="C2" s="211"/>
      <c r="D2" s="211"/>
      <c r="E2" s="212"/>
      <c r="F2" s="210"/>
      <c r="G2" s="211"/>
      <c r="H2" s="211"/>
      <c r="I2" s="212"/>
    </row>
    <row r="3" spans="1:9" s="8" customFormat="1" ht="15">
      <c r="A3" s="6"/>
      <c r="B3" s="7" t="s">
        <v>276</v>
      </c>
      <c r="C3" s="56" t="s">
        <v>277</v>
      </c>
      <c r="D3" s="56" t="s">
        <v>278</v>
      </c>
      <c r="E3" s="57" t="s">
        <v>279</v>
      </c>
      <c r="F3" s="57" t="s">
        <v>280</v>
      </c>
      <c r="G3" s="56" t="s">
        <v>281</v>
      </c>
      <c r="H3" s="56" t="s">
        <v>11</v>
      </c>
      <c r="I3" s="56" t="s">
        <v>282</v>
      </c>
    </row>
    <row r="4" spans="1:9" s="24" customFormat="1" ht="15.75">
      <c r="A4" s="25"/>
      <c r="B4" s="46">
        <v>1</v>
      </c>
      <c r="C4" s="80" t="s">
        <v>297</v>
      </c>
      <c r="D4" s="80" t="s">
        <v>298</v>
      </c>
      <c r="E4" s="81" t="s">
        <v>285</v>
      </c>
      <c r="F4" s="81">
        <v>500</v>
      </c>
      <c r="G4" s="66" t="s">
        <v>330</v>
      </c>
      <c r="H4" s="142" t="s">
        <v>302</v>
      </c>
      <c r="I4" s="66" t="s">
        <v>287</v>
      </c>
    </row>
    <row r="5" spans="1:9" s="24" customFormat="1" ht="15">
      <c r="A5" s="25"/>
      <c r="B5" s="46">
        <f>B4+1</f>
        <v>2</v>
      </c>
      <c r="C5" s="50" t="s">
        <v>303</v>
      </c>
      <c r="D5" s="76" t="s">
        <v>304</v>
      </c>
      <c r="E5" s="51" t="s">
        <v>296</v>
      </c>
      <c r="F5" s="51">
        <v>20</v>
      </c>
      <c r="G5" s="66" t="s">
        <v>331</v>
      </c>
      <c r="H5" s="66"/>
      <c r="I5" s="66" t="s">
        <v>287</v>
      </c>
    </row>
    <row r="6" spans="1:9" ht="15.75">
      <c r="A6" s="1"/>
      <c r="B6" s="2"/>
      <c r="C6" s="3"/>
      <c r="D6" s="3"/>
      <c r="E6" s="3"/>
      <c r="F6" s="3"/>
      <c r="G6" s="3"/>
      <c r="H6" s="3"/>
      <c r="I6" s="3"/>
    </row>
    <row r="7" spans="1:9" ht="24">
      <c r="A7" s="1"/>
      <c r="B7" s="204" t="s">
        <v>291</v>
      </c>
      <c r="C7" s="205"/>
      <c r="D7" s="205"/>
      <c r="E7" s="206"/>
      <c r="F7" s="204"/>
      <c r="G7" s="205"/>
      <c r="H7" s="205"/>
      <c r="I7" s="206"/>
    </row>
    <row r="8" spans="1:9" s="8" customFormat="1" ht="15">
      <c r="A8" s="6"/>
      <c r="B8" s="7" t="s">
        <v>276</v>
      </c>
      <c r="C8" s="56" t="s">
        <v>277</v>
      </c>
      <c r="D8" s="56" t="s">
        <v>278</v>
      </c>
      <c r="E8" s="57" t="s">
        <v>279</v>
      </c>
      <c r="F8" s="57" t="s">
        <v>280</v>
      </c>
      <c r="G8" s="56" t="s">
        <v>11</v>
      </c>
      <c r="H8" s="56" t="s">
        <v>292</v>
      </c>
      <c r="I8" s="56" t="s">
        <v>293</v>
      </c>
    </row>
    <row r="9" spans="1:9" ht="15">
      <c r="A9" s="5"/>
      <c r="B9" s="46">
        <v>1</v>
      </c>
      <c r="C9" s="64" t="s">
        <v>556</v>
      </c>
      <c r="D9" s="64" t="s">
        <v>557</v>
      </c>
      <c r="E9" s="62" t="s">
        <v>452</v>
      </c>
      <c r="F9" s="62">
        <v>20</v>
      </c>
      <c r="G9" s="66"/>
      <c r="H9" s="66"/>
      <c r="I9" s="66"/>
    </row>
    <row r="10" spans="1:9" ht="15">
      <c r="A10" s="5"/>
      <c r="B10" s="46">
        <f t="shared" ref="B10:B15" si="0">B9+1</f>
        <v>2</v>
      </c>
      <c r="C10" s="67" t="s">
        <v>453</v>
      </c>
      <c r="D10" s="67" t="s">
        <v>304</v>
      </c>
      <c r="E10" s="68" t="s">
        <v>452</v>
      </c>
      <c r="F10" s="68">
        <v>20</v>
      </c>
      <c r="G10" s="69"/>
      <c r="H10" s="66" t="s">
        <v>41</v>
      </c>
      <c r="I10" s="66" t="s">
        <v>304</v>
      </c>
    </row>
    <row r="11" spans="1:9" ht="15">
      <c r="A11" s="5"/>
      <c r="B11" s="46">
        <f t="shared" si="0"/>
        <v>3</v>
      </c>
      <c r="C11" s="64" t="s">
        <v>558</v>
      </c>
      <c r="D11" s="64" t="s">
        <v>559</v>
      </c>
      <c r="E11" s="62" t="s">
        <v>456</v>
      </c>
      <c r="F11" s="62">
        <v>20</v>
      </c>
      <c r="G11" s="66"/>
      <c r="H11" s="66"/>
      <c r="I11" s="66"/>
    </row>
    <row r="12" spans="1:9" ht="15">
      <c r="A12" s="58"/>
      <c r="B12" s="46">
        <f t="shared" si="0"/>
        <v>4</v>
      </c>
      <c r="C12" s="64" t="s">
        <v>560</v>
      </c>
      <c r="D12" s="64" t="s">
        <v>561</v>
      </c>
      <c r="E12" s="68" t="s">
        <v>456</v>
      </c>
      <c r="F12" s="62">
        <v>100</v>
      </c>
      <c r="G12" s="66"/>
      <c r="H12" s="66"/>
      <c r="I12" s="66"/>
    </row>
    <row r="13" spans="1:9" ht="15">
      <c r="A13" s="58"/>
      <c r="B13" s="46">
        <f t="shared" si="0"/>
        <v>5</v>
      </c>
      <c r="C13" s="64" t="s">
        <v>562</v>
      </c>
      <c r="D13" s="64" t="s">
        <v>563</v>
      </c>
      <c r="E13" s="68" t="s">
        <v>456</v>
      </c>
      <c r="F13" s="62">
        <v>1000</v>
      </c>
      <c r="G13" s="66"/>
      <c r="H13" s="66"/>
      <c r="I13" s="66"/>
    </row>
    <row r="14" spans="1:9" s="24" customFormat="1" ht="15">
      <c r="A14" s="22"/>
      <c r="B14" s="46">
        <f t="shared" si="0"/>
        <v>6</v>
      </c>
      <c r="C14" s="70" t="s">
        <v>398</v>
      </c>
      <c r="D14" s="71" t="s">
        <v>325</v>
      </c>
      <c r="E14" s="72" t="s">
        <v>326</v>
      </c>
      <c r="F14" s="72">
        <v>4</v>
      </c>
      <c r="G14" s="66" t="s">
        <v>327</v>
      </c>
      <c r="H14" s="28" t="s">
        <v>435</v>
      </c>
      <c r="I14" s="73"/>
    </row>
    <row r="15" spans="1:9" ht="15">
      <c r="A15" s="58"/>
      <c r="B15" s="46">
        <f t="shared" si="0"/>
        <v>7</v>
      </c>
      <c r="C15" s="64" t="s">
        <v>493</v>
      </c>
      <c r="D15" s="64" t="s">
        <v>494</v>
      </c>
      <c r="E15" s="74" t="s">
        <v>313</v>
      </c>
      <c r="F15" s="77"/>
      <c r="G15" s="66"/>
      <c r="H15" s="66"/>
      <c r="I15" s="66"/>
    </row>
    <row r="16" spans="1:9" ht="15">
      <c r="B16" s="21"/>
    </row>
    <row r="17" spans="2:2" ht="15">
      <c r="B17" s="45"/>
    </row>
    <row r="18" spans="2:2" ht="15">
      <c r="B18" s="45"/>
    </row>
  </sheetData>
  <mergeCells count="6">
    <mergeCell ref="B7:E7"/>
    <mergeCell ref="F7:I7"/>
    <mergeCell ref="B1:E1"/>
    <mergeCell ref="F1:I1"/>
    <mergeCell ref="B2:E2"/>
    <mergeCell ref="F2:I2"/>
  </mergeCells>
  <phoneticPr fontId="5" type="noConversion"/>
  <pageMargins left="0.7" right="0.7" top="0.75" bottom="0.75" header="0.3" footer="0.3"/>
  <pageSetup paperSize="9" orientation="portrait" horizontalDpi="0" verticalDpi="0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25876ED-C1D3-497D-92F7-1C691374DB8F}">
  <sheetPr codeName="工作表27"/>
  <dimension ref="A1:I17"/>
  <sheetViews>
    <sheetView workbookViewId="0"/>
  </sheetViews>
  <sheetFormatPr defaultColWidth="6.625" defaultRowHeight="13.5"/>
  <cols>
    <col min="1" max="1" width="3.125" style="4" bestFit="1" customWidth="1"/>
    <col min="2" max="2" width="5.5" style="8" customWidth="1"/>
    <col min="3" max="3" width="21.625" style="4" customWidth="1"/>
    <col min="4" max="4" width="18.625" style="4" customWidth="1"/>
    <col min="5" max="5" width="11.125" style="4" bestFit="1" customWidth="1"/>
    <col min="6" max="6" width="12.625" style="4" customWidth="1"/>
    <col min="7" max="7" width="32.625" style="4" customWidth="1"/>
    <col min="8" max="8" width="36.625" style="4" customWidth="1"/>
    <col min="9" max="9" width="13.625" style="4" customWidth="1"/>
    <col min="10" max="16384" width="6.625" style="4"/>
  </cols>
  <sheetData>
    <row r="1" spans="1:9" ht="24">
      <c r="A1" s="149" t="e">
        <f ca="1">HYPERLINK("#'介面'!E"&amp;MATCH(VALUE(RIGHT(CELL("filename"),LEN(CELL("filename"))-FIND("]",CELL("filename")))),介面!D:D,"0"),"←")</f>
        <v>#VALUE!</v>
      </c>
      <c r="B1" s="207" t="s">
        <v>564</v>
      </c>
      <c r="C1" s="208"/>
      <c r="D1" s="208"/>
      <c r="E1" s="209"/>
      <c r="F1" s="207" t="s">
        <v>565</v>
      </c>
      <c r="G1" s="208"/>
      <c r="H1" s="208"/>
      <c r="I1" s="208"/>
    </row>
    <row r="2" spans="1:9" ht="24">
      <c r="A2" s="1"/>
      <c r="B2" s="210" t="s">
        <v>275</v>
      </c>
      <c r="C2" s="211"/>
      <c r="D2" s="211"/>
      <c r="E2" s="212"/>
      <c r="F2" s="210"/>
      <c r="G2" s="211"/>
      <c r="H2" s="211"/>
      <c r="I2" s="212"/>
    </row>
    <row r="3" spans="1:9" s="8" customFormat="1" ht="15">
      <c r="A3" s="6"/>
      <c r="B3" s="7" t="s">
        <v>276</v>
      </c>
      <c r="C3" s="56" t="s">
        <v>277</v>
      </c>
      <c r="D3" s="56" t="s">
        <v>278</v>
      </c>
      <c r="E3" s="57" t="s">
        <v>279</v>
      </c>
      <c r="F3" s="57" t="s">
        <v>280</v>
      </c>
      <c r="G3" s="56" t="s">
        <v>281</v>
      </c>
      <c r="H3" s="56" t="s">
        <v>11</v>
      </c>
      <c r="I3" s="56" t="s">
        <v>282</v>
      </c>
    </row>
    <row r="4" spans="1:9" s="24" customFormat="1" ht="15.75">
      <c r="A4" s="25"/>
      <c r="B4" s="46">
        <v>1</v>
      </c>
      <c r="C4" s="80" t="s">
        <v>297</v>
      </c>
      <c r="D4" s="80" t="s">
        <v>298</v>
      </c>
      <c r="E4" s="81" t="s">
        <v>285</v>
      </c>
      <c r="F4" s="81">
        <v>500</v>
      </c>
      <c r="G4" s="66" t="s">
        <v>330</v>
      </c>
      <c r="H4" s="142" t="s">
        <v>302</v>
      </c>
      <c r="I4" s="66" t="s">
        <v>287</v>
      </c>
    </row>
    <row r="5" spans="1:9" s="24" customFormat="1" ht="15">
      <c r="A5" s="25"/>
      <c r="B5" s="46">
        <f>B4+1</f>
        <v>2</v>
      </c>
      <c r="C5" s="50" t="s">
        <v>303</v>
      </c>
      <c r="D5" s="76" t="s">
        <v>304</v>
      </c>
      <c r="E5" s="51" t="s">
        <v>296</v>
      </c>
      <c r="F5" s="51">
        <v>20</v>
      </c>
      <c r="G5" s="66" t="s">
        <v>331</v>
      </c>
      <c r="H5" s="66"/>
      <c r="I5" s="66" t="s">
        <v>287</v>
      </c>
    </row>
    <row r="6" spans="1:9" ht="15.75">
      <c r="A6" s="1"/>
      <c r="B6" s="2"/>
      <c r="C6" s="3"/>
      <c r="D6" s="3"/>
      <c r="E6" s="3"/>
      <c r="F6" s="3"/>
      <c r="G6" s="3"/>
      <c r="H6" s="3"/>
      <c r="I6" s="3"/>
    </row>
    <row r="7" spans="1:9" ht="24">
      <c r="A7" s="1"/>
      <c r="B7" s="204" t="s">
        <v>291</v>
      </c>
      <c r="C7" s="205"/>
      <c r="D7" s="205"/>
      <c r="E7" s="206"/>
      <c r="F7" s="204"/>
      <c r="G7" s="205"/>
      <c r="H7" s="205"/>
      <c r="I7" s="206"/>
    </row>
    <row r="8" spans="1:9" s="8" customFormat="1" ht="15">
      <c r="A8" s="6"/>
      <c r="B8" s="7" t="s">
        <v>276</v>
      </c>
      <c r="C8" s="56" t="s">
        <v>277</v>
      </c>
      <c r="D8" s="56" t="s">
        <v>278</v>
      </c>
      <c r="E8" s="57" t="s">
        <v>279</v>
      </c>
      <c r="F8" s="57" t="s">
        <v>280</v>
      </c>
      <c r="G8" s="56" t="s">
        <v>11</v>
      </c>
      <c r="H8" s="56" t="s">
        <v>292</v>
      </c>
      <c r="I8" s="56" t="s">
        <v>293</v>
      </c>
    </row>
    <row r="9" spans="1:9" ht="15">
      <c r="A9" s="5"/>
      <c r="B9" s="46">
        <v>1</v>
      </c>
      <c r="C9" s="64" t="s">
        <v>566</v>
      </c>
      <c r="D9" s="64" t="s">
        <v>567</v>
      </c>
      <c r="E9" s="62" t="s">
        <v>296</v>
      </c>
      <c r="F9" s="62">
        <v>20</v>
      </c>
      <c r="G9" s="73"/>
      <c r="H9" s="73"/>
      <c r="I9" s="73"/>
    </row>
    <row r="10" spans="1:9" ht="15">
      <c r="A10" s="5"/>
      <c r="B10" s="46">
        <f t="shared" ref="B10:B15" si="0">B9+1</f>
        <v>2</v>
      </c>
      <c r="C10" s="64" t="s">
        <v>303</v>
      </c>
      <c r="D10" s="64" t="s">
        <v>304</v>
      </c>
      <c r="E10" s="62" t="s">
        <v>296</v>
      </c>
      <c r="F10" s="62">
        <v>20</v>
      </c>
      <c r="G10" s="75"/>
      <c r="H10" s="79" t="s">
        <v>41</v>
      </c>
      <c r="I10" s="79" t="s">
        <v>304</v>
      </c>
    </row>
    <row r="11" spans="1:9" ht="15">
      <c r="A11" s="5"/>
      <c r="B11" s="46">
        <f t="shared" si="0"/>
        <v>3</v>
      </c>
      <c r="C11" s="64" t="s">
        <v>568</v>
      </c>
      <c r="D11" s="76" t="s">
        <v>569</v>
      </c>
      <c r="E11" s="62" t="s">
        <v>285</v>
      </c>
      <c r="F11" s="62">
        <v>20</v>
      </c>
      <c r="G11" s="75"/>
      <c r="H11" s="75"/>
      <c r="I11" s="75"/>
    </row>
    <row r="12" spans="1:9" ht="15">
      <c r="A12" s="58"/>
      <c r="B12" s="46">
        <f t="shared" si="0"/>
        <v>4</v>
      </c>
      <c r="C12" s="64" t="s">
        <v>570</v>
      </c>
      <c r="D12" s="76" t="s">
        <v>571</v>
      </c>
      <c r="E12" s="62" t="s">
        <v>285</v>
      </c>
      <c r="F12" s="62">
        <v>100</v>
      </c>
      <c r="G12" s="66"/>
      <c r="H12" s="66"/>
      <c r="I12" s="66"/>
    </row>
    <row r="13" spans="1:9" ht="15">
      <c r="A13" s="58"/>
      <c r="B13" s="46">
        <f t="shared" si="0"/>
        <v>5</v>
      </c>
      <c r="C13" s="64" t="s">
        <v>572</v>
      </c>
      <c r="D13" s="76" t="s">
        <v>573</v>
      </c>
      <c r="E13" s="62" t="s">
        <v>285</v>
      </c>
      <c r="F13" s="62">
        <v>1000</v>
      </c>
      <c r="G13" s="66"/>
      <c r="H13" s="66"/>
      <c r="I13" s="66"/>
    </row>
    <row r="14" spans="1:9" s="24" customFormat="1" ht="15">
      <c r="A14" s="22"/>
      <c r="B14" s="46">
        <f t="shared" si="0"/>
        <v>6</v>
      </c>
      <c r="C14" s="70" t="s">
        <v>398</v>
      </c>
      <c r="D14" s="71" t="s">
        <v>325</v>
      </c>
      <c r="E14" s="72" t="s">
        <v>326</v>
      </c>
      <c r="F14" s="72">
        <v>4</v>
      </c>
      <c r="G14" s="79" t="s">
        <v>400</v>
      </c>
      <c r="H14" s="28" t="s">
        <v>435</v>
      </c>
      <c r="I14" s="73"/>
    </row>
    <row r="15" spans="1:9" ht="17.25" customHeight="1">
      <c r="A15" s="58"/>
      <c r="B15" s="46">
        <f t="shared" si="0"/>
        <v>7</v>
      </c>
      <c r="C15" s="64" t="s">
        <v>311</v>
      </c>
      <c r="D15" s="64" t="s">
        <v>312</v>
      </c>
      <c r="E15" s="77" t="s">
        <v>313</v>
      </c>
      <c r="F15" s="77"/>
      <c r="G15" s="63"/>
      <c r="H15" s="66"/>
      <c r="I15" s="66"/>
    </row>
    <row r="16" spans="1:9" ht="15">
      <c r="B16" s="45"/>
    </row>
    <row r="17" spans="2:2" ht="15">
      <c r="B17" s="45"/>
    </row>
  </sheetData>
  <mergeCells count="6">
    <mergeCell ref="B7:E7"/>
    <mergeCell ref="F7:I7"/>
    <mergeCell ref="B1:E1"/>
    <mergeCell ref="F1:I1"/>
    <mergeCell ref="B2:E2"/>
    <mergeCell ref="F2:I2"/>
  </mergeCells>
  <phoneticPr fontId="5" type="noConversion"/>
  <pageMargins left="0.7" right="0.7" top="0.75" bottom="0.75" header="0.3" footer="0.3"/>
  <pageSetup paperSize="9" orientation="portrait" horizontalDpi="0" verticalDpi="0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B673160-D5A6-48A3-9EAE-FC38929ADB85}">
  <sheetPr codeName="工作表28"/>
  <dimension ref="A1:I18"/>
  <sheetViews>
    <sheetView workbookViewId="0"/>
  </sheetViews>
  <sheetFormatPr defaultColWidth="6.625" defaultRowHeight="13.5"/>
  <cols>
    <col min="1" max="1" width="3.125" style="4" bestFit="1" customWidth="1"/>
    <col min="2" max="2" width="5.5" style="8" customWidth="1"/>
    <col min="3" max="3" width="23.5" style="4" customWidth="1"/>
    <col min="4" max="4" width="18.625" style="4" customWidth="1"/>
    <col min="5" max="5" width="11.125" style="4" bestFit="1" customWidth="1"/>
    <col min="6" max="6" width="12.625" style="4" customWidth="1"/>
    <col min="7" max="7" width="32.625" style="4" customWidth="1"/>
    <col min="8" max="8" width="33.625" style="4" customWidth="1"/>
    <col min="9" max="9" width="13.625" style="4" customWidth="1"/>
    <col min="10" max="16384" width="6.625" style="4"/>
  </cols>
  <sheetData>
    <row r="1" spans="1:9" ht="24">
      <c r="A1" s="1" t="e">
        <f ca="1">HYPERLINK("#'介面'!E"&amp;MATCH(VALUE(RIGHT(CELL("filename"),LEN(CELL("filename"))-FIND("]",CELL("filename")))),介面!D:D,"0"),"←")</f>
        <v>#VALUE!</v>
      </c>
      <c r="B1" s="207" t="s">
        <v>574</v>
      </c>
      <c r="C1" s="208"/>
      <c r="D1" s="208"/>
      <c r="E1" s="209"/>
      <c r="F1" s="207" t="s">
        <v>575</v>
      </c>
      <c r="G1" s="208"/>
      <c r="H1" s="208"/>
      <c r="I1" s="208"/>
    </row>
    <row r="2" spans="1:9" ht="24">
      <c r="A2" s="1"/>
      <c r="B2" s="210" t="s">
        <v>275</v>
      </c>
      <c r="C2" s="211"/>
      <c r="D2" s="211"/>
      <c r="E2" s="212"/>
      <c r="F2" s="210"/>
      <c r="G2" s="211"/>
      <c r="H2" s="211"/>
      <c r="I2" s="212"/>
    </row>
    <row r="3" spans="1:9" s="8" customFormat="1" ht="15">
      <c r="A3" s="6"/>
      <c r="B3" s="7" t="s">
        <v>276</v>
      </c>
      <c r="C3" s="56" t="s">
        <v>277</v>
      </c>
      <c r="D3" s="56" t="s">
        <v>278</v>
      </c>
      <c r="E3" s="57" t="s">
        <v>279</v>
      </c>
      <c r="F3" s="57" t="s">
        <v>280</v>
      </c>
      <c r="G3" s="56" t="s">
        <v>281</v>
      </c>
      <c r="H3" s="56" t="s">
        <v>11</v>
      </c>
      <c r="I3" s="56" t="s">
        <v>282</v>
      </c>
    </row>
    <row r="4" spans="1:9" s="24" customFormat="1" ht="15.75">
      <c r="A4" s="25"/>
      <c r="B4" s="46">
        <v>1</v>
      </c>
      <c r="C4" s="80" t="s">
        <v>297</v>
      </c>
      <c r="D4" s="80" t="s">
        <v>298</v>
      </c>
      <c r="E4" s="81" t="s">
        <v>285</v>
      </c>
      <c r="F4" s="81">
        <v>500</v>
      </c>
      <c r="G4" s="66" t="s">
        <v>330</v>
      </c>
      <c r="H4" s="142" t="s">
        <v>302</v>
      </c>
      <c r="I4" s="66" t="s">
        <v>287</v>
      </c>
    </row>
    <row r="5" spans="1:9" s="24" customFormat="1" ht="15">
      <c r="A5" s="25"/>
      <c r="B5" s="46">
        <f>B4+1</f>
        <v>2</v>
      </c>
      <c r="C5" s="50" t="s">
        <v>303</v>
      </c>
      <c r="D5" s="76" t="s">
        <v>304</v>
      </c>
      <c r="E5" s="51" t="s">
        <v>296</v>
      </c>
      <c r="F5" s="51">
        <v>20</v>
      </c>
      <c r="G5" s="66" t="s">
        <v>331</v>
      </c>
      <c r="H5" s="66"/>
      <c r="I5" s="66" t="s">
        <v>287</v>
      </c>
    </row>
    <row r="6" spans="1:9" ht="15.75">
      <c r="A6" s="1"/>
      <c r="B6" s="2"/>
      <c r="C6" s="3"/>
      <c r="D6" s="3"/>
      <c r="E6" s="3"/>
      <c r="F6" s="3"/>
      <c r="G6" s="3"/>
      <c r="H6" s="3"/>
      <c r="I6" s="3"/>
    </row>
    <row r="7" spans="1:9" ht="24">
      <c r="A7" s="1"/>
      <c r="B7" s="204" t="s">
        <v>291</v>
      </c>
      <c r="C7" s="205"/>
      <c r="D7" s="205"/>
      <c r="E7" s="206"/>
      <c r="F7" s="204"/>
      <c r="G7" s="205"/>
      <c r="H7" s="205"/>
      <c r="I7" s="206"/>
    </row>
    <row r="8" spans="1:9" s="8" customFormat="1" ht="15">
      <c r="A8" s="6"/>
      <c r="B8" s="7" t="s">
        <v>276</v>
      </c>
      <c r="C8" s="56" t="s">
        <v>277</v>
      </c>
      <c r="D8" s="56" t="s">
        <v>278</v>
      </c>
      <c r="E8" s="57" t="s">
        <v>279</v>
      </c>
      <c r="F8" s="57" t="s">
        <v>280</v>
      </c>
      <c r="G8" s="56" t="s">
        <v>11</v>
      </c>
      <c r="H8" s="56" t="s">
        <v>292</v>
      </c>
      <c r="I8" s="56" t="s">
        <v>293</v>
      </c>
    </row>
    <row r="9" spans="1:9" ht="15">
      <c r="A9" s="5"/>
      <c r="B9" s="46">
        <v>1</v>
      </c>
      <c r="C9" s="64" t="s">
        <v>576</v>
      </c>
      <c r="D9" s="64" t="s">
        <v>577</v>
      </c>
      <c r="E9" s="62" t="s">
        <v>296</v>
      </c>
      <c r="F9" s="62">
        <v>20</v>
      </c>
      <c r="G9" s="73"/>
      <c r="H9" s="73"/>
      <c r="I9" s="73"/>
    </row>
    <row r="10" spans="1:9" ht="15">
      <c r="A10" s="5"/>
      <c r="B10" s="46">
        <f t="shared" ref="B10:B15" si="0">B9+1</f>
        <v>2</v>
      </c>
      <c r="C10" s="64" t="s">
        <v>303</v>
      </c>
      <c r="D10" s="64" t="s">
        <v>304</v>
      </c>
      <c r="E10" s="62" t="s">
        <v>296</v>
      </c>
      <c r="F10" s="62">
        <v>20</v>
      </c>
      <c r="G10" s="75"/>
      <c r="H10" s="79" t="s">
        <v>41</v>
      </c>
      <c r="I10" s="79" t="s">
        <v>304</v>
      </c>
    </row>
    <row r="11" spans="1:9" ht="15">
      <c r="A11" s="5"/>
      <c r="B11" s="46">
        <f t="shared" si="0"/>
        <v>3</v>
      </c>
      <c r="C11" s="64" t="s">
        <v>578</v>
      </c>
      <c r="D11" s="76" t="s">
        <v>569</v>
      </c>
      <c r="E11" s="62" t="s">
        <v>285</v>
      </c>
      <c r="F11" s="62">
        <v>20</v>
      </c>
      <c r="G11" s="75"/>
      <c r="H11" s="75"/>
      <c r="I11" s="75"/>
    </row>
    <row r="12" spans="1:9" ht="15">
      <c r="A12" s="58"/>
      <c r="B12" s="46">
        <f t="shared" si="0"/>
        <v>4</v>
      </c>
      <c r="C12" s="64" t="s">
        <v>579</v>
      </c>
      <c r="D12" s="76" t="s">
        <v>571</v>
      </c>
      <c r="E12" s="62" t="s">
        <v>285</v>
      </c>
      <c r="F12" s="62">
        <v>100</v>
      </c>
      <c r="G12" s="66"/>
      <c r="H12" s="66"/>
      <c r="I12" s="66"/>
    </row>
    <row r="13" spans="1:9" ht="15">
      <c r="A13" s="58"/>
      <c r="B13" s="46">
        <f t="shared" si="0"/>
        <v>5</v>
      </c>
      <c r="C13" s="64" t="s">
        <v>580</v>
      </c>
      <c r="D13" s="76" t="s">
        <v>581</v>
      </c>
      <c r="E13" s="62" t="s">
        <v>285</v>
      </c>
      <c r="F13" s="62">
        <v>1000</v>
      </c>
      <c r="G13" s="66"/>
      <c r="H13" s="66"/>
      <c r="I13" s="66"/>
    </row>
    <row r="14" spans="1:9" ht="15">
      <c r="A14" s="58"/>
      <c r="B14" s="46">
        <f t="shared" si="0"/>
        <v>6</v>
      </c>
      <c r="C14" s="70" t="s">
        <v>398</v>
      </c>
      <c r="D14" s="71" t="s">
        <v>325</v>
      </c>
      <c r="E14" s="72" t="s">
        <v>326</v>
      </c>
      <c r="F14" s="72">
        <v>4</v>
      </c>
      <c r="G14" s="79" t="s">
        <v>400</v>
      </c>
      <c r="H14" s="28" t="s">
        <v>435</v>
      </c>
      <c r="I14" s="73"/>
    </row>
    <row r="15" spans="1:9" ht="15">
      <c r="A15" s="58"/>
      <c r="B15" s="46">
        <f t="shared" si="0"/>
        <v>7</v>
      </c>
      <c r="C15" s="64" t="s">
        <v>311</v>
      </c>
      <c r="D15" s="64" t="s">
        <v>312</v>
      </c>
      <c r="E15" s="77" t="s">
        <v>313</v>
      </c>
      <c r="F15" s="77"/>
      <c r="G15" s="63"/>
      <c r="H15" s="66"/>
      <c r="I15" s="66"/>
    </row>
    <row r="16" spans="1:9" ht="15">
      <c r="B16" s="21"/>
    </row>
    <row r="17" spans="2:2" ht="15">
      <c r="B17" s="45"/>
    </row>
    <row r="18" spans="2:2" ht="15">
      <c r="B18" s="45"/>
    </row>
  </sheetData>
  <mergeCells count="6">
    <mergeCell ref="B7:E7"/>
    <mergeCell ref="F7:I7"/>
    <mergeCell ref="B1:E1"/>
    <mergeCell ref="F1:I1"/>
    <mergeCell ref="B2:E2"/>
    <mergeCell ref="F2:I2"/>
  </mergeCells>
  <phoneticPr fontId="5" type="noConversion"/>
  <pageMargins left="0.7" right="0.7" top="0.75" bottom="0.75" header="0.3" footer="0.3"/>
  <pageSetup paperSize="9" orientation="portrait" horizontalDpi="0" verticalDpi="0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E03408A-4A54-4F3F-BFD2-A25D19B2702E}">
  <sheetPr codeName="工作表29"/>
  <dimension ref="A1:I18"/>
  <sheetViews>
    <sheetView workbookViewId="0"/>
  </sheetViews>
  <sheetFormatPr defaultColWidth="6.625" defaultRowHeight="13.5"/>
  <cols>
    <col min="1" max="1" width="3.125" style="4" bestFit="1" customWidth="1"/>
    <col min="2" max="2" width="5.5" style="8" customWidth="1"/>
    <col min="3" max="3" width="22.625" style="4" customWidth="1"/>
    <col min="4" max="4" width="23.125" style="4" customWidth="1"/>
    <col min="5" max="5" width="11.125" style="4" bestFit="1" customWidth="1"/>
    <col min="6" max="6" width="12.625" style="4" customWidth="1"/>
    <col min="7" max="7" width="18.625" style="4" customWidth="1"/>
    <col min="8" max="8" width="32.375" style="4" customWidth="1"/>
    <col min="9" max="9" width="17.5" style="4" customWidth="1"/>
    <col min="10" max="16384" width="6.625" style="4"/>
  </cols>
  <sheetData>
    <row r="1" spans="1:9" ht="24">
      <c r="A1" s="1" t="e">
        <f ca="1">HYPERLINK("#'介面'!E"&amp;MATCH(VALUE(RIGHT(CELL("filename"),LEN(CELL("filename"))-FIND("]",CELL("filename")))),介面!D:D,"0"),"←")</f>
        <v>#VALUE!</v>
      </c>
      <c r="B1" s="207" t="s">
        <v>582</v>
      </c>
      <c r="C1" s="208"/>
      <c r="D1" s="208"/>
      <c r="E1" s="209"/>
      <c r="F1" s="207" t="s">
        <v>583</v>
      </c>
      <c r="G1" s="208"/>
      <c r="H1" s="208"/>
      <c r="I1" s="208"/>
    </row>
    <row r="2" spans="1:9" ht="24">
      <c r="A2" s="1"/>
      <c r="B2" s="210" t="s">
        <v>275</v>
      </c>
      <c r="C2" s="211"/>
      <c r="D2" s="211"/>
      <c r="E2" s="212"/>
      <c r="F2" s="210"/>
      <c r="G2" s="211"/>
      <c r="H2" s="211"/>
      <c r="I2" s="212"/>
    </row>
    <row r="3" spans="1:9" s="8" customFormat="1" ht="15">
      <c r="A3" s="6"/>
      <c r="B3" s="7" t="s">
        <v>276</v>
      </c>
      <c r="C3" s="56" t="s">
        <v>277</v>
      </c>
      <c r="D3" s="56" t="s">
        <v>278</v>
      </c>
      <c r="E3" s="57" t="s">
        <v>279</v>
      </c>
      <c r="F3" s="57" t="s">
        <v>280</v>
      </c>
      <c r="G3" s="56" t="s">
        <v>281</v>
      </c>
      <c r="H3" s="56" t="s">
        <v>11</v>
      </c>
      <c r="I3" s="56" t="s">
        <v>282</v>
      </c>
    </row>
    <row r="4" spans="1:9" s="24" customFormat="1" ht="15.75">
      <c r="A4" s="25"/>
      <c r="B4" s="46">
        <v>1</v>
      </c>
      <c r="C4" s="80" t="s">
        <v>297</v>
      </c>
      <c r="D4" s="80" t="s">
        <v>298</v>
      </c>
      <c r="E4" s="81" t="s">
        <v>285</v>
      </c>
      <c r="F4" s="81">
        <v>500</v>
      </c>
      <c r="G4" s="66" t="s">
        <v>330</v>
      </c>
      <c r="H4" s="142" t="s">
        <v>302</v>
      </c>
      <c r="I4" s="66" t="s">
        <v>287</v>
      </c>
    </row>
    <row r="5" spans="1:9" s="24" customFormat="1" ht="15">
      <c r="A5" s="25"/>
      <c r="B5" s="46">
        <f>B4+1</f>
        <v>2</v>
      </c>
      <c r="C5" s="50" t="s">
        <v>303</v>
      </c>
      <c r="D5" s="76" t="s">
        <v>304</v>
      </c>
      <c r="E5" s="51" t="s">
        <v>296</v>
      </c>
      <c r="F5" s="51">
        <v>20</v>
      </c>
      <c r="G5" s="66" t="s">
        <v>331</v>
      </c>
      <c r="H5" s="66"/>
      <c r="I5" s="66" t="s">
        <v>287</v>
      </c>
    </row>
    <row r="6" spans="1:9" ht="15.75">
      <c r="A6" s="1"/>
      <c r="B6" s="2"/>
      <c r="C6" s="3"/>
      <c r="D6" s="3"/>
      <c r="E6" s="3"/>
      <c r="F6" s="3"/>
      <c r="G6" s="3"/>
      <c r="H6" s="3"/>
      <c r="I6" s="3"/>
    </row>
    <row r="7" spans="1:9" ht="24">
      <c r="A7" s="1"/>
      <c r="B7" s="204" t="s">
        <v>291</v>
      </c>
      <c r="C7" s="205"/>
      <c r="D7" s="205"/>
      <c r="E7" s="206"/>
      <c r="F7" s="204"/>
      <c r="G7" s="205"/>
      <c r="H7" s="205"/>
      <c r="I7" s="206"/>
    </row>
    <row r="8" spans="1:9" s="8" customFormat="1" ht="15">
      <c r="A8" s="6"/>
      <c r="B8" s="7" t="s">
        <v>276</v>
      </c>
      <c r="C8" s="56" t="s">
        <v>277</v>
      </c>
      <c r="D8" s="56" t="s">
        <v>278</v>
      </c>
      <c r="E8" s="57" t="s">
        <v>279</v>
      </c>
      <c r="F8" s="57" t="s">
        <v>280</v>
      </c>
      <c r="G8" s="56" t="s">
        <v>11</v>
      </c>
      <c r="H8" s="56" t="s">
        <v>292</v>
      </c>
      <c r="I8" s="56" t="s">
        <v>293</v>
      </c>
    </row>
    <row r="9" spans="1:9" ht="15">
      <c r="A9" s="5"/>
      <c r="B9" s="46">
        <v>1</v>
      </c>
      <c r="C9" s="64" t="s">
        <v>584</v>
      </c>
      <c r="D9" s="64" t="s">
        <v>585</v>
      </c>
      <c r="E9" s="62" t="s">
        <v>452</v>
      </c>
      <c r="F9" s="62">
        <v>20</v>
      </c>
      <c r="G9" s="66"/>
      <c r="H9" s="66"/>
      <c r="I9" s="66"/>
    </row>
    <row r="10" spans="1:9" ht="15">
      <c r="A10" s="5"/>
      <c r="B10" s="46">
        <f t="shared" ref="B10:B15" si="0">B9+1</f>
        <v>2</v>
      </c>
      <c r="C10" s="67" t="s">
        <v>453</v>
      </c>
      <c r="D10" s="67" t="s">
        <v>304</v>
      </c>
      <c r="E10" s="68" t="s">
        <v>452</v>
      </c>
      <c r="F10" s="68">
        <v>20</v>
      </c>
      <c r="G10" s="69"/>
      <c r="H10" s="66" t="s">
        <v>41</v>
      </c>
      <c r="I10" s="66" t="s">
        <v>304</v>
      </c>
    </row>
    <row r="11" spans="1:9" ht="15">
      <c r="A11" s="58"/>
      <c r="B11" s="46">
        <f t="shared" si="0"/>
        <v>3</v>
      </c>
      <c r="C11" s="64" t="s">
        <v>586</v>
      </c>
      <c r="D11" s="64" t="s">
        <v>587</v>
      </c>
      <c r="E11" s="62" t="s">
        <v>456</v>
      </c>
      <c r="F11" s="62">
        <v>20</v>
      </c>
      <c r="G11" s="66"/>
      <c r="H11" s="66"/>
      <c r="I11" s="66"/>
    </row>
    <row r="12" spans="1:9" ht="15">
      <c r="A12" s="58"/>
      <c r="B12" s="46">
        <f t="shared" si="0"/>
        <v>4</v>
      </c>
      <c r="C12" s="64" t="s">
        <v>588</v>
      </c>
      <c r="D12" s="64" t="s">
        <v>589</v>
      </c>
      <c r="E12" s="68" t="s">
        <v>456</v>
      </c>
      <c r="F12" s="62">
        <v>100</v>
      </c>
      <c r="G12" s="66"/>
      <c r="H12" s="66"/>
      <c r="I12" s="66"/>
    </row>
    <row r="13" spans="1:9" s="24" customFormat="1" ht="15">
      <c r="A13" s="22"/>
      <c r="B13" s="46">
        <f t="shared" si="0"/>
        <v>5</v>
      </c>
      <c r="C13" s="64" t="s">
        <v>590</v>
      </c>
      <c r="D13" s="64" t="s">
        <v>591</v>
      </c>
      <c r="E13" s="68" t="s">
        <v>456</v>
      </c>
      <c r="F13" s="62">
        <v>1000</v>
      </c>
      <c r="G13" s="66"/>
      <c r="H13" s="66"/>
      <c r="I13" s="66"/>
    </row>
    <row r="14" spans="1:9" ht="15">
      <c r="A14" s="58"/>
      <c r="B14" s="46">
        <f t="shared" si="0"/>
        <v>6</v>
      </c>
      <c r="C14" s="70" t="s">
        <v>398</v>
      </c>
      <c r="D14" s="71" t="s">
        <v>325</v>
      </c>
      <c r="E14" s="72" t="s">
        <v>326</v>
      </c>
      <c r="F14" s="72">
        <v>4</v>
      </c>
      <c r="G14" s="66" t="s">
        <v>327</v>
      </c>
      <c r="H14" s="28" t="s">
        <v>435</v>
      </c>
      <c r="I14" s="73"/>
    </row>
    <row r="15" spans="1:9" ht="15">
      <c r="A15" s="58"/>
      <c r="B15" s="46">
        <f t="shared" si="0"/>
        <v>7</v>
      </c>
      <c r="C15" s="64" t="s">
        <v>493</v>
      </c>
      <c r="D15" s="64" t="s">
        <v>494</v>
      </c>
      <c r="E15" s="77" t="s">
        <v>313</v>
      </c>
      <c r="F15" s="77"/>
      <c r="G15" s="66"/>
      <c r="H15" s="66"/>
      <c r="I15" s="66"/>
    </row>
    <row r="16" spans="1:9" ht="15">
      <c r="B16" s="21"/>
    </row>
    <row r="17" spans="2:2" ht="15">
      <c r="B17" s="45"/>
    </row>
    <row r="18" spans="2:2" ht="15">
      <c r="B18" s="45"/>
    </row>
  </sheetData>
  <mergeCells count="6">
    <mergeCell ref="B7:E7"/>
    <mergeCell ref="F7:I7"/>
    <mergeCell ref="B1:E1"/>
    <mergeCell ref="F1:I1"/>
    <mergeCell ref="B2:E2"/>
    <mergeCell ref="F2:I2"/>
  </mergeCells>
  <phoneticPr fontId="5" type="noConversion"/>
  <pageMargins left="0.7" right="0.7" top="0.75" bottom="0.75" header="0.3" footer="0.3"/>
  <pageSetup paperSize="9" orientation="portrait" horizontalDpi="0" verticalDpi="0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D6DCF82-233C-4D48-B659-DC859343B6FA}">
  <sheetPr codeName="工作表30"/>
  <dimension ref="A1:I20"/>
  <sheetViews>
    <sheetView workbookViewId="0">
      <selection activeCell="E15" sqref="E15"/>
    </sheetView>
  </sheetViews>
  <sheetFormatPr defaultColWidth="6.625" defaultRowHeight="13.5"/>
  <cols>
    <col min="1" max="1" width="3.125" style="4" bestFit="1" customWidth="1"/>
    <col min="2" max="2" width="5.5" style="8" customWidth="1"/>
    <col min="3" max="3" width="22.625" style="4" customWidth="1"/>
    <col min="4" max="4" width="23.125" style="4" customWidth="1"/>
    <col min="5" max="5" width="11.125" style="4" bestFit="1" customWidth="1"/>
    <col min="6" max="6" width="12.625" style="4" customWidth="1"/>
    <col min="7" max="7" width="18.625" style="4" customWidth="1"/>
    <col min="8" max="8" width="39.125" style="4" customWidth="1"/>
    <col min="9" max="9" width="17.5" style="4" customWidth="1"/>
    <col min="10" max="16384" width="6.625" style="4"/>
  </cols>
  <sheetData>
    <row r="1" spans="1:9" ht="24">
      <c r="A1" s="1" t="e">
        <f ca="1">HYPERLINK("#'介面'!E"&amp;MATCH(VALUE(RIGHT(CELL("filename"),LEN(CELL("filename"))-FIND("]",CELL("filename")))),介面!D:D,"0"),"←")</f>
        <v>#VALUE!</v>
      </c>
      <c r="B1" s="207" t="s">
        <v>592</v>
      </c>
      <c r="C1" s="208"/>
      <c r="D1" s="208"/>
      <c r="E1" s="209"/>
      <c r="F1" s="207" t="s">
        <v>593</v>
      </c>
      <c r="G1" s="208"/>
      <c r="H1" s="208"/>
      <c r="I1" s="208"/>
    </row>
    <row r="2" spans="1:9" ht="24">
      <c r="A2" s="1"/>
      <c r="B2" s="210" t="s">
        <v>275</v>
      </c>
      <c r="C2" s="211"/>
      <c r="D2" s="211"/>
      <c r="E2" s="212"/>
      <c r="F2" s="210"/>
      <c r="G2" s="211"/>
      <c r="H2" s="211"/>
      <c r="I2" s="212"/>
    </row>
    <row r="3" spans="1:9" s="8" customFormat="1" ht="15">
      <c r="A3" s="6"/>
      <c r="B3" s="7" t="s">
        <v>276</v>
      </c>
      <c r="C3" s="56" t="s">
        <v>277</v>
      </c>
      <c r="D3" s="56" t="s">
        <v>278</v>
      </c>
      <c r="E3" s="57" t="s">
        <v>279</v>
      </c>
      <c r="F3" s="57" t="s">
        <v>280</v>
      </c>
      <c r="G3" s="56" t="s">
        <v>281</v>
      </c>
      <c r="H3" s="56" t="s">
        <v>11</v>
      </c>
      <c r="I3" s="56" t="s">
        <v>282</v>
      </c>
    </row>
    <row r="4" spans="1:9" s="24" customFormat="1" ht="15.75">
      <c r="A4" s="25"/>
      <c r="B4" s="46">
        <v>1</v>
      </c>
      <c r="C4" s="80" t="s">
        <v>297</v>
      </c>
      <c r="D4" s="80" t="s">
        <v>298</v>
      </c>
      <c r="E4" s="81" t="s">
        <v>285</v>
      </c>
      <c r="F4" s="81">
        <v>500</v>
      </c>
      <c r="G4" s="66" t="s">
        <v>330</v>
      </c>
      <c r="H4" s="142" t="s">
        <v>302</v>
      </c>
      <c r="I4" s="66" t="s">
        <v>287</v>
      </c>
    </row>
    <row r="5" spans="1:9" s="24" customFormat="1" ht="15">
      <c r="A5" s="25"/>
      <c r="B5" s="46">
        <f>B4+1</f>
        <v>2</v>
      </c>
      <c r="C5" s="50" t="s">
        <v>303</v>
      </c>
      <c r="D5" s="76" t="s">
        <v>304</v>
      </c>
      <c r="E5" s="51" t="s">
        <v>296</v>
      </c>
      <c r="F5" s="51">
        <v>20</v>
      </c>
      <c r="G5" s="66" t="s">
        <v>331</v>
      </c>
      <c r="H5" s="66"/>
      <c r="I5" s="66" t="s">
        <v>287</v>
      </c>
    </row>
    <row r="6" spans="1:9" ht="15.75">
      <c r="A6" s="1"/>
      <c r="B6" s="2"/>
      <c r="C6" s="3"/>
      <c r="D6" s="3"/>
      <c r="E6" s="3"/>
      <c r="F6" s="3"/>
      <c r="G6" s="3"/>
      <c r="H6" s="3"/>
      <c r="I6" s="3"/>
    </row>
    <row r="7" spans="1:9" ht="24">
      <c r="A7" s="1"/>
      <c r="B7" s="204" t="s">
        <v>291</v>
      </c>
      <c r="C7" s="205"/>
      <c r="D7" s="205"/>
      <c r="E7" s="206"/>
      <c r="F7" s="204"/>
      <c r="G7" s="205"/>
      <c r="H7" s="205"/>
      <c r="I7" s="206"/>
    </row>
    <row r="8" spans="1:9" s="8" customFormat="1" ht="15">
      <c r="A8" s="6"/>
      <c r="B8" s="7" t="s">
        <v>276</v>
      </c>
      <c r="C8" s="56" t="s">
        <v>277</v>
      </c>
      <c r="D8" s="56" t="s">
        <v>278</v>
      </c>
      <c r="E8" s="57" t="s">
        <v>279</v>
      </c>
      <c r="F8" s="57" t="s">
        <v>280</v>
      </c>
      <c r="G8" s="56" t="s">
        <v>11</v>
      </c>
      <c r="H8" s="56" t="s">
        <v>292</v>
      </c>
      <c r="I8" s="56" t="s">
        <v>293</v>
      </c>
    </row>
    <row r="9" spans="1:9" ht="15">
      <c r="A9" s="5"/>
      <c r="B9" s="46">
        <v>1</v>
      </c>
      <c r="C9" s="64" t="s">
        <v>594</v>
      </c>
      <c r="D9" s="64" t="s">
        <v>595</v>
      </c>
      <c r="E9" s="62" t="s">
        <v>452</v>
      </c>
      <c r="F9" s="62">
        <v>20</v>
      </c>
      <c r="G9" s="66"/>
      <c r="H9" s="66"/>
      <c r="I9" s="66"/>
    </row>
    <row r="10" spans="1:9" ht="15">
      <c r="A10" s="5"/>
      <c r="B10" s="46">
        <f>B9+1</f>
        <v>2</v>
      </c>
      <c r="C10" s="67" t="s">
        <v>453</v>
      </c>
      <c r="D10" s="67" t="s">
        <v>304</v>
      </c>
      <c r="E10" s="68" t="s">
        <v>452</v>
      </c>
      <c r="F10" s="68">
        <v>20</v>
      </c>
      <c r="G10" s="69"/>
      <c r="H10" s="66" t="s">
        <v>41</v>
      </c>
      <c r="I10" s="66" t="s">
        <v>304</v>
      </c>
    </row>
    <row r="11" spans="1:9" ht="15">
      <c r="A11" s="5"/>
      <c r="B11" s="46">
        <f t="shared" ref="B11:B17" si="0">B10+1</f>
        <v>3</v>
      </c>
      <c r="C11" s="64" t="s">
        <v>596</v>
      </c>
      <c r="D11" s="64" t="s">
        <v>597</v>
      </c>
      <c r="E11" s="62" t="s">
        <v>456</v>
      </c>
      <c r="F11" s="62">
        <v>20</v>
      </c>
      <c r="G11" s="66"/>
      <c r="H11" s="66"/>
      <c r="I11" s="66"/>
    </row>
    <row r="12" spans="1:9" ht="15">
      <c r="A12" s="58"/>
      <c r="B12" s="46">
        <f t="shared" si="0"/>
        <v>4</v>
      </c>
      <c r="C12" s="64" t="s">
        <v>598</v>
      </c>
      <c r="D12" s="64" t="s">
        <v>599</v>
      </c>
      <c r="E12" s="68" t="s">
        <v>456</v>
      </c>
      <c r="F12" s="62">
        <v>100</v>
      </c>
      <c r="G12" s="66"/>
      <c r="H12" s="66"/>
      <c r="I12" s="66"/>
    </row>
    <row r="13" spans="1:9" ht="15">
      <c r="A13" s="58"/>
      <c r="B13" s="46">
        <f t="shared" si="0"/>
        <v>5</v>
      </c>
      <c r="C13" s="64" t="s">
        <v>600</v>
      </c>
      <c r="D13" s="64" t="s">
        <v>601</v>
      </c>
      <c r="E13" s="68" t="s">
        <v>456</v>
      </c>
      <c r="F13" s="62">
        <v>1000</v>
      </c>
      <c r="G13" s="66"/>
      <c r="H13" s="66"/>
      <c r="I13" s="66"/>
    </row>
    <row r="14" spans="1:9" s="24" customFormat="1" ht="15">
      <c r="A14" s="22"/>
      <c r="B14" s="46">
        <f t="shared" si="0"/>
        <v>6</v>
      </c>
      <c r="C14" s="64" t="s">
        <v>602</v>
      </c>
      <c r="D14" s="64" t="s">
        <v>603</v>
      </c>
      <c r="E14" s="68" t="s">
        <v>326</v>
      </c>
      <c r="F14" s="62">
        <v>4</v>
      </c>
      <c r="G14" s="66" t="s">
        <v>604</v>
      </c>
      <c r="H14" s="66" t="s">
        <v>605</v>
      </c>
      <c r="I14" s="66"/>
    </row>
    <row r="15" spans="1:9" ht="15">
      <c r="A15" s="58"/>
      <c r="B15" s="46">
        <f t="shared" si="0"/>
        <v>7</v>
      </c>
      <c r="C15" s="64" t="s">
        <v>606</v>
      </c>
      <c r="D15" s="64" t="s">
        <v>607</v>
      </c>
      <c r="E15" s="68" t="s">
        <v>608</v>
      </c>
      <c r="F15" s="62" t="s">
        <v>609</v>
      </c>
      <c r="G15" s="66"/>
      <c r="H15" s="66"/>
      <c r="I15" s="66"/>
    </row>
    <row r="16" spans="1:9" ht="15">
      <c r="A16" s="58"/>
      <c r="B16" s="46">
        <f t="shared" si="0"/>
        <v>8</v>
      </c>
      <c r="C16" s="70" t="s">
        <v>398</v>
      </c>
      <c r="D16" s="71" t="s">
        <v>325</v>
      </c>
      <c r="E16" s="72" t="s">
        <v>326</v>
      </c>
      <c r="F16" s="72">
        <v>4</v>
      </c>
      <c r="G16" s="66" t="s">
        <v>327</v>
      </c>
      <c r="H16" s="28" t="s">
        <v>435</v>
      </c>
      <c r="I16" s="73"/>
    </row>
    <row r="17" spans="1:9" ht="15">
      <c r="A17" s="58"/>
      <c r="B17" s="46">
        <f t="shared" si="0"/>
        <v>9</v>
      </c>
      <c r="C17" s="64" t="s">
        <v>493</v>
      </c>
      <c r="D17" s="64" t="s">
        <v>494</v>
      </c>
      <c r="E17" s="77" t="s">
        <v>313</v>
      </c>
      <c r="F17" s="77"/>
      <c r="G17" s="66"/>
      <c r="H17" s="66"/>
      <c r="I17" s="66"/>
    </row>
    <row r="18" spans="1:9" ht="15">
      <c r="B18" s="21"/>
    </row>
    <row r="19" spans="1:9" ht="15">
      <c r="B19" s="45"/>
    </row>
    <row r="20" spans="1:9" ht="15">
      <c r="B20" s="45"/>
    </row>
  </sheetData>
  <mergeCells count="6">
    <mergeCell ref="B7:E7"/>
    <mergeCell ref="F7:I7"/>
    <mergeCell ref="B1:E1"/>
    <mergeCell ref="F1:I1"/>
    <mergeCell ref="B2:E2"/>
    <mergeCell ref="F2:I2"/>
  </mergeCells>
  <phoneticPr fontId="5" type="noConversion"/>
  <pageMargins left="0.7" right="0.7" top="0.75" bottom="0.75" header="0.3" footer="0.3"/>
  <pageSetup paperSize="9" orientation="portrait" horizontalDpi="0" verticalDpi="0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A13C605-B062-435F-8D14-BDCD168F1452}">
  <sheetPr codeName="工作表31"/>
  <dimension ref="A1:I18"/>
  <sheetViews>
    <sheetView workbookViewId="0"/>
  </sheetViews>
  <sheetFormatPr defaultColWidth="6.625" defaultRowHeight="13.5"/>
  <cols>
    <col min="1" max="1" width="3.125" style="4" bestFit="1" customWidth="1"/>
    <col min="2" max="2" width="5.5" style="8" customWidth="1"/>
    <col min="3" max="3" width="22.625" style="4" customWidth="1"/>
    <col min="4" max="4" width="23.125" style="4" customWidth="1"/>
    <col min="5" max="5" width="11.125" style="4" bestFit="1" customWidth="1"/>
    <col min="6" max="6" width="12.625" style="4" customWidth="1"/>
    <col min="7" max="7" width="18.625" style="4" customWidth="1"/>
    <col min="8" max="8" width="27.125" style="4" customWidth="1"/>
    <col min="9" max="9" width="17.5" style="4" customWidth="1"/>
    <col min="10" max="16384" width="6.625" style="4"/>
  </cols>
  <sheetData>
    <row r="1" spans="1:9" ht="24">
      <c r="A1" s="1" t="e">
        <f ca="1">HYPERLINK("#'介面'!E"&amp;MATCH(VALUE(RIGHT(CELL("filename"),LEN(CELL("filename"))-FIND("]",CELL("filename")))),介面!D:D,"0"),"←")</f>
        <v>#VALUE!</v>
      </c>
      <c r="B1" s="207" t="s">
        <v>610</v>
      </c>
      <c r="C1" s="208"/>
      <c r="D1" s="208"/>
      <c r="E1" s="209"/>
      <c r="F1" s="207" t="s">
        <v>611</v>
      </c>
      <c r="G1" s="208"/>
      <c r="H1" s="208"/>
      <c r="I1" s="208"/>
    </row>
    <row r="2" spans="1:9" ht="24">
      <c r="A2" s="1"/>
      <c r="B2" s="210" t="s">
        <v>275</v>
      </c>
      <c r="C2" s="211"/>
      <c r="D2" s="211"/>
      <c r="E2" s="212"/>
      <c r="F2" s="210"/>
      <c r="G2" s="211"/>
      <c r="H2" s="211"/>
      <c r="I2" s="212"/>
    </row>
    <row r="3" spans="1:9" s="8" customFormat="1" ht="15">
      <c r="A3" s="6"/>
      <c r="B3" s="7" t="s">
        <v>276</v>
      </c>
      <c r="C3" s="56" t="s">
        <v>277</v>
      </c>
      <c r="D3" s="56" t="s">
        <v>278</v>
      </c>
      <c r="E3" s="57" t="s">
        <v>279</v>
      </c>
      <c r="F3" s="57" t="s">
        <v>280</v>
      </c>
      <c r="G3" s="56" t="s">
        <v>281</v>
      </c>
      <c r="H3" s="56" t="s">
        <v>11</v>
      </c>
      <c r="I3" s="56" t="s">
        <v>282</v>
      </c>
    </row>
    <row r="4" spans="1:9" s="24" customFormat="1" ht="15.75">
      <c r="A4" s="25"/>
      <c r="B4" s="46">
        <v>1</v>
      </c>
      <c r="C4" s="80" t="s">
        <v>297</v>
      </c>
      <c r="D4" s="80" t="s">
        <v>298</v>
      </c>
      <c r="E4" s="81" t="s">
        <v>285</v>
      </c>
      <c r="F4" s="81">
        <v>500</v>
      </c>
      <c r="G4" s="66" t="s">
        <v>330</v>
      </c>
      <c r="H4" s="142" t="s">
        <v>302</v>
      </c>
      <c r="I4" s="66" t="s">
        <v>287</v>
      </c>
    </row>
    <row r="5" spans="1:9" s="24" customFormat="1" ht="15">
      <c r="A5" s="25"/>
      <c r="B5" s="46">
        <f>B4+1</f>
        <v>2</v>
      </c>
      <c r="C5" s="50" t="s">
        <v>303</v>
      </c>
      <c r="D5" s="76" t="s">
        <v>304</v>
      </c>
      <c r="E5" s="51" t="s">
        <v>296</v>
      </c>
      <c r="F5" s="51">
        <v>20</v>
      </c>
      <c r="G5" s="66" t="s">
        <v>331</v>
      </c>
      <c r="H5" s="66"/>
      <c r="I5" s="66" t="s">
        <v>287</v>
      </c>
    </row>
    <row r="6" spans="1:9" ht="15.75">
      <c r="A6" s="1"/>
      <c r="B6" s="2"/>
      <c r="C6" s="3"/>
      <c r="D6" s="3"/>
      <c r="E6" s="3"/>
      <c r="F6" s="3"/>
      <c r="G6" s="3"/>
      <c r="H6" s="3"/>
      <c r="I6" s="3"/>
    </row>
    <row r="7" spans="1:9" ht="24">
      <c r="A7" s="1"/>
      <c r="B7" s="204" t="s">
        <v>291</v>
      </c>
      <c r="C7" s="205"/>
      <c r="D7" s="205"/>
      <c r="E7" s="206"/>
      <c r="F7" s="204"/>
      <c r="G7" s="205"/>
      <c r="H7" s="205"/>
      <c r="I7" s="206"/>
    </row>
    <row r="8" spans="1:9" s="8" customFormat="1" ht="15">
      <c r="A8" s="6"/>
      <c r="B8" s="7" t="s">
        <v>276</v>
      </c>
      <c r="C8" s="56" t="s">
        <v>277</v>
      </c>
      <c r="D8" s="56" t="s">
        <v>278</v>
      </c>
      <c r="E8" s="57" t="s">
        <v>279</v>
      </c>
      <c r="F8" s="57" t="s">
        <v>280</v>
      </c>
      <c r="G8" s="56" t="s">
        <v>11</v>
      </c>
      <c r="H8" s="56" t="s">
        <v>292</v>
      </c>
      <c r="I8" s="56" t="s">
        <v>293</v>
      </c>
    </row>
    <row r="9" spans="1:9" ht="15">
      <c r="A9" s="5"/>
      <c r="B9" s="46">
        <v>1</v>
      </c>
      <c r="C9" s="64" t="s">
        <v>612</v>
      </c>
      <c r="D9" s="64" t="s">
        <v>613</v>
      </c>
      <c r="E9" s="62" t="s">
        <v>452</v>
      </c>
      <c r="F9" s="62">
        <v>20</v>
      </c>
      <c r="G9" s="66"/>
      <c r="H9" s="66"/>
      <c r="I9" s="66"/>
    </row>
    <row r="10" spans="1:9" ht="15">
      <c r="A10" s="5"/>
      <c r="B10" s="46">
        <f t="shared" ref="B10:B15" si="0">B9+1</f>
        <v>2</v>
      </c>
      <c r="C10" s="67" t="s">
        <v>453</v>
      </c>
      <c r="D10" s="67" t="s">
        <v>304</v>
      </c>
      <c r="E10" s="68" t="s">
        <v>452</v>
      </c>
      <c r="F10" s="68">
        <v>20</v>
      </c>
      <c r="G10" s="69"/>
      <c r="H10" s="66" t="s">
        <v>41</v>
      </c>
      <c r="I10" s="66" t="s">
        <v>304</v>
      </c>
    </row>
    <row r="11" spans="1:9" ht="15">
      <c r="A11" s="5"/>
      <c r="B11" s="46">
        <f t="shared" si="0"/>
        <v>3</v>
      </c>
      <c r="C11" s="64" t="s">
        <v>614</v>
      </c>
      <c r="D11" s="64" t="s">
        <v>615</v>
      </c>
      <c r="E11" s="62" t="s">
        <v>456</v>
      </c>
      <c r="F11" s="62">
        <v>20</v>
      </c>
      <c r="G11" s="66"/>
      <c r="H11" s="66"/>
      <c r="I11" s="66"/>
    </row>
    <row r="12" spans="1:9" ht="15">
      <c r="A12" s="58"/>
      <c r="B12" s="46">
        <f t="shared" si="0"/>
        <v>4</v>
      </c>
      <c r="C12" s="64" t="s">
        <v>616</v>
      </c>
      <c r="D12" s="64" t="s">
        <v>617</v>
      </c>
      <c r="E12" s="68" t="s">
        <v>456</v>
      </c>
      <c r="F12" s="62">
        <v>100</v>
      </c>
      <c r="G12" s="66"/>
      <c r="H12" s="66"/>
      <c r="I12" s="66"/>
    </row>
    <row r="13" spans="1:9" ht="15">
      <c r="A13" s="58"/>
      <c r="B13" s="46">
        <f t="shared" si="0"/>
        <v>5</v>
      </c>
      <c r="C13" s="64" t="s">
        <v>618</v>
      </c>
      <c r="D13" s="64" t="s">
        <v>619</v>
      </c>
      <c r="E13" s="68" t="s">
        <v>456</v>
      </c>
      <c r="F13" s="62">
        <v>1000</v>
      </c>
      <c r="G13" s="66"/>
      <c r="H13" s="66"/>
      <c r="I13" s="66"/>
    </row>
    <row r="14" spans="1:9" s="24" customFormat="1" ht="15">
      <c r="A14" s="22"/>
      <c r="B14" s="46">
        <f t="shared" si="0"/>
        <v>6</v>
      </c>
      <c r="C14" s="70" t="s">
        <v>398</v>
      </c>
      <c r="D14" s="71" t="s">
        <v>325</v>
      </c>
      <c r="E14" s="72" t="s">
        <v>326</v>
      </c>
      <c r="F14" s="72">
        <v>4</v>
      </c>
      <c r="G14" s="66" t="s">
        <v>327</v>
      </c>
      <c r="H14" s="28" t="s">
        <v>328</v>
      </c>
      <c r="I14" s="73"/>
    </row>
    <row r="15" spans="1:9" ht="15">
      <c r="A15" s="58"/>
      <c r="B15" s="46">
        <f t="shared" si="0"/>
        <v>7</v>
      </c>
      <c r="C15" s="64" t="s">
        <v>493</v>
      </c>
      <c r="D15" s="64" t="s">
        <v>494</v>
      </c>
      <c r="E15" s="77" t="s">
        <v>313</v>
      </c>
      <c r="F15" s="77"/>
      <c r="G15" s="66"/>
      <c r="H15" s="66"/>
      <c r="I15" s="66"/>
    </row>
    <row r="16" spans="1:9" ht="15">
      <c r="B16" s="21"/>
    </row>
    <row r="17" spans="2:2" ht="15">
      <c r="B17" s="45"/>
    </row>
    <row r="18" spans="2:2" ht="15">
      <c r="B18" s="45"/>
    </row>
  </sheetData>
  <mergeCells count="6">
    <mergeCell ref="B7:E7"/>
    <mergeCell ref="F7:I7"/>
    <mergeCell ref="B1:E1"/>
    <mergeCell ref="F1:I1"/>
    <mergeCell ref="B2:E2"/>
    <mergeCell ref="F2:I2"/>
  </mergeCells>
  <phoneticPr fontId="5" type="noConversion"/>
  <pageMargins left="0.7" right="0.7" top="0.75" bottom="0.75" header="0.3" footer="0.3"/>
  <pageSetup paperSize="9" orientation="portrait" horizontalDpi="0" verticalDpi="0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DD1A0E3-45FF-49C6-9C68-EB9887FDC8F5}">
  <sheetPr codeName="工作表32"/>
  <dimension ref="A1:CU21"/>
  <sheetViews>
    <sheetView workbookViewId="0">
      <selection activeCell="D15" sqref="D15"/>
    </sheetView>
  </sheetViews>
  <sheetFormatPr defaultColWidth="6.625" defaultRowHeight="13.5"/>
  <cols>
    <col min="1" max="1" width="3.125" style="4" bestFit="1" customWidth="1"/>
    <col min="2" max="2" width="5.5" style="8" customWidth="1"/>
    <col min="3" max="3" width="22.625" style="4" customWidth="1"/>
    <col min="4" max="4" width="23.125" style="4" customWidth="1"/>
    <col min="5" max="5" width="11.125" style="4" bestFit="1" customWidth="1"/>
    <col min="6" max="6" width="12.625" style="4" customWidth="1"/>
    <col min="7" max="7" width="23.625" style="4" customWidth="1"/>
    <col min="8" max="8" width="27.125" style="4" customWidth="1"/>
    <col min="9" max="9" width="20.625" style="4" customWidth="1"/>
    <col min="10" max="16384" width="6.625" style="4"/>
  </cols>
  <sheetData>
    <row r="1" spans="1:99" ht="24">
      <c r="A1" s="1" t="e">
        <f ca="1">HYPERLINK("#'介面'!E"&amp;MATCH(VALUE(RIGHT(CELL("filename"),LEN(CELL("filename"))-FIND("]",CELL("filename")))),介面!D:D,"0"),"←")</f>
        <v>#VALUE!</v>
      </c>
      <c r="B1" s="207" t="s">
        <v>620</v>
      </c>
      <c r="C1" s="208"/>
      <c r="D1" s="208"/>
      <c r="E1" s="209"/>
      <c r="F1" s="207" t="s">
        <v>621</v>
      </c>
      <c r="G1" s="208"/>
      <c r="H1" s="208"/>
      <c r="I1" s="208"/>
    </row>
    <row r="2" spans="1:99" ht="24">
      <c r="A2" s="1"/>
      <c r="B2" s="210" t="s">
        <v>275</v>
      </c>
      <c r="C2" s="211"/>
      <c r="D2" s="211"/>
      <c r="E2" s="212"/>
      <c r="F2" s="210"/>
      <c r="G2" s="211"/>
      <c r="H2" s="211"/>
      <c r="I2" s="212"/>
    </row>
    <row r="3" spans="1:99" s="8" customFormat="1" ht="15">
      <c r="A3" s="6"/>
      <c r="B3" s="7" t="s">
        <v>276</v>
      </c>
      <c r="C3" s="56" t="s">
        <v>277</v>
      </c>
      <c r="D3" s="56" t="s">
        <v>278</v>
      </c>
      <c r="E3" s="57" t="s">
        <v>279</v>
      </c>
      <c r="F3" s="57" t="s">
        <v>280</v>
      </c>
      <c r="G3" s="56" t="s">
        <v>281</v>
      </c>
      <c r="H3" s="56" t="s">
        <v>11</v>
      </c>
      <c r="I3" s="56" t="s">
        <v>282</v>
      </c>
    </row>
    <row r="4" spans="1:99" s="24" customFormat="1" ht="15.75">
      <c r="A4" s="25"/>
      <c r="B4" s="46">
        <v>1</v>
      </c>
      <c r="C4" s="80" t="s">
        <v>297</v>
      </c>
      <c r="D4" s="80" t="s">
        <v>298</v>
      </c>
      <c r="E4" s="81" t="s">
        <v>285</v>
      </c>
      <c r="F4" s="81">
        <v>500</v>
      </c>
      <c r="G4" s="66" t="s">
        <v>330</v>
      </c>
      <c r="H4" s="142" t="s">
        <v>302</v>
      </c>
      <c r="I4" s="66" t="s">
        <v>287</v>
      </c>
    </row>
    <row r="5" spans="1:99" s="24" customFormat="1" ht="15">
      <c r="A5" s="25"/>
      <c r="B5" s="46">
        <f>B4+1</f>
        <v>2</v>
      </c>
      <c r="C5" s="50" t="s">
        <v>303</v>
      </c>
      <c r="D5" s="76" t="s">
        <v>304</v>
      </c>
      <c r="E5" s="51" t="s">
        <v>296</v>
      </c>
      <c r="F5" s="51">
        <v>20</v>
      </c>
      <c r="G5" s="66" t="s">
        <v>331</v>
      </c>
      <c r="H5" s="66"/>
      <c r="I5" s="66" t="s">
        <v>287</v>
      </c>
    </row>
    <row r="6" spans="1:99" ht="15.75">
      <c r="A6" s="1"/>
      <c r="B6" s="2"/>
      <c r="C6" s="3"/>
      <c r="D6" s="3"/>
      <c r="E6" s="3"/>
      <c r="F6" s="3"/>
      <c r="G6" s="3"/>
      <c r="H6" s="3"/>
      <c r="I6" s="3"/>
    </row>
    <row r="7" spans="1:99" ht="24">
      <c r="A7" s="1"/>
      <c r="B7" s="204" t="s">
        <v>291</v>
      </c>
      <c r="C7" s="205"/>
      <c r="D7" s="205"/>
      <c r="E7" s="206"/>
      <c r="F7" s="204"/>
      <c r="G7" s="205"/>
      <c r="H7" s="205"/>
      <c r="I7" s="206"/>
    </row>
    <row r="8" spans="1:99" s="8" customFormat="1" ht="15">
      <c r="A8" s="6"/>
      <c r="B8" s="7" t="s">
        <v>276</v>
      </c>
      <c r="C8" s="56" t="s">
        <v>277</v>
      </c>
      <c r="D8" s="56" t="s">
        <v>278</v>
      </c>
      <c r="E8" s="57" t="s">
        <v>279</v>
      </c>
      <c r="F8" s="57" t="s">
        <v>280</v>
      </c>
      <c r="G8" s="56" t="s">
        <v>11</v>
      </c>
      <c r="H8" s="56" t="s">
        <v>292</v>
      </c>
      <c r="I8" s="56" t="s">
        <v>293</v>
      </c>
    </row>
    <row r="9" spans="1:99" ht="15">
      <c r="A9" s="5"/>
      <c r="B9" s="46">
        <v>1</v>
      </c>
      <c r="C9" s="64" t="s">
        <v>622</v>
      </c>
      <c r="D9" s="64" t="s">
        <v>623</v>
      </c>
      <c r="E9" s="62" t="s">
        <v>452</v>
      </c>
      <c r="F9" s="62">
        <v>20</v>
      </c>
      <c r="G9" s="66"/>
      <c r="H9" s="66"/>
      <c r="I9" s="66"/>
    </row>
    <row r="10" spans="1:99" ht="15">
      <c r="A10" s="5"/>
      <c r="B10" s="46">
        <f>B9+1</f>
        <v>2</v>
      </c>
      <c r="C10" s="67" t="s">
        <v>453</v>
      </c>
      <c r="D10" s="67" t="s">
        <v>304</v>
      </c>
      <c r="E10" s="68" t="s">
        <v>452</v>
      </c>
      <c r="F10" s="68">
        <v>20</v>
      </c>
      <c r="G10" s="69"/>
      <c r="H10" s="66" t="s">
        <v>41</v>
      </c>
      <c r="I10" s="66" t="s">
        <v>304</v>
      </c>
    </row>
    <row r="11" spans="1:99" s="24" customFormat="1" ht="15">
      <c r="A11" s="22"/>
      <c r="B11" s="46">
        <f t="shared" ref="B11:B18" si="0">B10+1</f>
        <v>3</v>
      </c>
      <c r="C11" s="71" t="s">
        <v>624</v>
      </c>
      <c r="D11" s="64" t="s">
        <v>625</v>
      </c>
      <c r="E11" s="62" t="s">
        <v>456</v>
      </c>
      <c r="F11" s="62">
        <v>20</v>
      </c>
      <c r="G11" s="73"/>
      <c r="H11" s="73"/>
      <c r="I11" s="73"/>
    </row>
    <row r="12" spans="1:99" s="46" customFormat="1" ht="15">
      <c r="B12" s="46">
        <f t="shared" si="0"/>
        <v>4</v>
      </c>
      <c r="C12" s="71" t="s">
        <v>626</v>
      </c>
      <c r="D12" s="64" t="s">
        <v>627</v>
      </c>
      <c r="E12" s="68" t="s">
        <v>456</v>
      </c>
      <c r="F12" s="62">
        <v>100</v>
      </c>
      <c r="I12" s="73"/>
      <c r="J12" s="4"/>
      <c r="K12" s="4"/>
      <c r="L12" s="4"/>
      <c r="M12" s="4"/>
      <c r="N12" s="4"/>
      <c r="O12" s="4"/>
      <c r="P12" s="4"/>
      <c r="Q12" s="4"/>
      <c r="R12" s="4"/>
      <c r="S12" s="4"/>
      <c r="T12" s="4"/>
      <c r="U12" s="4"/>
      <c r="V12" s="4"/>
      <c r="W12" s="4"/>
      <c r="X12" s="4"/>
      <c r="Y12" s="4"/>
      <c r="Z12" s="4"/>
      <c r="AA12" s="4"/>
      <c r="AB12" s="4"/>
      <c r="AC12" s="4"/>
      <c r="AD12" s="4"/>
      <c r="AE12" s="4"/>
      <c r="AF12" s="4"/>
      <c r="AG12" s="4"/>
      <c r="AH12" s="4"/>
      <c r="AI12" s="4"/>
      <c r="AJ12" s="4"/>
      <c r="AK12" s="4"/>
      <c r="AL12" s="4"/>
      <c r="AM12" s="4"/>
      <c r="AN12" s="4"/>
      <c r="AO12" s="4"/>
      <c r="AP12" s="4"/>
      <c r="AQ12" s="4"/>
      <c r="AR12" s="4"/>
      <c r="AS12" s="4"/>
      <c r="AT12" s="4"/>
      <c r="AU12" s="4"/>
      <c r="AV12" s="4"/>
      <c r="AW12" s="4"/>
      <c r="AX12" s="4"/>
      <c r="AY12" s="4"/>
      <c r="AZ12" s="4"/>
      <c r="BA12" s="4"/>
      <c r="BB12" s="4"/>
      <c r="BC12" s="4"/>
      <c r="BD12" s="4"/>
      <c r="BE12" s="4"/>
      <c r="BF12" s="4"/>
      <c r="BG12" s="4"/>
      <c r="BH12" s="4"/>
      <c r="BI12" s="4"/>
      <c r="BJ12" s="4"/>
      <c r="BK12" s="4"/>
      <c r="BL12" s="4"/>
      <c r="BM12" s="4"/>
      <c r="BN12" s="4"/>
      <c r="BO12" s="4"/>
      <c r="BP12" s="4"/>
      <c r="BQ12" s="4"/>
      <c r="BR12" s="4"/>
      <c r="BS12" s="4"/>
      <c r="BT12" s="4"/>
      <c r="BU12" s="4"/>
      <c r="BV12" s="4"/>
      <c r="BW12" s="4"/>
      <c r="BX12" s="4"/>
      <c r="BY12" s="4"/>
      <c r="BZ12" s="4"/>
      <c r="CA12" s="4"/>
      <c r="CB12" s="4"/>
      <c r="CC12" s="4"/>
      <c r="CD12" s="4"/>
      <c r="CE12" s="4"/>
      <c r="CF12" s="4"/>
      <c r="CG12" s="4"/>
      <c r="CH12" s="4"/>
      <c r="CI12" s="4"/>
      <c r="CJ12" s="4"/>
      <c r="CK12" s="4"/>
      <c r="CL12" s="4"/>
      <c r="CM12" s="4"/>
      <c r="CN12" s="4"/>
      <c r="CO12" s="4"/>
      <c r="CP12" s="4"/>
      <c r="CQ12" s="4"/>
      <c r="CR12" s="4"/>
      <c r="CS12" s="4"/>
      <c r="CT12" s="4"/>
      <c r="CU12" s="4"/>
    </row>
    <row r="13" spans="1:99" s="46" customFormat="1" ht="15">
      <c r="B13" s="46">
        <f t="shared" si="0"/>
        <v>5</v>
      </c>
      <c r="C13" s="71" t="s">
        <v>628</v>
      </c>
      <c r="D13" s="64" t="s">
        <v>629</v>
      </c>
      <c r="E13" s="68" t="s">
        <v>456</v>
      </c>
      <c r="F13" s="62">
        <v>1000</v>
      </c>
      <c r="I13" s="73"/>
      <c r="J13" s="4"/>
      <c r="K13" s="4"/>
      <c r="L13" s="4"/>
      <c r="M13" s="4"/>
      <c r="N13" s="4"/>
      <c r="O13" s="4"/>
      <c r="P13" s="4"/>
      <c r="Q13" s="4"/>
      <c r="R13" s="4"/>
      <c r="S13" s="4"/>
      <c r="T13" s="4"/>
      <c r="U13" s="4"/>
      <c r="V13" s="4"/>
      <c r="W13" s="4"/>
      <c r="X13" s="4"/>
      <c r="Y13" s="4"/>
      <c r="Z13" s="4"/>
      <c r="AA13" s="4"/>
      <c r="AB13" s="4"/>
      <c r="AC13" s="4"/>
      <c r="AD13" s="4"/>
      <c r="AE13" s="4"/>
      <c r="AF13" s="4"/>
      <c r="AG13" s="4"/>
      <c r="AH13" s="4"/>
      <c r="AI13" s="4"/>
      <c r="AJ13" s="4"/>
      <c r="AK13" s="4"/>
      <c r="AL13" s="4"/>
      <c r="AM13" s="4"/>
      <c r="AN13" s="4"/>
      <c r="AO13" s="4"/>
      <c r="AP13" s="4"/>
      <c r="AQ13" s="4"/>
      <c r="AR13" s="4"/>
      <c r="AS13" s="4"/>
      <c r="AT13" s="4"/>
      <c r="AU13" s="4"/>
      <c r="AV13" s="4"/>
      <c r="AW13" s="4"/>
      <c r="AX13" s="4"/>
      <c r="AY13" s="4"/>
      <c r="AZ13" s="4"/>
      <c r="BA13" s="4"/>
      <c r="BB13" s="4"/>
      <c r="BC13" s="4"/>
      <c r="BD13" s="4"/>
      <c r="BE13" s="4"/>
      <c r="BF13" s="4"/>
      <c r="BG13" s="4"/>
      <c r="BH13" s="4"/>
      <c r="BI13" s="4"/>
      <c r="BJ13" s="4"/>
      <c r="BK13" s="4"/>
      <c r="BL13" s="4"/>
      <c r="BM13" s="4"/>
      <c r="BN13" s="4"/>
      <c r="BO13" s="4"/>
      <c r="BP13" s="4"/>
      <c r="BQ13" s="4"/>
      <c r="BR13" s="4"/>
      <c r="BS13" s="4"/>
      <c r="BT13" s="4"/>
      <c r="BU13" s="4"/>
      <c r="BV13" s="4"/>
      <c r="BW13" s="4"/>
      <c r="BX13" s="4"/>
      <c r="BY13" s="4"/>
      <c r="BZ13" s="4"/>
      <c r="CA13" s="4"/>
      <c r="CB13" s="4"/>
      <c r="CC13" s="4"/>
      <c r="CD13" s="4"/>
      <c r="CE13" s="4"/>
      <c r="CF13" s="4"/>
      <c r="CG13" s="4"/>
      <c r="CH13" s="4"/>
      <c r="CI13" s="4"/>
      <c r="CJ13" s="4"/>
      <c r="CK13" s="4"/>
      <c r="CL13" s="4"/>
      <c r="CM13" s="4"/>
      <c r="CN13" s="4"/>
      <c r="CO13" s="4"/>
      <c r="CP13" s="4"/>
      <c r="CQ13" s="4"/>
      <c r="CR13" s="4"/>
      <c r="CS13" s="4"/>
      <c r="CT13" s="4"/>
      <c r="CU13" s="4"/>
    </row>
    <row r="14" spans="1:99" s="46" customFormat="1" ht="15">
      <c r="B14" s="46">
        <f t="shared" si="0"/>
        <v>6</v>
      </c>
      <c r="C14" s="71" t="s">
        <v>630</v>
      </c>
      <c r="D14" s="71" t="s">
        <v>631</v>
      </c>
      <c r="E14" s="74" t="s">
        <v>456</v>
      </c>
      <c r="F14" s="72">
        <v>20</v>
      </c>
      <c r="I14" s="73"/>
      <c r="J14" s="4"/>
      <c r="K14" s="4"/>
      <c r="L14" s="4"/>
      <c r="M14" s="4"/>
      <c r="N14" s="4"/>
      <c r="O14" s="4"/>
      <c r="P14" s="4"/>
      <c r="Q14" s="4"/>
      <c r="R14" s="4"/>
      <c r="S14" s="4"/>
      <c r="T14" s="4"/>
      <c r="U14" s="4"/>
      <c r="V14" s="4"/>
      <c r="W14" s="4"/>
      <c r="X14" s="4"/>
      <c r="Y14" s="4"/>
      <c r="Z14" s="4"/>
      <c r="AA14" s="4"/>
      <c r="AB14" s="4"/>
      <c r="AC14" s="4"/>
      <c r="AD14" s="4"/>
      <c r="AE14" s="4"/>
      <c r="AF14" s="4"/>
      <c r="AG14" s="4"/>
      <c r="AH14" s="4"/>
      <c r="AI14" s="4"/>
      <c r="AJ14" s="4"/>
      <c r="AK14" s="4"/>
      <c r="AL14" s="4"/>
      <c r="AM14" s="4"/>
      <c r="AN14" s="4"/>
      <c r="AO14" s="4"/>
      <c r="AP14" s="4"/>
      <c r="AQ14" s="4"/>
      <c r="AR14" s="4"/>
      <c r="AS14" s="4"/>
      <c r="AT14" s="4"/>
      <c r="AU14" s="4"/>
      <c r="AV14" s="4"/>
      <c r="AW14" s="4"/>
      <c r="AX14" s="4"/>
      <c r="AY14" s="4"/>
      <c r="AZ14" s="4"/>
      <c r="BA14" s="4"/>
      <c r="BB14" s="4"/>
      <c r="BC14" s="4"/>
      <c r="BD14" s="4"/>
      <c r="BE14" s="4"/>
      <c r="BF14" s="4"/>
      <c r="BG14" s="4"/>
      <c r="BH14" s="4"/>
      <c r="BI14" s="4"/>
      <c r="BJ14" s="4"/>
      <c r="BK14" s="4"/>
      <c r="BL14" s="4"/>
      <c r="BM14" s="4"/>
      <c r="BN14" s="4"/>
      <c r="BO14" s="4"/>
      <c r="BP14" s="4"/>
      <c r="BQ14" s="4"/>
      <c r="BR14" s="4"/>
      <c r="BS14" s="4"/>
      <c r="BT14" s="4"/>
      <c r="BU14" s="4"/>
      <c r="BV14" s="4"/>
      <c r="BW14" s="4"/>
      <c r="BX14" s="4"/>
      <c r="BY14" s="4"/>
      <c r="BZ14" s="4"/>
      <c r="CA14" s="4"/>
      <c r="CB14" s="4"/>
      <c r="CC14" s="4"/>
      <c r="CD14" s="4"/>
      <c r="CE14" s="4"/>
      <c r="CF14" s="4"/>
      <c r="CG14" s="4"/>
      <c r="CH14" s="4"/>
      <c r="CI14" s="4"/>
      <c r="CJ14" s="4"/>
      <c r="CK14" s="4"/>
      <c r="CL14" s="4"/>
      <c r="CM14" s="4"/>
      <c r="CN14" s="4"/>
      <c r="CO14" s="4"/>
      <c r="CP14" s="4"/>
      <c r="CQ14" s="4"/>
      <c r="CR14" s="4"/>
      <c r="CS14" s="4"/>
      <c r="CT14" s="4"/>
      <c r="CU14" s="4"/>
    </row>
    <row r="15" spans="1:99" s="24" customFormat="1" ht="15">
      <c r="A15" s="22"/>
      <c r="B15" s="46">
        <f t="shared" si="0"/>
        <v>7</v>
      </c>
      <c r="C15" s="71" t="s">
        <v>632</v>
      </c>
      <c r="D15" s="71" t="s">
        <v>633</v>
      </c>
      <c r="E15" s="74" t="s">
        <v>456</v>
      </c>
      <c r="F15" s="72">
        <v>50</v>
      </c>
      <c r="G15" s="73"/>
      <c r="H15" s="73"/>
      <c r="I15" s="73"/>
    </row>
    <row r="16" spans="1:99" s="24" customFormat="1" ht="15">
      <c r="A16" s="22"/>
      <c r="B16" s="46">
        <f t="shared" si="0"/>
        <v>8</v>
      </c>
      <c r="C16" s="71" t="s">
        <v>634</v>
      </c>
      <c r="D16" s="71" t="s">
        <v>635</v>
      </c>
      <c r="E16" s="74" t="s">
        <v>456</v>
      </c>
      <c r="F16" s="72">
        <v>500</v>
      </c>
      <c r="G16" s="73"/>
      <c r="H16" s="73"/>
      <c r="I16" s="73"/>
    </row>
    <row r="17" spans="1:9" ht="15">
      <c r="A17" s="58"/>
      <c r="B17" s="46">
        <f t="shared" si="0"/>
        <v>9</v>
      </c>
      <c r="C17" s="70" t="s">
        <v>398</v>
      </c>
      <c r="D17" s="71" t="s">
        <v>325</v>
      </c>
      <c r="E17" s="72" t="s">
        <v>326</v>
      </c>
      <c r="F17" s="72">
        <v>4</v>
      </c>
      <c r="G17" s="66" t="s">
        <v>327</v>
      </c>
      <c r="H17" s="28" t="s">
        <v>328</v>
      </c>
      <c r="I17" s="73"/>
    </row>
    <row r="18" spans="1:9" ht="15">
      <c r="A18" s="58"/>
      <c r="B18" s="46">
        <f t="shared" si="0"/>
        <v>10</v>
      </c>
      <c r="C18" s="64" t="s">
        <v>493</v>
      </c>
      <c r="D18" s="64" t="s">
        <v>494</v>
      </c>
      <c r="E18" s="77" t="s">
        <v>313</v>
      </c>
      <c r="F18" s="77"/>
      <c r="G18" s="66"/>
      <c r="H18" s="66"/>
      <c r="I18" s="66"/>
    </row>
    <row r="19" spans="1:9" ht="15">
      <c r="B19" s="21"/>
    </row>
    <row r="20" spans="1:9" ht="15">
      <c r="B20" s="45"/>
    </row>
    <row r="21" spans="1:9" ht="15">
      <c r="B21" s="45"/>
    </row>
  </sheetData>
  <mergeCells count="6">
    <mergeCell ref="B7:E7"/>
    <mergeCell ref="F7:I7"/>
    <mergeCell ref="B1:E1"/>
    <mergeCell ref="F1:I1"/>
    <mergeCell ref="B2:E2"/>
    <mergeCell ref="F2:I2"/>
  </mergeCells>
  <phoneticPr fontId="5" type="noConversion"/>
  <pageMargins left="0.7" right="0.7" top="0.75" bottom="0.75" header="0.3" footer="0.3"/>
  <pageSetup paperSize="9" orientation="portrait" horizontalDpi="0" verticalDpi="0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FD349B1-C731-46C0-81C6-800A8D7B63AA}">
  <sheetPr codeName="工作表33"/>
  <dimension ref="A1:I174"/>
  <sheetViews>
    <sheetView zoomScale="110" zoomScaleNormal="110" workbookViewId="0"/>
  </sheetViews>
  <sheetFormatPr defaultColWidth="6.625" defaultRowHeight="13.5"/>
  <cols>
    <col min="1" max="1" width="3.125" style="4" bestFit="1" customWidth="1"/>
    <col min="2" max="2" width="5.5" style="8" customWidth="1"/>
    <col min="3" max="3" width="22.625" style="4" customWidth="1"/>
    <col min="4" max="4" width="30.625" style="4" customWidth="1"/>
    <col min="5" max="5" width="13.375" style="4" customWidth="1"/>
    <col min="6" max="6" width="12.625" style="4" customWidth="1"/>
    <col min="7" max="7" width="30.5" style="4" customWidth="1"/>
    <col min="8" max="8" width="37.625" style="4" customWidth="1"/>
    <col min="9" max="9" width="16.625" style="4" bestFit="1" customWidth="1"/>
    <col min="10" max="16384" width="6.625" style="4"/>
  </cols>
  <sheetData>
    <row r="1" spans="1:9" ht="24">
      <c r="A1" s="1" t="e">
        <f ca="1">HYPERLINK("#'介面'!E"&amp;MATCH(VALUE(RIGHT(CELL("filename"),LEN(CELL("filename"))-FIND("]",CELL("filename")))),介面!D:D,"0"),"←")</f>
        <v>#VALUE!</v>
      </c>
      <c r="B1" s="207" t="s">
        <v>84</v>
      </c>
      <c r="C1" s="208"/>
      <c r="D1" s="208"/>
      <c r="E1" s="209"/>
      <c r="F1" s="207" t="s">
        <v>636</v>
      </c>
      <c r="G1" s="208"/>
      <c r="H1" s="208"/>
      <c r="I1" s="208"/>
    </row>
    <row r="2" spans="1:9" ht="24">
      <c r="A2" s="1"/>
      <c r="B2" s="210" t="s">
        <v>275</v>
      </c>
      <c r="C2" s="211"/>
      <c r="D2" s="211"/>
      <c r="E2" s="212"/>
      <c r="F2" s="210"/>
      <c r="G2" s="211"/>
      <c r="H2" s="211"/>
      <c r="I2" s="212"/>
    </row>
    <row r="3" spans="1:9" s="8" customFormat="1" ht="15">
      <c r="A3" s="6"/>
      <c r="B3" s="7" t="s">
        <v>276</v>
      </c>
      <c r="C3" s="56" t="s">
        <v>277</v>
      </c>
      <c r="D3" s="56" t="s">
        <v>278</v>
      </c>
      <c r="E3" s="57" t="s">
        <v>279</v>
      </c>
      <c r="F3" s="57" t="s">
        <v>280</v>
      </c>
      <c r="G3" s="56" t="s">
        <v>281</v>
      </c>
      <c r="H3" s="56" t="s">
        <v>11</v>
      </c>
      <c r="I3" s="56" t="s">
        <v>282</v>
      </c>
    </row>
    <row r="4" spans="1:9" s="24" customFormat="1" ht="15.75">
      <c r="A4" s="25"/>
      <c r="B4" s="46">
        <v>1</v>
      </c>
      <c r="C4" s="80" t="s">
        <v>297</v>
      </c>
      <c r="D4" s="80" t="s">
        <v>298</v>
      </c>
      <c r="E4" s="81" t="s">
        <v>285</v>
      </c>
      <c r="F4" s="81">
        <v>500</v>
      </c>
      <c r="G4" s="66" t="s">
        <v>330</v>
      </c>
      <c r="H4" s="142" t="s">
        <v>302</v>
      </c>
      <c r="I4" s="66" t="s">
        <v>287</v>
      </c>
    </row>
    <row r="5" spans="1:9" s="24" customFormat="1" ht="15">
      <c r="A5" s="25"/>
      <c r="B5" s="46">
        <f>B4+1</f>
        <v>2</v>
      </c>
      <c r="C5" s="50" t="s">
        <v>303</v>
      </c>
      <c r="D5" s="76" t="s">
        <v>304</v>
      </c>
      <c r="E5" s="51" t="s">
        <v>296</v>
      </c>
      <c r="F5" s="51">
        <v>20</v>
      </c>
      <c r="G5" s="66" t="s">
        <v>331</v>
      </c>
      <c r="H5" s="66"/>
      <c r="I5" s="66" t="s">
        <v>287</v>
      </c>
    </row>
    <row r="6" spans="1:9" s="24" customFormat="1" ht="15">
      <c r="A6" s="25"/>
      <c r="B6" s="46">
        <v>3</v>
      </c>
      <c r="C6" s="50" t="s">
        <v>637</v>
      </c>
      <c r="D6" s="50" t="s">
        <v>364</v>
      </c>
      <c r="E6" s="51" t="s">
        <v>296</v>
      </c>
      <c r="F6" s="51">
        <v>20</v>
      </c>
      <c r="G6" s="66" t="s">
        <v>331</v>
      </c>
      <c r="H6" s="66" t="s">
        <v>638</v>
      </c>
      <c r="I6" s="66" t="s">
        <v>639</v>
      </c>
    </row>
    <row r="7" spans="1:9" s="24" customFormat="1" ht="15">
      <c r="A7" s="25"/>
      <c r="B7" s="46">
        <v>4</v>
      </c>
      <c r="C7" s="50" t="s">
        <v>640</v>
      </c>
      <c r="D7" s="76" t="s">
        <v>641</v>
      </c>
      <c r="E7" s="51" t="s">
        <v>418</v>
      </c>
      <c r="F7" s="51">
        <v>11</v>
      </c>
      <c r="G7" s="66" t="s">
        <v>642</v>
      </c>
      <c r="H7" s="66" t="s">
        <v>638</v>
      </c>
      <c r="I7" s="66" t="s">
        <v>639</v>
      </c>
    </row>
    <row r="8" spans="1:9" s="24" customFormat="1" ht="15">
      <c r="A8" s="25"/>
      <c r="B8" s="46">
        <v>5</v>
      </c>
      <c r="C8" s="50" t="s">
        <v>643</v>
      </c>
      <c r="D8" s="76" t="s">
        <v>644</v>
      </c>
      <c r="E8" s="51" t="s">
        <v>421</v>
      </c>
      <c r="F8" s="51"/>
      <c r="G8" s="66" t="s">
        <v>645</v>
      </c>
      <c r="H8" s="66"/>
      <c r="I8" s="66" t="s">
        <v>639</v>
      </c>
    </row>
    <row r="9" spans="1:9" s="24" customFormat="1" ht="15">
      <c r="A9" s="25"/>
      <c r="B9" s="46">
        <v>6</v>
      </c>
      <c r="C9" s="50" t="s">
        <v>646</v>
      </c>
      <c r="D9" s="76" t="s">
        <v>647</v>
      </c>
      <c r="E9" s="51" t="s">
        <v>421</v>
      </c>
      <c r="F9" s="51"/>
      <c r="G9" s="66" t="s">
        <v>648</v>
      </c>
      <c r="H9" s="66"/>
      <c r="I9" s="66" t="s">
        <v>639</v>
      </c>
    </row>
    <row r="10" spans="1:9" s="24" customFormat="1" ht="15">
      <c r="A10" s="25"/>
      <c r="B10" s="46">
        <v>7</v>
      </c>
      <c r="C10" s="50" t="s">
        <v>649</v>
      </c>
      <c r="D10" s="76" t="s">
        <v>650</v>
      </c>
      <c r="E10" s="51" t="s">
        <v>421</v>
      </c>
      <c r="F10" s="51"/>
      <c r="G10" s="66" t="s">
        <v>645</v>
      </c>
      <c r="H10" s="66"/>
      <c r="I10" s="66" t="s">
        <v>639</v>
      </c>
    </row>
    <row r="11" spans="1:9" s="24" customFormat="1" ht="15">
      <c r="A11" s="25"/>
      <c r="B11" s="46">
        <v>8</v>
      </c>
      <c r="C11" s="50" t="s">
        <v>651</v>
      </c>
      <c r="D11" s="76" t="s">
        <v>652</v>
      </c>
      <c r="E11" s="51" t="s">
        <v>421</v>
      </c>
      <c r="F11" s="51"/>
      <c r="G11" s="66" t="s">
        <v>648</v>
      </c>
      <c r="H11" s="66"/>
      <c r="I11" s="66" t="s">
        <v>639</v>
      </c>
    </row>
    <row r="12" spans="1:9" ht="15.75">
      <c r="A12" s="1"/>
      <c r="B12" s="2"/>
      <c r="C12" s="3"/>
      <c r="D12" s="3"/>
      <c r="E12" s="3"/>
      <c r="F12" s="3"/>
      <c r="G12" s="3"/>
      <c r="H12" s="3"/>
      <c r="I12" s="3"/>
    </row>
    <row r="13" spans="1:9" ht="24">
      <c r="A13" s="1"/>
      <c r="B13" s="204" t="s">
        <v>291</v>
      </c>
      <c r="C13" s="205"/>
      <c r="D13" s="205"/>
      <c r="E13" s="206"/>
      <c r="F13" s="204"/>
      <c r="G13" s="205"/>
      <c r="H13" s="205"/>
      <c r="I13" s="206"/>
    </row>
    <row r="14" spans="1:9" s="8" customFormat="1" ht="15">
      <c r="A14" s="6"/>
      <c r="B14" s="7" t="s">
        <v>276</v>
      </c>
      <c r="C14" s="56" t="s">
        <v>277</v>
      </c>
      <c r="D14" s="56" t="s">
        <v>278</v>
      </c>
      <c r="E14" s="57" t="s">
        <v>279</v>
      </c>
      <c r="F14" s="57" t="s">
        <v>280</v>
      </c>
      <c r="G14" s="56" t="s">
        <v>11</v>
      </c>
      <c r="H14" s="56" t="s">
        <v>292</v>
      </c>
      <c r="I14" s="56" t="s">
        <v>293</v>
      </c>
    </row>
    <row r="15" spans="1:9" s="98" customFormat="1" ht="15">
      <c r="A15" s="96"/>
      <c r="B15" s="97">
        <v>1</v>
      </c>
      <c r="C15" s="50" t="s">
        <v>637</v>
      </c>
      <c r="D15" s="50" t="s">
        <v>364</v>
      </c>
      <c r="E15" s="51" t="s">
        <v>296</v>
      </c>
      <c r="F15" s="51">
        <v>20</v>
      </c>
      <c r="G15" s="19"/>
      <c r="H15" s="19"/>
      <c r="I15" s="19"/>
    </row>
    <row r="16" spans="1:9" s="98" customFormat="1" ht="15">
      <c r="A16" s="96"/>
      <c r="B16" s="97">
        <f>B15+1</f>
        <v>2</v>
      </c>
      <c r="C16" s="50" t="s">
        <v>303</v>
      </c>
      <c r="D16" s="50" t="s">
        <v>304</v>
      </c>
      <c r="E16" s="51" t="s">
        <v>296</v>
      </c>
      <c r="F16" s="51">
        <v>20</v>
      </c>
      <c r="G16" s="19"/>
      <c r="H16" s="19" t="s">
        <v>41</v>
      </c>
      <c r="I16" s="19" t="s">
        <v>304</v>
      </c>
    </row>
    <row r="17" spans="1:9" s="98" customFormat="1" ht="15">
      <c r="A17" s="96"/>
      <c r="B17" s="97">
        <f t="shared" ref="B17:B80" si="0">B16+1</f>
        <v>3</v>
      </c>
      <c r="C17" s="64" t="s">
        <v>305</v>
      </c>
      <c r="D17" s="64" t="s">
        <v>306</v>
      </c>
      <c r="E17" s="62" t="s">
        <v>285</v>
      </c>
      <c r="F17" s="62">
        <v>20</v>
      </c>
      <c r="G17" s="66"/>
      <c r="H17" s="66"/>
      <c r="I17" s="66"/>
    </row>
    <row r="18" spans="1:9" s="98" customFormat="1" ht="15">
      <c r="A18" s="96"/>
      <c r="B18" s="97">
        <f t="shared" si="0"/>
        <v>4</v>
      </c>
      <c r="C18" s="64" t="s">
        <v>307</v>
      </c>
      <c r="D18" s="64" t="s">
        <v>308</v>
      </c>
      <c r="E18" s="62" t="s">
        <v>285</v>
      </c>
      <c r="F18" s="62">
        <v>200</v>
      </c>
      <c r="G18" s="66"/>
      <c r="H18" s="66"/>
      <c r="I18" s="66"/>
    </row>
    <row r="19" spans="1:9" s="98" customFormat="1" ht="15">
      <c r="A19" s="99"/>
      <c r="B19" s="97">
        <f t="shared" si="0"/>
        <v>5</v>
      </c>
      <c r="C19" s="64" t="s">
        <v>309</v>
      </c>
      <c r="D19" s="64" t="s">
        <v>310</v>
      </c>
      <c r="E19" s="62" t="s">
        <v>285</v>
      </c>
      <c r="F19" s="62">
        <v>2000</v>
      </c>
      <c r="G19" s="66"/>
      <c r="H19" s="66"/>
      <c r="I19" s="66"/>
    </row>
    <row r="20" spans="1:9" s="98" customFormat="1" ht="15">
      <c r="A20" s="96"/>
      <c r="B20" s="97">
        <f t="shared" si="0"/>
        <v>6</v>
      </c>
      <c r="C20" s="50" t="s">
        <v>653</v>
      </c>
      <c r="D20" s="50" t="s">
        <v>654</v>
      </c>
      <c r="E20" s="51" t="s">
        <v>285</v>
      </c>
      <c r="F20" s="51">
        <v>20</v>
      </c>
      <c r="G20" s="19" t="s">
        <v>655</v>
      </c>
      <c r="H20" s="47"/>
      <c r="I20" s="47"/>
    </row>
    <row r="21" spans="1:9" s="98" customFormat="1" ht="15">
      <c r="A21" s="96"/>
      <c r="B21" s="97">
        <f t="shared" si="0"/>
        <v>7</v>
      </c>
      <c r="C21" s="50" t="s">
        <v>656</v>
      </c>
      <c r="D21" s="76" t="s">
        <v>657</v>
      </c>
      <c r="E21" s="51" t="s">
        <v>285</v>
      </c>
      <c r="F21" s="51">
        <v>30</v>
      </c>
      <c r="G21" s="19" t="s">
        <v>655</v>
      </c>
      <c r="H21" s="47"/>
      <c r="I21" s="47"/>
    </row>
    <row r="22" spans="1:9" s="98" customFormat="1" ht="15">
      <c r="A22" s="96"/>
      <c r="B22" s="97">
        <f t="shared" si="0"/>
        <v>8</v>
      </c>
      <c r="C22" s="50" t="s">
        <v>658</v>
      </c>
      <c r="D22" s="76" t="s">
        <v>659</v>
      </c>
      <c r="E22" s="51" t="s">
        <v>285</v>
      </c>
      <c r="F22" s="51">
        <v>30</v>
      </c>
      <c r="G22" s="19" t="s">
        <v>655</v>
      </c>
      <c r="H22" s="19"/>
      <c r="I22" s="19"/>
    </row>
    <row r="23" spans="1:9" s="98" customFormat="1" ht="15">
      <c r="A23" s="96"/>
      <c r="B23" s="97">
        <f t="shared" si="0"/>
        <v>9</v>
      </c>
      <c r="C23" s="50" t="s">
        <v>660</v>
      </c>
      <c r="D23" s="50" t="s">
        <v>661</v>
      </c>
      <c r="E23" s="51" t="s">
        <v>285</v>
      </c>
      <c r="F23" s="51">
        <v>30</v>
      </c>
      <c r="G23" s="19" t="s">
        <v>655</v>
      </c>
      <c r="H23" s="19"/>
      <c r="I23" s="19"/>
    </row>
    <row r="24" spans="1:9" s="98" customFormat="1" ht="15">
      <c r="A24" s="96"/>
      <c r="B24" s="97">
        <f t="shared" si="0"/>
        <v>10</v>
      </c>
      <c r="C24" s="50" t="s">
        <v>662</v>
      </c>
      <c r="D24" s="50" t="s">
        <v>663</v>
      </c>
      <c r="E24" s="51" t="s">
        <v>285</v>
      </c>
      <c r="F24" s="51">
        <v>2</v>
      </c>
      <c r="G24" s="84"/>
      <c r="H24" s="19" t="s">
        <v>664</v>
      </c>
      <c r="I24" s="19"/>
    </row>
    <row r="25" spans="1:9" s="98" customFormat="1" ht="15">
      <c r="A25" s="96"/>
      <c r="B25" s="97">
        <f t="shared" si="0"/>
        <v>11</v>
      </c>
      <c r="C25" s="50" t="s">
        <v>665</v>
      </c>
      <c r="D25" s="53" t="s">
        <v>666</v>
      </c>
      <c r="E25" s="51" t="s">
        <v>285</v>
      </c>
      <c r="F25" s="51">
        <v>50</v>
      </c>
      <c r="G25" s="19"/>
      <c r="H25" s="19"/>
      <c r="I25" s="19"/>
    </row>
    <row r="26" spans="1:9" s="98" customFormat="1" ht="15">
      <c r="A26" s="96"/>
      <c r="B26" s="97">
        <f t="shared" si="0"/>
        <v>12</v>
      </c>
      <c r="C26" s="50" t="s">
        <v>667</v>
      </c>
      <c r="D26" s="50" t="s">
        <v>668</v>
      </c>
      <c r="E26" s="51" t="s">
        <v>285</v>
      </c>
      <c r="F26" s="51">
        <v>50</v>
      </c>
      <c r="G26" s="19"/>
      <c r="H26" s="19"/>
      <c r="I26" s="19"/>
    </row>
    <row r="27" spans="1:9" s="98" customFormat="1" ht="15">
      <c r="A27" s="96"/>
      <c r="B27" s="97">
        <f t="shared" si="0"/>
        <v>13</v>
      </c>
      <c r="C27" s="50" t="s">
        <v>669</v>
      </c>
      <c r="D27" s="50" t="s">
        <v>670</v>
      </c>
      <c r="E27" s="51" t="s">
        <v>285</v>
      </c>
      <c r="F27" s="51">
        <v>20</v>
      </c>
      <c r="G27" s="19" t="s">
        <v>655</v>
      </c>
      <c r="H27" s="19"/>
      <c r="I27" s="19"/>
    </row>
    <row r="28" spans="1:9" s="98" customFormat="1" ht="15">
      <c r="A28" s="96"/>
      <c r="B28" s="97">
        <f t="shared" si="0"/>
        <v>14</v>
      </c>
      <c r="C28" s="50" t="s">
        <v>671</v>
      </c>
      <c r="D28" s="50" t="s">
        <v>672</v>
      </c>
      <c r="E28" s="51" t="s">
        <v>326</v>
      </c>
      <c r="F28" s="51">
        <v>4</v>
      </c>
      <c r="G28" s="52" t="s">
        <v>673</v>
      </c>
      <c r="H28" s="19" t="s">
        <v>674</v>
      </c>
      <c r="I28" s="19"/>
    </row>
    <row r="29" spans="1:9" s="98" customFormat="1" ht="15">
      <c r="A29" s="96"/>
      <c r="B29" s="97">
        <f t="shared" si="0"/>
        <v>15</v>
      </c>
      <c r="C29" s="50" t="s">
        <v>675</v>
      </c>
      <c r="D29" s="53" t="s">
        <v>676</v>
      </c>
      <c r="E29" s="51" t="s">
        <v>285</v>
      </c>
      <c r="F29" s="51">
        <v>10</v>
      </c>
      <c r="G29" s="19"/>
      <c r="H29" s="19"/>
      <c r="I29" s="19"/>
    </row>
    <row r="30" spans="1:9" s="98" customFormat="1" ht="15">
      <c r="A30" s="96"/>
      <c r="B30" s="97">
        <f t="shared" si="0"/>
        <v>16</v>
      </c>
      <c r="C30" s="50" t="s">
        <v>677</v>
      </c>
      <c r="D30" s="50" t="s">
        <v>678</v>
      </c>
      <c r="E30" s="51" t="s">
        <v>316</v>
      </c>
      <c r="F30" s="51"/>
      <c r="G30" s="52"/>
      <c r="H30" s="19"/>
      <c r="I30" s="19"/>
    </row>
    <row r="31" spans="1:9" s="98" customFormat="1" ht="15">
      <c r="A31" s="96"/>
      <c r="B31" s="97">
        <f t="shared" si="0"/>
        <v>17</v>
      </c>
      <c r="C31" s="50" t="s">
        <v>679</v>
      </c>
      <c r="D31" s="50" t="s">
        <v>680</v>
      </c>
      <c r="E31" s="51" t="s">
        <v>326</v>
      </c>
      <c r="F31" s="51">
        <v>4</v>
      </c>
      <c r="G31" s="52"/>
      <c r="H31" s="19" t="s">
        <v>681</v>
      </c>
      <c r="I31" s="19"/>
    </row>
    <row r="32" spans="1:9" s="98" customFormat="1" ht="15">
      <c r="A32" s="96"/>
      <c r="B32" s="97">
        <f t="shared" si="0"/>
        <v>18</v>
      </c>
      <c r="C32" s="50" t="s">
        <v>682</v>
      </c>
      <c r="D32" s="53" t="s">
        <v>683</v>
      </c>
      <c r="E32" s="51" t="s">
        <v>285</v>
      </c>
      <c r="F32" s="51">
        <v>10</v>
      </c>
      <c r="G32" s="19"/>
      <c r="H32" s="19"/>
      <c r="I32" s="19"/>
    </row>
    <row r="33" spans="1:9" s="98" customFormat="1" ht="15">
      <c r="A33" s="96"/>
      <c r="B33" s="97">
        <f t="shared" si="0"/>
        <v>19</v>
      </c>
      <c r="C33" s="50" t="s">
        <v>684</v>
      </c>
      <c r="D33" s="50" t="s">
        <v>685</v>
      </c>
      <c r="E33" s="51" t="s">
        <v>285</v>
      </c>
      <c r="F33" s="51">
        <v>2</v>
      </c>
      <c r="G33" s="52"/>
      <c r="H33" s="19" t="s">
        <v>681</v>
      </c>
      <c r="I33" s="19"/>
    </row>
    <row r="34" spans="1:9" s="98" customFormat="1" ht="15">
      <c r="A34" s="96"/>
      <c r="B34" s="97">
        <f t="shared" si="0"/>
        <v>20</v>
      </c>
      <c r="C34" s="50" t="s">
        <v>686</v>
      </c>
      <c r="D34" s="53" t="s">
        <v>687</v>
      </c>
      <c r="E34" s="51" t="s">
        <v>285</v>
      </c>
      <c r="F34" s="51">
        <v>5</v>
      </c>
      <c r="G34" s="19"/>
      <c r="H34" s="19"/>
      <c r="I34" s="19"/>
    </row>
    <row r="35" spans="1:9" s="98" customFormat="1" ht="15">
      <c r="A35" s="96"/>
      <c r="B35" s="97">
        <f t="shared" si="0"/>
        <v>21</v>
      </c>
      <c r="C35" s="50" t="s">
        <v>688</v>
      </c>
      <c r="D35" s="50" t="s">
        <v>689</v>
      </c>
      <c r="E35" s="51" t="s">
        <v>326</v>
      </c>
      <c r="F35" s="51">
        <v>4</v>
      </c>
      <c r="G35" s="52" t="s">
        <v>690</v>
      </c>
      <c r="H35" s="19" t="s">
        <v>691</v>
      </c>
      <c r="I35" s="19"/>
    </row>
    <row r="36" spans="1:9" s="98" customFormat="1" ht="15">
      <c r="A36" s="96"/>
      <c r="B36" s="97">
        <f t="shared" si="0"/>
        <v>22</v>
      </c>
      <c r="C36" s="50" t="s">
        <v>692</v>
      </c>
      <c r="D36" s="53" t="s">
        <v>693</v>
      </c>
      <c r="E36" s="51" t="s">
        <v>285</v>
      </c>
      <c r="F36" s="51">
        <v>6</v>
      </c>
      <c r="G36" s="19"/>
      <c r="H36" s="19"/>
      <c r="I36" s="19"/>
    </row>
    <row r="37" spans="1:9" s="98" customFormat="1" ht="30">
      <c r="A37" s="96"/>
      <c r="B37" s="97">
        <f t="shared" si="0"/>
        <v>23</v>
      </c>
      <c r="C37" s="50" t="s">
        <v>694</v>
      </c>
      <c r="D37" s="50" t="s">
        <v>695</v>
      </c>
      <c r="E37" s="51" t="s">
        <v>326</v>
      </c>
      <c r="F37" s="51">
        <v>4</v>
      </c>
      <c r="G37" s="52" t="s">
        <v>696</v>
      </c>
      <c r="H37" s="19" t="s">
        <v>697</v>
      </c>
      <c r="I37" s="19"/>
    </row>
    <row r="38" spans="1:9" s="98" customFormat="1" ht="15">
      <c r="A38" s="96"/>
      <c r="B38" s="97">
        <f t="shared" si="0"/>
        <v>24</v>
      </c>
      <c r="C38" s="50" t="s">
        <v>698</v>
      </c>
      <c r="D38" s="53" t="s">
        <v>699</v>
      </c>
      <c r="E38" s="51" t="s">
        <v>285</v>
      </c>
      <c r="F38" s="51">
        <v>6</v>
      </c>
      <c r="G38" s="19"/>
      <c r="H38" s="19"/>
      <c r="I38" s="19"/>
    </row>
    <row r="39" spans="1:9" s="98" customFormat="1" ht="15">
      <c r="A39" s="96"/>
      <c r="B39" s="97">
        <f t="shared" si="0"/>
        <v>25</v>
      </c>
      <c r="C39" s="50" t="s">
        <v>700</v>
      </c>
      <c r="D39" s="50" t="s">
        <v>701</v>
      </c>
      <c r="E39" s="51" t="s">
        <v>316</v>
      </c>
      <c r="F39" s="51"/>
      <c r="G39" s="52"/>
      <c r="H39" s="19"/>
      <c r="I39" s="19"/>
    </row>
    <row r="40" spans="1:9" s="98" customFormat="1" ht="15">
      <c r="A40" s="96"/>
      <c r="B40" s="97">
        <f t="shared" si="0"/>
        <v>26</v>
      </c>
      <c r="C40" s="50" t="s">
        <v>702</v>
      </c>
      <c r="D40" s="50" t="s">
        <v>703</v>
      </c>
      <c r="E40" s="51" t="s">
        <v>704</v>
      </c>
      <c r="F40" s="51" t="s">
        <v>705</v>
      </c>
      <c r="G40" s="52"/>
      <c r="H40" s="19"/>
      <c r="I40" s="19"/>
    </row>
    <row r="41" spans="1:9" s="98" customFormat="1" ht="15">
      <c r="A41" s="96"/>
      <c r="B41" s="97">
        <f t="shared" si="0"/>
        <v>27</v>
      </c>
      <c r="C41" s="50" t="s">
        <v>706</v>
      </c>
      <c r="D41" s="50" t="s">
        <v>707</v>
      </c>
      <c r="E41" s="51" t="s">
        <v>704</v>
      </c>
      <c r="F41" s="51" t="s">
        <v>705</v>
      </c>
      <c r="G41" s="52"/>
      <c r="H41" s="19"/>
      <c r="I41" s="19"/>
    </row>
    <row r="42" spans="1:9" s="98" customFormat="1" ht="30">
      <c r="A42" s="96"/>
      <c r="B42" s="97">
        <f t="shared" si="0"/>
        <v>28</v>
      </c>
      <c r="C42" s="50" t="s">
        <v>708</v>
      </c>
      <c r="D42" s="50" t="s">
        <v>709</v>
      </c>
      <c r="E42" s="51" t="s">
        <v>326</v>
      </c>
      <c r="F42" s="51">
        <v>4</v>
      </c>
      <c r="G42" s="52" t="s">
        <v>710</v>
      </c>
      <c r="H42" s="19" t="s">
        <v>711</v>
      </c>
      <c r="I42" s="19"/>
    </row>
    <row r="43" spans="1:9" s="98" customFormat="1" ht="15">
      <c r="A43" s="96"/>
      <c r="B43" s="97">
        <f t="shared" si="0"/>
        <v>29</v>
      </c>
      <c r="C43" s="50" t="s">
        <v>712</v>
      </c>
      <c r="D43" s="53" t="s">
        <v>713</v>
      </c>
      <c r="E43" s="51" t="s">
        <v>285</v>
      </c>
      <c r="F43" s="51">
        <v>20</v>
      </c>
      <c r="G43" s="19"/>
      <c r="H43" s="19"/>
      <c r="I43" s="19"/>
    </row>
    <row r="44" spans="1:9" s="98" customFormat="1" ht="15">
      <c r="A44" s="96"/>
      <c r="B44" s="97">
        <f t="shared" si="0"/>
        <v>30</v>
      </c>
      <c r="C44" s="50" t="s">
        <v>714</v>
      </c>
      <c r="D44" s="50" t="s">
        <v>715</v>
      </c>
      <c r="E44" s="51" t="s">
        <v>326</v>
      </c>
      <c r="F44" s="51">
        <v>4</v>
      </c>
      <c r="G44" s="63" t="s">
        <v>716</v>
      </c>
      <c r="H44" s="19" t="s">
        <v>717</v>
      </c>
      <c r="I44" s="19"/>
    </row>
    <row r="45" spans="1:9" s="98" customFormat="1" ht="15">
      <c r="A45" s="96"/>
      <c r="B45" s="97">
        <f t="shared" si="0"/>
        <v>31</v>
      </c>
      <c r="C45" s="50" t="s">
        <v>718</v>
      </c>
      <c r="D45" s="53" t="s">
        <v>719</v>
      </c>
      <c r="E45" s="51" t="s">
        <v>399</v>
      </c>
      <c r="F45" s="51">
        <v>4</v>
      </c>
      <c r="G45" s="19"/>
      <c r="H45" s="19"/>
      <c r="I45" s="19"/>
    </row>
    <row r="46" spans="1:9" s="98" customFormat="1" ht="15">
      <c r="A46" s="99"/>
      <c r="B46" s="97">
        <f t="shared" si="0"/>
        <v>32</v>
      </c>
      <c r="C46" s="64" t="s">
        <v>720</v>
      </c>
      <c r="D46" s="64" t="s">
        <v>721</v>
      </c>
      <c r="E46" s="68" t="s">
        <v>456</v>
      </c>
      <c r="F46" s="62">
        <v>100</v>
      </c>
      <c r="G46" s="66"/>
      <c r="H46" s="66"/>
      <c r="I46" s="66"/>
    </row>
    <row r="47" spans="1:9" s="101" customFormat="1" ht="15">
      <c r="A47" s="100"/>
      <c r="B47" s="97">
        <f t="shared" si="0"/>
        <v>33</v>
      </c>
      <c r="C47" s="50" t="s">
        <v>722</v>
      </c>
      <c r="D47" s="50" t="s">
        <v>723</v>
      </c>
      <c r="E47" s="27" t="s">
        <v>326</v>
      </c>
      <c r="F47" s="27">
        <v>4</v>
      </c>
      <c r="G47" s="29"/>
      <c r="H47" s="28" t="s">
        <v>724</v>
      </c>
      <c r="I47" s="28"/>
    </row>
    <row r="48" spans="1:9" s="98" customFormat="1" ht="15">
      <c r="A48" s="96"/>
      <c r="B48" s="97">
        <f t="shared" si="0"/>
        <v>34</v>
      </c>
      <c r="C48" s="50" t="s">
        <v>725</v>
      </c>
      <c r="D48" s="53" t="s">
        <v>726</v>
      </c>
      <c r="E48" s="51" t="s">
        <v>285</v>
      </c>
      <c r="F48" s="51">
        <v>20</v>
      </c>
      <c r="G48" s="19"/>
      <c r="H48" s="19"/>
      <c r="I48" s="19"/>
    </row>
    <row r="49" spans="1:9" s="101" customFormat="1" ht="15">
      <c r="A49" s="100"/>
      <c r="B49" s="97">
        <f t="shared" si="0"/>
        <v>35</v>
      </c>
      <c r="C49" s="50" t="s">
        <v>727</v>
      </c>
      <c r="D49" s="50" t="s">
        <v>728</v>
      </c>
      <c r="E49" s="27" t="s">
        <v>326</v>
      </c>
      <c r="F49" s="27">
        <v>4</v>
      </c>
      <c r="G49" s="29"/>
      <c r="H49" s="28" t="s">
        <v>729</v>
      </c>
      <c r="I49" s="28"/>
    </row>
    <row r="50" spans="1:9" s="98" customFormat="1" ht="15">
      <c r="A50" s="96"/>
      <c r="B50" s="97">
        <f t="shared" si="0"/>
        <v>36</v>
      </c>
      <c r="C50" s="50" t="s">
        <v>730</v>
      </c>
      <c r="D50" s="53" t="s">
        <v>731</v>
      </c>
      <c r="E50" s="51" t="s">
        <v>285</v>
      </c>
      <c r="F50" s="51">
        <v>20</v>
      </c>
      <c r="G50" s="19"/>
      <c r="H50" s="19"/>
      <c r="I50" s="19"/>
    </row>
    <row r="51" spans="1:9" s="101" customFormat="1" ht="15">
      <c r="A51" s="100"/>
      <c r="B51" s="97">
        <f t="shared" si="0"/>
        <v>37</v>
      </c>
      <c r="C51" s="50" t="s">
        <v>732</v>
      </c>
      <c r="D51" s="50" t="s">
        <v>733</v>
      </c>
      <c r="E51" s="27" t="s">
        <v>326</v>
      </c>
      <c r="F51" s="27">
        <v>4</v>
      </c>
      <c r="G51" s="29"/>
      <c r="H51" s="28" t="s">
        <v>724</v>
      </c>
      <c r="I51" s="28"/>
    </row>
    <row r="52" spans="1:9" s="98" customFormat="1" ht="15">
      <c r="A52" s="96"/>
      <c r="B52" s="97">
        <f t="shared" si="0"/>
        <v>38</v>
      </c>
      <c r="C52" s="50" t="s">
        <v>734</v>
      </c>
      <c r="D52" s="53" t="s">
        <v>735</v>
      </c>
      <c r="E52" s="51" t="s">
        <v>285</v>
      </c>
      <c r="F52" s="51">
        <v>20</v>
      </c>
      <c r="G52" s="19"/>
      <c r="H52" s="19"/>
      <c r="I52" s="19"/>
    </row>
    <row r="53" spans="1:9" s="101" customFormat="1" ht="15">
      <c r="A53" s="100"/>
      <c r="B53" s="97">
        <f t="shared" si="0"/>
        <v>39</v>
      </c>
      <c r="C53" s="50" t="s">
        <v>736</v>
      </c>
      <c r="D53" s="50" t="s">
        <v>737</v>
      </c>
      <c r="E53" s="27" t="s">
        <v>326</v>
      </c>
      <c r="F53" s="27">
        <v>4</v>
      </c>
      <c r="G53" s="29"/>
      <c r="H53" s="28" t="s">
        <v>729</v>
      </c>
      <c r="I53" s="28"/>
    </row>
    <row r="54" spans="1:9" s="98" customFormat="1" ht="15">
      <c r="A54" s="96"/>
      <c r="B54" s="97">
        <f t="shared" si="0"/>
        <v>40</v>
      </c>
      <c r="C54" s="50" t="s">
        <v>738</v>
      </c>
      <c r="D54" s="53" t="s">
        <v>739</v>
      </c>
      <c r="E54" s="51" t="s">
        <v>285</v>
      </c>
      <c r="F54" s="51">
        <v>20</v>
      </c>
      <c r="G54" s="19"/>
      <c r="H54" s="19"/>
      <c r="I54" s="19"/>
    </row>
    <row r="55" spans="1:9" s="101" customFormat="1" ht="15">
      <c r="A55" s="100"/>
      <c r="B55" s="97">
        <f t="shared" si="0"/>
        <v>41</v>
      </c>
      <c r="C55" s="50" t="s">
        <v>740</v>
      </c>
      <c r="D55" s="50" t="s">
        <v>741</v>
      </c>
      <c r="E55" s="27" t="s">
        <v>326</v>
      </c>
      <c r="F55" s="27">
        <v>4</v>
      </c>
      <c r="G55" s="29"/>
      <c r="H55" s="28" t="s">
        <v>724</v>
      </c>
      <c r="I55" s="28"/>
    </row>
    <row r="56" spans="1:9" s="98" customFormat="1" ht="15">
      <c r="A56" s="96"/>
      <c r="B56" s="97">
        <f t="shared" si="0"/>
        <v>42</v>
      </c>
      <c r="C56" s="50" t="s">
        <v>742</v>
      </c>
      <c r="D56" s="53" t="s">
        <v>743</v>
      </c>
      <c r="E56" s="51" t="s">
        <v>285</v>
      </c>
      <c r="F56" s="51">
        <v>20</v>
      </c>
      <c r="G56" s="19"/>
      <c r="H56" s="19"/>
      <c r="I56" s="19"/>
    </row>
    <row r="57" spans="1:9" s="101" customFormat="1" ht="15">
      <c r="A57" s="100"/>
      <c r="B57" s="97">
        <f t="shared" si="0"/>
        <v>43</v>
      </c>
      <c r="C57" s="26" t="s">
        <v>744</v>
      </c>
      <c r="D57" s="26" t="s">
        <v>745</v>
      </c>
      <c r="E57" s="27" t="s">
        <v>326</v>
      </c>
      <c r="F57" s="27">
        <v>4</v>
      </c>
      <c r="G57" s="29"/>
      <c r="H57" s="28" t="s">
        <v>729</v>
      </c>
      <c r="I57" s="28"/>
    </row>
    <row r="58" spans="1:9" s="98" customFormat="1" ht="15">
      <c r="A58" s="96"/>
      <c r="B58" s="97">
        <f t="shared" si="0"/>
        <v>44</v>
      </c>
      <c r="C58" s="26" t="s">
        <v>746</v>
      </c>
      <c r="D58" s="53" t="s">
        <v>747</v>
      </c>
      <c r="E58" s="51" t="s">
        <v>285</v>
      </c>
      <c r="F58" s="51">
        <v>20</v>
      </c>
      <c r="G58" s="19"/>
      <c r="H58" s="19"/>
      <c r="I58" s="19"/>
    </row>
    <row r="59" spans="1:9" s="98" customFormat="1" ht="15">
      <c r="A59" s="96"/>
      <c r="B59" s="97">
        <f t="shared" si="0"/>
        <v>45</v>
      </c>
      <c r="C59" s="50" t="s">
        <v>748</v>
      </c>
      <c r="D59" s="50" t="s">
        <v>749</v>
      </c>
      <c r="E59" s="51" t="s">
        <v>285</v>
      </c>
      <c r="F59" s="51">
        <v>20</v>
      </c>
      <c r="G59" s="19" t="s">
        <v>655</v>
      </c>
      <c r="H59" s="19"/>
      <c r="I59" s="19"/>
    </row>
    <row r="60" spans="1:9" s="98" customFormat="1" ht="15">
      <c r="A60" s="96"/>
      <c r="B60" s="97">
        <f t="shared" si="0"/>
        <v>46</v>
      </c>
      <c r="C60" s="64" t="s">
        <v>750</v>
      </c>
      <c r="D60" s="64" t="s">
        <v>751</v>
      </c>
      <c r="E60" s="62" t="s">
        <v>456</v>
      </c>
      <c r="F60" s="62">
        <v>20</v>
      </c>
      <c r="G60" s="66"/>
      <c r="H60" s="66"/>
      <c r="I60" s="66"/>
    </row>
    <row r="61" spans="1:9" s="98" customFormat="1" ht="15">
      <c r="A61" s="99"/>
      <c r="B61" s="97">
        <f t="shared" si="0"/>
        <v>47</v>
      </c>
      <c r="C61" s="64" t="s">
        <v>752</v>
      </c>
      <c r="D61" s="64" t="s">
        <v>753</v>
      </c>
      <c r="E61" s="68" t="s">
        <v>456</v>
      </c>
      <c r="F61" s="62">
        <v>100</v>
      </c>
      <c r="G61" s="66"/>
      <c r="H61" s="66"/>
      <c r="I61" s="66"/>
    </row>
    <row r="62" spans="1:9" s="98" customFormat="1" ht="15">
      <c r="A62" s="96"/>
      <c r="B62" s="97">
        <f t="shared" si="0"/>
        <v>48</v>
      </c>
      <c r="C62" s="50" t="s">
        <v>754</v>
      </c>
      <c r="D62" s="50" t="s">
        <v>755</v>
      </c>
      <c r="E62" s="51" t="s">
        <v>285</v>
      </c>
      <c r="F62" s="51">
        <v>20</v>
      </c>
      <c r="G62" s="19" t="s">
        <v>655</v>
      </c>
      <c r="H62" s="19"/>
      <c r="I62" s="19"/>
    </row>
    <row r="63" spans="1:9" s="101" customFormat="1" ht="15">
      <c r="A63" s="100"/>
      <c r="B63" s="97">
        <f t="shared" si="0"/>
        <v>49</v>
      </c>
      <c r="C63" s="26" t="s">
        <v>756</v>
      </c>
      <c r="D63" s="26" t="s">
        <v>757</v>
      </c>
      <c r="E63" s="27" t="s">
        <v>285</v>
      </c>
      <c r="F63" s="27">
        <v>30</v>
      </c>
      <c r="G63" s="19" t="s">
        <v>655</v>
      </c>
      <c r="H63" s="28"/>
      <c r="I63" s="28"/>
    </row>
    <row r="64" spans="1:9" s="98" customFormat="1" ht="15">
      <c r="A64" s="96"/>
      <c r="B64" s="97">
        <f t="shared" si="0"/>
        <v>50</v>
      </c>
      <c r="C64" s="50" t="s">
        <v>758</v>
      </c>
      <c r="D64" s="76" t="s">
        <v>759</v>
      </c>
      <c r="E64" s="51" t="s">
        <v>316</v>
      </c>
      <c r="F64" s="51"/>
      <c r="G64" s="52"/>
      <c r="H64" s="19"/>
      <c r="I64" s="19"/>
    </row>
    <row r="65" spans="1:9" s="98" customFormat="1" ht="15">
      <c r="A65" s="96"/>
      <c r="B65" s="97">
        <f t="shared" si="0"/>
        <v>51</v>
      </c>
      <c r="C65" s="50" t="s">
        <v>760</v>
      </c>
      <c r="D65" s="76" t="s">
        <v>761</v>
      </c>
      <c r="E65" s="51" t="s">
        <v>316</v>
      </c>
      <c r="F65" s="51"/>
      <c r="G65" s="52"/>
      <c r="H65" s="19"/>
      <c r="I65" s="19"/>
    </row>
    <row r="66" spans="1:9" s="101" customFormat="1" ht="15">
      <c r="A66" s="100"/>
      <c r="B66" s="97">
        <f t="shared" si="0"/>
        <v>52</v>
      </c>
      <c r="C66" s="26" t="s">
        <v>762</v>
      </c>
      <c r="D66" s="102" t="s">
        <v>763</v>
      </c>
      <c r="E66" s="27" t="s">
        <v>316</v>
      </c>
      <c r="F66" s="27"/>
      <c r="G66" s="29"/>
      <c r="H66" s="28"/>
      <c r="I66" s="28"/>
    </row>
    <row r="67" spans="1:9" s="98" customFormat="1" ht="15">
      <c r="A67" s="96"/>
      <c r="B67" s="97">
        <f t="shared" si="0"/>
        <v>53</v>
      </c>
      <c r="C67" s="50" t="s">
        <v>764</v>
      </c>
      <c r="D67" s="76" t="s">
        <v>765</v>
      </c>
      <c r="E67" s="51" t="s">
        <v>285</v>
      </c>
      <c r="F67" s="51">
        <v>30</v>
      </c>
      <c r="G67" s="19" t="s">
        <v>655</v>
      </c>
      <c r="H67" s="19"/>
      <c r="I67" s="19"/>
    </row>
    <row r="68" spans="1:9" s="98" customFormat="1" ht="15">
      <c r="A68" s="96"/>
      <c r="B68" s="97">
        <f t="shared" si="0"/>
        <v>54</v>
      </c>
      <c r="C68" s="50" t="s">
        <v>766</v>
      </c>
      <c r="D68" s="76" t="s">
        <v>767</v>
      </c>
      <c r="E68" s="51" t="s">
        <v>285</v>
      </c>
      <c r="F68" s="51">
        <v>10</v>
      </c>
      <c r="G68" s="19" t="s">
        <v>655</v>
      </c>
      <c r="H68" s="19"/>
      <c r="I68" s="19"/>
    </row>
    <row r="69" spans="1:9" s="98" customFormat="1" ht="15">
      <c r="A69" s="96"/>
      <c r="B69" s="97">
        <f t="shared" si="0"/>
        <v>55</v>
      </c>
      <c r="C69" s="50" t="s">
        <v>768</v>
      </c>
      <c r="D69" s="76" t="s">
        <v>769</v>
      </c>
      <c r="E69" s="51" t="s">
        <v>285</v>
      </c>
      <c r="F69" s="51">
        <v>30</v>
      </c>
      <c r="G69" s="19" t="s">
        <v>655</v>
      </c>
      <c r="H69" s="19"/>
      <c r="I69" s="19"/>
    </row>
    <row r="70" spans="1:9" s="98" customFormat="1" ht="15">
      <c r="A70" s="96"/>
      <c r="B70" s="97">
        <f t="shared" si="0"/>
        <v>56</v>
      </c>
      <c r="C70" s="76" t="s">
        <v>770</v>
      </c>
      <c r="D70" s="76" t="s">
        <v>771</v>
      </c>
      <c r="E70" s="51" t="s">
        <v>285</v>
      </c>
      <c r="F70" s="51">
        <v>30</v>
      </c>
      <c r="G70" s="19" t="s">
        <v>655</v>
      </c>
      <c r="H70" s="19"/>
      <c r="I70" s="19"/>
    </row>
    <row r="71" spans="1:9" s="98" customFormat="1" ht="15">
      <c r="A71" s="96"/>
      <c r="B71" s="97">
        <f t="shared" si="0"/>
        <v>57</v>
      </c>
      <c r="C71" s="50" t="s">
        <v>772</v>
      </c>
      <c r="D71" s="76" t="s">
        <v>773</v>
      </c>
      <c r="E71" s="51" t="s">
        <v>285</v>
      </c>
      <c r="F71" s="51">
        <v>30</v>
      </c>
      <c r="G71" s="19" t="s">
        <v>655</v>
      </c>
      <c r="H71" s="19"/>
      <c r="I71" s="19"/>
    </row>
    <row r="72" spans="1:9" s="98" customFormat="1" ht="15">
      <c r="A72" s="96"/>
      <c r="B72" s="97">
        <f t="shared" si="0"/>
        <v>58</v>
      </c>
      <c r="C72" s="50" t="s">
        <v>774</v>
      </c>
      <c r="D72" s="76" t="s">
        <v>775</v>
      </c>
      <c r="E72" s="51" t="s">
        <v>285</v>
      </c>
      <c r="F72" s="51">
        <v>50</v>
      </c>
      <c r="G72" s="19" t="s">
        <v>655</v>
      </c>
      <c r="H72" s="19"/>
      <c r="I72" s="19"/>
    </row>
    <row r="73" spans="1:9" s="98" customFormat="1" ht="15">
      <c r="A73" s="96"/>
      <c r="B73" s="97">
        <f t="shared" si="0"/>
        <v>59</v>
      </c>
      <c r="C73" s="50" t="s">
        <v>776</v>
      </c>
      <c r="D73" s="103" t="s">
        <v>777</v>
      </c>
      <c r="E73" s="51" t="s">
        <v>285</v>
      </c>
      <c r="F73" s="51">
        <v>50</v>
      </c>
      <c r="G73" s="19" t="s">
        <v>655</v>
      </c>
      <c r="H73" s="19"/>
      <c r="I73" s="19"/>
    </row>
    <row r="74" spans="1:9" s="98" customFormat="1" ht="15">
      <c r="A74" s="96"/>
      <c r="B74" s="97">
        <f t="shared" si="0"/>
        <v>60</v>
      </c>
      <c r="C74" s="76" t="s">
        <v>778</v>
      </c>
      <c r="D74" s="50" t="s">
        <v>779</v>
      </c>
      <c r="E74" s="51" t="s">
        <v>285</v>
      </c>
      <c r="F74" s="51">
        <v>3</v>
      </c>
      <c r="G74" s="52"/>
      <c r="H74" s="19" t="s">
        <v>384</v>
      </c>
      <c r="I74" s="19"/>
    </row>
    <row r="75" spans="1:9" s="98" customFormat="1" ht="15">
      <c r="A75" s="96"/>
      <c r="B75" s="97">
        <f t="shared" si="0"/>
        <v>61</v>
      </c>
      <c r="C75" s="76" t="s">
        <v>780</v>
      </c>
      <c r="D75" s="53" t="s">
        <v>781</v>
      </c>
      <c r="E75" s="51" t="s">
        <v>285</v>
      </c>
      <c r="F75" s="51">
        <v>50</v>
      </c>
      <c r="G75" s="19"/>
      <c r="H75" s="19"/>
      <c r="I75" s="19"/>
    </row>
    <row r="76" spans="1:9" s="101" customFormat="1" ht="33.75" customHeight="1">
      <c r="A76" s="100"/>
      <c r="B76" s="97">
        <f t="shared" si="0"/>
        <v>62</v>
      </c>
      <c r="C76" s="104" t="s">
        <v>782</v>
      </c>
      <c r="D76" s="104" t="s">
        <v>783</v>
      </c>
      <c r="E76" s="27" t="s">
        <v>285</v>
      </c>
      <c r="F76" s="27">
        <v>120</v>
      </c>
      <c r="G76" s="29" t="s">
        <v>784</v>
      </c>
      <c r="H76" s="28"/>
      <c r="I76" s="28"/>
    </row>
    <row r="77" spans="1:9" s="98" customFormat="1" ht="15">
      <c r="A77" s="96"/>
      <c r="B77" s="97">
        <f t="shared" si="0"/>
        <v>63</v>
      </c>
      <c r="C77" s="50" t="s">
        <v>785</v>
      </c>
      <c r="D77" s="105" t="s">
        <v>786</v>
      </c>
      <c r="E77" s="51" t="s">
        <v>285</v>
      </c>
      <c r="F77" s="51">
        <v>120</v>
      </c>
      <c r="G77" s="52" t="s">
        <v>787</v>
      </c>
      <c r="H77" s="19"/>
      <c r="I77" s="19"/>
    </row>
    <row r="78" spans="1:9" s="98" customFormat="1" ht="15">
      <c r="A78" s="96"/>
      <c r="B78" s="97">
        <f t="shared" si="0"/>
        <v>64</v>
      </c>
      <c r="C78" s="76" t="s">
        <v>788</v>
      </c>
      <c r="D78" s="50" t="s">
        <v>789</v>
      </c>
      <c r="E78" s="51" t="s">
        <v>285</v>
      </c>
      <c r="F78" s="51">
        <v>3</v>
      </c>
      <c r="G78" s="52"/>
      <c r="H78" s="19" t="s">
        <v>384</v>
      </c>
      <c r="I78" s="19"/>
    </row>
    <row r="79" spans="1:9" s="98" customFormat="1" ht="15">
      <c r="A79" s="96"/>
      <c r="B79" s="97">
        <f t="shared" si="0"/>
        <v>65</v>
      </c>
      <c r="C79" s="76" t="s">
        <v>790</v>
      </c>
      <c r="D79" s="53" t="s">
        <v>791</v>
      </c>
      <c r="E79" s="51" t="s">
        <v>285</v>
      </c>
      <c r="F79" s="51">
        <v>50</v>
      </c>
      <c r="G79" s="19"/>
      <c r="H79" s="19"/>
      <c r="I79" s="19"/>
    </row>
    <row r="80" spans="1:9" s="98" customFormat="1" ht="15">
      <c r="A80" s="96"/>
      <c r="B80" s="97">
        <f t="shared" si="0"/>
        <v>66</v>
      </c>
      <c r="C80" s="76" t="s">
        <v>792</v>
      </c>
      <c r="D80" s="76" t="s">
        <v>793</v>
      </c>
      <c r="E80" s="51" t="s">
        <v>285</v>
      </c>
      <c r="F80" s="51">
        <v>120</v>
      </c>
      <c r="G80" s="52" t="s">
        <v>784</v>
      </c>
      <c r="H80" s="19"/>
      <c r="I80" s="19"/>
    </row>
    <row r="81" spans="1:9" s="98" customFormat="1" ht="15">
      <c r="A81" s="96"/>
      <c r="B81" s="97">
        <f t="shared" ref="B81:B144" si="1">B80+1</f>
        <v>67</v>
      </c>
      <c r="C81" s="50" t="s">
        <v>794</v>
      </c>
      <c r="D81" s="105" t="s">
        <v>795</v>
      </c>
      <c r="E81" s="51" t="s">
        <v>285</v>
      </c>
      <c r="F81" s="51">
        <v>120</v>
      </c>
      <c r="G81" s="52" t="s">
        <v>787</v>
      </c>
      <c r="H81" s="19"/>
      <c r="I81" s="19"/>
    </row>
    <row r="82" spans="1:9" s="98" customFormat="1" ht="15">
      <c r="A82" s="96"/>
      <c r="B82" s="97">
        <f t="shared" si="1"/>
        <v>68</v>
      </c>
      <c r="C82" s="50" t="s">
        <v>796</v>
      </c>
      <c r="D82" s="50" t="s">
        <v>797</v>
      </c>
      <c r="E82" s="51" t="s">
        <v>285</v>
      </c>
      <c r="F82" s="51">
        <v>200</v>
      </c>
      <c r="G82" s="19" t="s">
        <v>655</v>
      </c>
      <c r="H82" s="19"/>
      <c r="I82" s="19"/>
    </row>
    <row r="83" spans="1:9" s="98" customFormat="1" ht="15">
      <c r="A83" s="96"/>
      <c r="B83" s="97">
        <f t="shared" si="1"/>
        <v>69</v>
      </c>
      <c r="C83" s="50" t="s">
        <v>798</v>
      </c>
      <c r="D83" s="50" t="s">
        <v>799</v>
      </c>
      <c r="E83" s="51" t="s">
        <v>285</v>
      </c>
      <c r="F83" s="51">
        <v>50</v>
      </c>
      <c r="G83" s="19" t="s">
        <v>655</v>
      </c>
      <c r="H83" s="19"/>
      <c r="I83" s="19"/>
    </row>
    <row r="84" spans="1:9" s="98" customFormat="1" ht="15">
      <c r="A84" s="96"/>
      <c r="B84" s="97">
        <f t="shared" si="1"/>
        <v>70</v>
      </c>
      <c r="C84" s="50" t="s">
        <v>800</v>
      </c>
      <c r="D84" s="50" t="s">
        <v>801</v>
      </c>
      <c r="E84" s="51" t="s">
        <v>285</v>
      </c>
      <c r="F84" s="51">
        <v>50</v>
      </c>
      <c r="G84" s="19" t="s">
        <v>655</v>
      </c>
      <c r="H84" s="19"/>
      <c r="I84" s="19"/>
    </row>
    <row r="85" spans="1:9" s="98" customFormat="1" ht="15">
      <c r="A85" s="96"/>
      <c r="B85" s="97">
        <f t="shared" si="1"/>
        <v>71</v>
      </c>
      <c r="C85" s="50" t="s">
        <v>802</v>
      </c>
      <c r="D85" s="76" t="s">
        <v>803</v>
      </c>
      <c r="E85" s="51" t="s">
        <v>285</v>
      </c>
      <c r="F85" s="51">
        <v>30</v>
      </c>
      <c r="G85" s="19" t="s">
        <v>655</v>
      </c>
      <c r="H85" s="19"/>
      <c r="I85" s="19"/>
    </row>
    <row r="86" spans="1:9" s="98" customFormat="1" ht="15">
      <c r="A86" s="96"/>
      <c r="B86" s="97">
        <f t="shared" si="1"/>
        <v>72</v>
      </c>
      <c r="C86" s="50" t="s">
        <v>804</v>
      </c>
      <c r="D86" s="76" t="s">
        <v>805</v>
      </c>
      <c r="E86" s="51" t="s">
        <v>285</v>
      </c>
      <c r="F86" s="51">
        <v>2</v>
      </c>
      <c r="G86" s="52"/>
      <c r="H86" s="19" t="s">
        <v>806</v>
      </c>
      <c r="I86" s="19"/>
    </row>
    <row r="87" spans="1:9" s="98" customFormat="1" ht="15">
      <c r="A87" s="96"/>
      <c r="B87" s="97">
        <f t="shared" si="1"/>
        <v>73</v>
      </c>
      <c r="C87" s="50" t="s">
        <v>807</v>
      </c>
      <c r="D87" s="53" t="s">
        <v>808</v>
      </c>
      <c r="E87" s="51" t="s">
        <v>285</v>
      </c>
      <c r="F87" s="51">
        <v>20</v>
      </c>
      <c r="G87" s="19"/>
      <c r="H87" s="19"/>
      <c r="I87" s="19"/>
    </row>
    <row r="88" spans="1:9" s="98" customFormat="1" ht="15">
      <c r="A88" s="96"/>
      <c r="B88" s="97">
        <f t="shared" si="1"/>
        <v>74</v>
      </c>
      <c r="C88" s="50" t="s">
        <v>809</v>
      </c>
      <c r="D88" s="76" t="s">
        <v>810</v>
      </c>
      <c r="E88" s="51" t="s">
        <v>285</v>
      </c>
      <c r="F88" s="51">
        <v>30</v>
      </c>
      <c r="G88" s="19" t="s">
        <v>655</v>
      </c>
      <c r="H88" s="19"/>
      <c r="I88" s="19"/>
    </row>
    <row r="89" spans="1:9" s="98" customFormat="1" ht="15">
      <c r="A89" s="96"/>
      <c r="B89" s="97">
        <f t="shared" si="1"/>
        <v>75</v>
      </c>
      <c r="C89" s="50" t="s">
        <v>811</v>
      </c>
      <c r="D89" s="76" t="s">
        <v>812</v>
      </c>
      <c r="E89" s="51" t="s">
        <v>285</v>
      </c>
      <c r="F89" s="51">
        <v>30</v>
      </c>
      <c r="G89" s="19" t="s">
        <v>655</v>
      </c>
      <c r="H89" s="19"/>
      <c r="I89" s="19"/>
    </row>
    <row r="90" spans="1:9" s="98" customFormat="1" ht="15">
      <c r="A90" s="96"/>
      <c r="B90" s="97">
        <f t="shared" si="1"/>
        <v>76</v>
      </c>
      <c r="C90" s="50" t="s">
        <v>813</v>
      </c>
      <c r="D90" s="76" t="s">
        <v>814</v>
      </c>
      <c r="E90" s="51" t="s">
        <v>285</v>
      </c>
      <c r="F90" s="51">
        <v>30</v>
      </c>
      <c r="G90" s="19" t="s">
        <v>655</v>
      </c>
      <c r="H90" s="19"/>
      <c r="I90" s="19"/>
    </row>
    <row r="91" spans="1:9" s="98" customFormat="1" ht="15">
      <c r="A91" s="96"/>
      <c r="B91" s="97">
        <f t="shared" si="1"/>
        <v>77</v>
      </c>
      <c r="C91" s="50" t="s">
        <v>815</v>
      </c>
      <c r="D91" s="76" t="s">
        <v>816</v>
      </c>
      <c r="E91" s="51" t="s">
        <v>285</v>
      </c>
      <c r="F91" s="51">
        <v>2</v>
      </c>
      <c r="G91" s="52"/>
      <c r="H91" s="19" t="s">
        <v>806</v>
      </c>
      <c r="I91" s="19"/>
    </row>
    <row r="92" spans="1:9" s="98" customFormat="1" ht="15">
      <c r="A92" s="96"/>
      <c r="B92" s="97">
        <f t="shared" si="1"/>
        <v>78</v>
      </c>
      <c r="C92" s="50" t="s">
        <v>817</v>
      </c>
      <c r="D92" s="53" t="s">
        <v>818</v>
      </c>
      <c r="E92" s="51" t="s">
        <v>285</v>
      </c>
      <c r="F92" s="51">
        <v>20</v>
      </c>
      <c r="G92" s="19"/>
      <c r="H92" s="19"/>
      <c r="I92" s="19"/>
    </row>
    <row r="93" spans="1:9" s="98" customFormat="1" ht="15">
      <c r="A93" s="96"/>
      <c r="B93" s="97">
        <f t="shared" si="1"/>
        <v>79</v>
      </c>
      <c r="C93" s="50" t="s">
        <v>819</v>
      </c>
      <c r="D93" s="76" t="s">
        <v>820</v>
      </c>
      <c r="E93" s="51" t="s">
        <v>285</v>
      </c>
      <c r="F93" s="51">
        <v>30</v>
      </c>
      <c r="G93" s="19" t="s">
        <v>655</v>
      </c>
      <c r="H93" s="19"/>
      <c r="I93" s="19"/>
    </row>
    <row r="94" spans="1:9" s="98" customFormat="1" ht="15">
      <c r="A94" s="96"/>
      <c r="B94" s="97">
        <f t="shared" si="1"/>
        <v>80</v>
      </c>
      <c r="C94" s="50" t="s">
        <v>821</v>
      </c>
      <c r="D94" s="76" t="s">
        <v>822</v>
      </c>
      <c r="E94" s="51" t="s">
        <v>285</v>
      </c>
      <c r="F94" s="51">
        <v>30</v>
      </c>
      <c r="G94" s="19" t="s">
        <v>655</v>
      </c>
      <c r="H94" s="19"/>
      <c r="I94" s="19"/>
    </row>
    <row r="95" spans="1:9" s="98" customFormat="1" ht="15">
      <c r="A95" s="96"/>
      <c r="B95" s="97">
        <f t="shared" si="1"/>
        <v>81</v>
      </c>
      <c r="C95" s="50" t="s">
        <v>823</v>
      </c>
      <c r="D95" s="50" t="s">
        <v>439</v>
      </c>
      <c r="E95" s="51" t="s">
        <v>296</v>
      </c>
      <c r="F95" s="51">
        <v>20</v>
      </c>
      <c r="G95" s="52"/>
      <c r="H95" s="19" t="s">
        <v>47</v>
      </c>
      <c r="I95" s="19" t="s">
        <v>439</v>
      </c>
    </row>
    <row r="96" spans="1:9" s="98" customFormat="1" ht="15">
      <c r="A96" s="96"/>
      <c r="B96" s="97">
        <f t="shared" si="1"/>
        <v>82</v>
      </c>
      <c r="C96" s="50" t="s">
        <v>824</v>
      </c>
      <c r="D96" s="53" t="s">
        <v>825</v>
      </c>
      <c r="E96" s="62" t="s">
        <v>285</v>
      </c>
      <c r="F96" s="62">
        <v>20</v>
      </c>
      <c r="G96" s="52"/>
      <c r="H96" s="19"/>
      <c r="I96" s="19"/>
    </row>
    <row r="97" spans="1:9" s="98" customFormat="1" ht="15">
      <c r="A97" s="96"/>
      <c r="B97" s="97">
        <f t="shared" si="1"/>
        <v>83</v>
      </c>
      <c r="C97" s="50" t="s">
        <v>826</v>
      </c>
      <c r="D97" s="53" t="s">
        <v>827</v>
      </c>
      <c r="E97" s="62" t="s">
        <v>285</v>
      </c>
      <c r="F97" s="62">
        <v>100</v>
      </c>
      <c r="G97" s="52"/>
      <c r="H97" s="19"/>
      <c r="I97" s="19"/>
    </row>
    <row r="98" spans="1:9" s="101" customFormat="1" ht="15">
      <c r="A98" s="100"/>
      <c r="B98" s="97">
        <f t="shared" si="1"/>
        <v>84</v>
      </c>
      <c r="C98" s="104" t="s">
        <v>828</v>
      </c>
      <c r="D98" s="53" t="s">
        <v>829</v>
      </c>
      <c r="E98" s="27" t="s">
        <v>296</v>
      </c>
      <c r="F98" s="27">
        <v>20</v>
      </c>
      <c r="G98" s="29" t="s">
        <v>830</v>
      </c>
      <c r="H98" s="28" t="s">
        <v>43</v>
      </c>
      <c r="I98" s="28" t="s">
        <v>339</v>
      </c>
    </row>
    <row r="99" spans="1:9" s="98" customFormat="1" ht="15">
      <c r="A99" s="96"/>
      <c r="B99" s="97">
        <f t="shared" si="1"/>
        <v>85</v>
      </c>
      <c r="C99" s="104" t="s">
        <v>831</v>
      </c>
      <c r="D99" s="53" t="s">
        <v>832</v>
      </c>
      <c r="E99" s="62" t="s">
        <v>285</v>
      </c>
      <c r="F99" s="62">
        <v>50</v>
      </c>
      <c r="G99" s="52"/>
      <c r="H99" s="19"/>
      <c r="I99" s="19"/>
    </row>
    <row r="100" spans="1:9" s="98" customFormat="1" ht="15">
      <c r="A100" s="96"/>
      <c r="B100" s="97">
        <f t="shared" si="1"/>
        <v>86</v>
      </c>
      <c r="C100" s="104" t="s">
        <v>833</v>
      </c>
      <c r="D100" s="53" t="s">
        <v>834</v>
      </c>
      <c r="E100" s="62" t="s">
        <v>285</v>
      </c>
      <c r="F100" s="62">
        <v>100</v>
      </c>
      <c r="G100" s="19"/>
      <c r="H100" s="19"/>
      <c r="I100" s="19"/>
    </row>
    <row r="101" spans="1:9" s="101" customFormat="1" ht="15">
      <c r="A101" s="100"/>
      <c r="B101" s="97">
        <f t="shared" si="1"/>
        <v>87</v>
      </c>
      <c r="C101" s="104" t="s">
        <v>835</v>
      </c>
      <c r="D101" s="53" t="s">
        <v>836</v>
      </c>
      <c r="E101" s="27" t="s">
        <v>296</v>
      </c>
      <c r="F101" s="27">
        <v>20</v>
      </c>
      <c r="G101" s="29" t="s">
        <v>837</v>
      </c>
      <c r="H101" s="28" t="s">
        <v>838</v>
      </c>
      <c r="I101" s="28" t="s">
        <v>339</v>
      </c>
    </row>
    <row r="102" spans="1:9" s="98" customFormat="1" ht="15">
      <c r="A102" s="96"/>
      <c r="B102" s="97">
        <f t="shared" si="1"/>
        <v>88</v>
      </c>
      <c r="C102" s="104" t="s">
        <v>839</v>
      </c>
      <c r="D102" s="53" t="s">
        <v>840</v>
      </c>
      <c r="E102" s="62" t="s">
        <v>285</v>
      </c>
      <c r="F102" s="62">
        <v>50</v>
      </c>
      <c r="G102" s="52"/>
      <c r="H102" s="19"/>
      <c r="I102" s="19"/>
    </row>
    <row r="103" spans="1:9" s="98" customFormat="1" ht="15">
      <c r="A103" s="96"/>
      <c r="B103" s="97">
        <f t="shared" si="1"/>
        <v>89</v>
      </c>
      <c r="C103" s="104" t="s">
        <v>841</v>
      </c>
      <c r="D103" s="53" t="s">
        <v>842</v>
      </c>
      <c r="E103" s="62" t="s">
        <v>285</v>
      </c>
      <c r="F103" s="62">
        <v>100</v>
      </c>
      <c r="G103" s="19"/>
      <c r="H103" s="19"/>
      <c r="I103" s="19"/>
    </row>
    <row r="104" spans="1:9" s="101" customFormat="1" ht="15">
      <c r="A104" s="100"/>
      <c r="B104" s="97">
        <f t="shared" si="1"/>
        <v>90</v>
      </c>
      <c r="C104" s="104" t="s">
        <v>843</v>
      </c>
      <c r="D104" s="53" t="s">
        <v>844</v>
      </c>
      <c r="E104" s="27" t="s">
        <v>296</v>
      </c>
      <c r="F104" s="27">
        <v>20</v>
      </c>
      <c r="G104" s="29" t="s">
        <v>845</v>
      </c>
      <c r="H104" s="28" t="s">
        <v>838</v>
      </c>
      <c r="I104" s="28" t="s">
        <v>339</v>
      </c>
    </row>
    <row r="105" spans="1:9" s="98" customFormat="1" ht="15">
      <c r="A105" s="96"/>
      <c r="B105" s="97">
        <f t="shared" si="1"/>
        <v>91</v>
      </c>
      <c r="C105" s="104" t="s">
        <v>846</v>
      </c>
      <c r="D105" s="53" t="s">
        <v>847</v>
      </c>
      <c r="E105" s="62" t="s">
        <v>285</v>
      </c>
      <c r="F105" s="62">
        <v>50</v>
      </c>
      <c r="G105" s="52"/>
      <c r="H105" s="19"/>
      <c r="I105" s="19"/>
    </row>
    <row r="106" spans="1:9" s="98" customFormat="1" ht="15">
      <c r="A106" s="96"/>
      <c r="B106" s="97">
        <f t="shared" si="1"/>
        <v>92</v>
      </c>
      <c r="C106" s="104" t="s">
        <v>848</v>
      </c>
      <c r="D106" s="53" t="s">
        <v>849</v>
      </c>
      <c r="E106" s="62" t="s">
        <v>285</v>
      </c>
      <c r="F106" s="62">
        <v>100</v>
      </c>
      <c r="G106" s="19"/>
      <c r="H106" s="19"/>
      <c r="I106" s="19"/>
    </row>
    <row r="107" spans="1:9" s="101" customFormat="1" ht="15">
      <c r="A107" s="100"/>
      <c r="B107" s="97">
        <f t="shared" si="1"/>
        <v>93</v>
      </c>
      <c r="C107" s="104" t="s">
        <v>850</v>
      </c>
      <c r="D107" s="53" t="s">
        <v>851</v>
      </c>
      <c r="E107" s="27" t="s">
        <v>296</v>
      </c>
      <c r="F107" s="27">
        <v>20</v>
      </c>
      <c r="G107" s="29" t="s">
        <v>852</v>
      </c>
      <c r="H107" s="28" t="s">
        <v>838</v>
      </c>
      <c r="I107" s="28" t="s">
        <v>339</v>
      </c>
    </row>
    <row r="108" spans="1:9" s="98" customFormat="1" ht="15">
      <c r="A108" s="96"/>
      <c r="B108" s="97">
        <f t="shared" si="1"/>
        <v>94</v>
      </c>
      <c r="C108" s="104" t="s">
        <v>853</v>
      </c>
      <c r="D108" s="53" t="s">
        <v>854</v>
      </c>
      <c r="E108" s="62" t="s">
        <v>285</v>
      </c>
      <c r="F108" s="62">
        <v>50</v>
      </c>
      <c r="G108" s="52"/>
      <c r="H108" s="19"/>
      <c r="I108" s="19"/>
    </row>
    <row r="109" spans="1:9" s="98" customFormat="1" ht="15">
      <c r="A109" s="96"/>
      <c r="B109" s="97">
        <f t="shared" si="1"/>
        <v>95</v>
      </c>
      <c r="C109" s="104" t="s">
        <v>855</v>
      </c>
      <c r="D109" s="53" t="s">
        <v>856</v>
      </c>
      <c r="E109" s="62" t="s">
        <v>285</v>
      </c>
      <c r="F109" s="62">
        <v>100</v>
      </c>
      <c r="G109" s="19"/>
      <c r="H109" s="19"/>
      <c r="I109" s="19"/>
    </row>
    <row r="110" spans="1:9" s="101" customFormat="1" ht="15">
      <c r="A110" s="100"/>
      <c r="B110" s="97">
        <f t="shared" si="1"/>
        <v>96</v>
      </c>
      <c r="C110" s="104" t="s">
        <v>857</v>
      </c>
      <c r="D110" s="53" t="s">
        <v>858</v>
      </c>
      <c r="E110" s="27" t="s">
        <v>296</v>
      </c>
      <c r="F110" s="27">
        <v>20</v>
      </c>
      <c r="G110" s="29" t="s">
        <v>859</v>
      </c>
      <c r="H110" s="28" t="s">
        <v>838</v>
      </c>
      <c r="I110" s="28" t="s">
        <v>339</v>
      </c>
    </row>
    <row r="111" spans="1:9" s="98" customFormat="1" ht="15">
      <c r="A111" s="96"/>
      <c r="B111" s="97">
        <f t="shared" si="1"/>
        <v>97</v>
      </c>
      <c r="C111" s="104" t="s">
        <v>860</v>
      </c>
      <c r="D111" s="53" t="s">
        <v>861</v>
      </c>
      <c r="E111" s="62" t="s">
        <v>285</v>
      </c>
      <c r="F111" s="62">
        <v>50</v>
      </c>
      <c r="G111" s="52"/>
      <c r="H111" s="19"/>
      <c r="I111" s="19"/>
    </row>
    <row r="112" spans="1:9" s="98" customFormat="1" ht="15">
      <c r="A112" s="96"/>
      <c r="B112" s="97">
        <f t="shared" si="1"/>
        <v>98</v>
      </c>
      <c r="C112" s="104" t="s">
        <v>862</v>
      </c>
      <c r="D112" s="53" t="s">
        <v>863</v>
      </c>
      <c r="E112" s="62" t="s">
        <v>285</v>
      </c>
      <c r="F112" s="62">
        <v>100</v>
      </c>
      <c r="G112" s="19"/>
      <c r="H112" s="19"/>
      <c r="I112" s="19"/>
    </row>
    <row r="113" spans="1:9" s="101" customFormat="1" ht="15">
      <c r="A113" s="100"/>
      <c r="B113" s="97">
        <f t="shared" si="1"/>
        <v>99</v>
      </c>
      <c r="C113" s="102" t="s">
        <v>474</v>
      </c>
      <c r="D113" s="53" t="s">
        <v>864</v>
      </c>
      <c r="E113" s="27" t="s">
        <v>296</v>
      </c>
      <c r="F113" s="27">
        <v>20</v>
      </c>
      <c r="G113" s="102"/>
      <c r="H113" s="28" t="s">
        <v>472</v>
      </c>
      <c r="I113" s="28" t="s">
        <v>475</v>
      </c>
    </row>
    <row r="114" spans="1:9" s="98" customFormat="1" ht="15">
      <c r="A114" s="96"/>
      <c r="B114" s="97">
        <f t="shared" si="1"/>
        <v>100</v>
      </c>
      <c r="C114" s="102" t="s">
        <v>865</v>
      </c>
      <c r="D114" s="76" t="s">
        <v>477</v>
      </c>
      <c r="E114" s="62" t="s">
        <v>285</v>
      </c>
      <c r="F114" s="62">
        <v>20</v>
      </c>
      <c r="G114" s="52"/>
      <c r="H114" s="19"/>
      <c r="I114" s="19"/>
    </row>
    <row r="115" spans="1:9" s="98" customFormat="1" ht="15">
      <c r="A115" s="96"/>
      <c r="B115" s="97">
        <f t="shared" si="1"/>
        <v>101</v>
      </c>
      <c r="C115" s="102" t="s">
        <v>478</v>
      </c>
      <c r="D115" s="76" t="s">
        <v>479</v>
      </c>
      <c r="E115" s="62" t="s">
        <v>285</v>
      </c>
      <c r="F115" s="62">
        <v>100</v>
      </c>
      <c r="G115" s="19"/>
      <c r="H115" s="19"/>
      <c r="I115" s="19"/>
    </row>
    <row r="116" spans="1:9" s="101" customFormat="1" ht="15">
      <c r="A116" s="100"/>
      <c r="B116" s="97">
        <f t="shared" si="1"/>
        <v>102</v>
      </c>
      <c r="C116" s="102" t="s">
        <v>465</v>
      </c>
      <c r="D116" s="53" t="s">
        <v>451</v>
      </c>
      <c r="E116" s="27" t="s">
        <v>296</v>
      </c>
      <c r="F116" s="27">
        <v>20</v>
      </c>
      <c r="G116" s="102"/>
      <c r="H116" s="28" t="s">
        <v>50</v>
      </c>
      <c r="I116" s="28" t="s">
        <v>466</v>
      </c>
    </row>
    <row r="117" spans="1:9" s="98" customFormat="1" ht="15">
      <c r="A117" s="96"/>
      <c r="B117" s="97">
        <f t="shared" si="1"/>
        <v>103</v>
      </c>
      <c r="C117" s="102" t="s">
        <v>866</v>
      </c>
      <c r="D117" s="53" t="s">
        <v>867</v>
      </c>
      <c r="E117" s="62" t="s">
        <v>456</v>
      </c>
      <c r="F117" s="51">
        <v>20</v>
      </c>
      <c r="G117" s="52"/>
      <c r="H117" s="19"/>
      <c r="I117" s="19"/>
    </row>
    <row r="118" spans="1:9" s="98" customFormat="1" ht="15">
      <c r="A118" s="96"/>
      <c r="B118" s="97">
        <f t="shared" si="1"/>
        <v>104</v>
      </c>
      <c r="C118" s="102" t="s">
        <v>457</v>
      </c>
      <c r="D118" s="53" t="s">
        <v>868</v>
      </c>
      <c r="E118" s="68" t="s">
        <v>456</v>
      </c>
      <c r="F118" s="51">
        <v>50</v>
      </c>
      <c r="G118" s="19"/>
      <c r="H118" s="19"/>
      <c r="I118" s="19"/>
    </row>
    <row r="119" spans="1:9" s="101" customFormat="1" ht="15">
      <c r="A119" s="100"/>
      <c r="B119" s="97">
        <f t="shared" si="1"/>
        <v>105</v>
      </c>
      <c r="C119" s="102" t="s">
        <v>463</v>
      </c>
      <c r="D119" s="53" t="s">
        <v>869</v>
      </c>
      <c r="E119" s="27" t="s">
        <v>296</v>
      </c>
      <c r="F119" s="27">
        <v>20</v>
      </c>
      <c r="G119" s="102"/>
      <c r="H119" s="28" t="s">
        <v>461</v>
      </c>
      <c r="I119" s="26" t="s">
        <v>464</v>
      </c>
    </row>
    <row r="120" spans="1:9" s="98" customFormat="1" ht="15">
      <c r="A120" s="96"/>
      <c r="B120" s="97">
        <f t="shared" si="1"/>
        <v>106</v>
      </c>
      <c r="C120" s="102" t="s">
        <v>870</v>
      </c>
      <c r="D120" s="53" t="s">
        <v>468</v>
      </c>
      <c r="E120" s="62" t="s">
        <v>456</v>
      </c>
      <c r="F120" s="51">
        <v>20</v>
      </c>
      <c r="G120" s="52"/>
      <c r="H120" s="19"/>
      <c r="I120" s="19"/>
    </row>
    <row r="121" spans="1:9" s="98" customFormat="1" ht="15">
      <c r="A121" s="96"/>
      <c r="B121" s="97">
        <f t="shared" si="1"/>
        <v>107</v>
      </c>
      <c r="C121" s="102" t="s">
        <v>469</v>
      </c>
      <c r="D121" s="53" t="s">
        <v>871</v>
      </c>
      <c r="E121" s="68" t="s">
        <v>456</v>
      </c>
      <c r="F121" s="51">
        <v>50</v>
      </c>
      <c r="G121" s="19"/>
      <c r="H121" s="19"/>
      <c r="I121" s="19"/>
    </row>
    <row r="122" spans="1:9" s="101" customFormat="1" ht="15">
      <c r="A122" s="100"/>
      <c r="B122" s="97">
        <f t="shared" si="1"/>
        <v>108</v>
      </c>
      <c r="C122" s="102" t="s">
        <v>872</v>
      </c>
      <c r="D122" s="53" t="s">
        <v>873</v>
      </c>
      <c r="E122" s="27" t="s">
        <v>296</v>
      </c>
      <c r="F122" s="27">
        <v>20</v>
      </c>
      <c r="G122" s="102"/>
      <c r="H122" s="28" t="s">
        <v>483</v>
      </c>
      <c r="I122" s="28" t="s">
        <v>486</v>
      </c>
    </row>
    <row r="123" spans="1:9" s="98" customFormat="1" ht="15">
      <c r="A123" s="96"/>
      <c r="B123" s="97">
        <f t="shared" si="1"/>
        <v>109</v>
      </c>
      <c r="C123" s="102" t="s">
        <v>874</v>
      </c>
      <c r="D123" s="53" t="s">
        <v>488</v>
      </c>
      <c r="E123" s="62" t="s">
        <v>456</v>
      </c>
      <c r="F123" s="62">
        <v>20</v>
      </c>
      <c r="G123" s="52"/>
      <c r="H123" s="19"/>
      <c r="I123" s="19"/>
    </row>
    <row r="124" spans="1:9" s="98" customFormat="1" ht="15">
      <c r="A124" s="96"/>
      <c r="B124" s="97">
        <f t="shared" si="1"/>
        <v>110</v>
      </c>
      <c r="C124" s="102" t="s">
        <v>489</v>
      </c>
      <c r="D124" s="53" t="s">
        <v>875</v>
      </c>
      <c r="E124" s="68" t="s">
        <v>456</v>
      </c>
      <c r="F124" s="62">
        <v>100</v>
      </c>
      <c r="G124" s="19"/>
      <c r="H124" s="19"/>
      <c r="I124" s="19"/>
    </row>
    <row r="125" spans="1:9" s="101" customFormat="1" ht="15">
      <c r="A125" s="100"/>
      <c r="B125" s="97">
        <f t="shared" si="1"/>
        <v>111</v>
      </c>
      <c r="C125" s="102" t="s">
        <v>876</v>
      </c>
      <c r="D125" s="53" t="s">
        <v>497</v>
      </c>
      <c r="E125" s="27" t="s">
        <v>296</v>
      </c>
      <c r="F125" s="27">
        <v>20</v>
      </c>
      <c r="G125" s="102"/>
      <c r="H125" s="28" t="s">
        <v>58</v>
      </c>
      <c r="I125" s="28" t="s">
        <v>877</v>
      </c>
    </row>
    <row r="126" spans="1:9" s="98" customFormat="1" ht="15">
      <c r="A126" s="96"/>
      <c r="B126" s="97">
        <f t="shared" si="1"/>
        <v>112</v>
      </c>
      <c r="C126" s="102" t="s">
        <v>878</v>
      </c>
      <c r="D126" s="53" t="s">
        <v>879</v>
      </c>
      <c r="E126" s="62" t="s">
        <v>456</v>
      </c>
      <c r="F126" s="62">
        <v>20</v>
      </c>
      <c r="G126" s="52"/>
      <c r="H126" s="19"/>
      <c r="I126" s="19"/>
    </row>
    <row r="127" spans="1:9" s="98" customFormat="1" ht="15">
      <c r="A127" s="96"/>
      <c r="B127" s="97">
        <f t="shared" si="1"/>
        <v>113</v>
      </c>
      <c r="C127" s="102" t="s">
        <v>500</v>
      </c>
      <c r="D127" s="53" t="s">
        <v>880</v>
      </c>
      <c r="E127" s="68" t="s">
        <v>456</v>
      </c>
      <c r="F127" s="62">
        <v>100</v>
      </c>
      <c r="G127" s="19"/>
      <c r="H127" s="19"/>
      <c r="I127" s="19"/>
    </row>
    <row r="128" spans="1:9" s="101" customFormat="1" ht="15">
      <c r="A128" s="100"/>
      <c r="B128" s="97">
        <f t="shared" si="1"/>
        <v>114</v>
      </c>
      <c r="C128" s="102" t="s">
        <v>881</v>
      </c>
      <c r="D128" s="53" t="s">
        <v>882</v>
      </c>
      <c r="E128" s="27" t="s">
        <v>296</v>
      </c>
      <c r="F128" s="27">
        <v>20</v>
      </c>
      <c r="G128" s="102"/>
      <c r="H128" s="28" t="s">
        <v>504</v>
      </c>
      <c r="I128" s="26" t="s">
        <v>507</v>
      </c>
    </row>
    <row r="129" spans="1:9" s="98" customFormat="1" ht="15">
      <c r="A129" s="96"/>
      <c r="B129" s="97">
        <f t="shared" si="1"/>
        <v>115</v>
      </c>
      <c r="C129" s="102" t="s">
        <v>883</v>
      </c>
      <c r="D129" s="53" t="s">
        <v>884</v>
      </c>
      <c r="E129" s="62" t="s">
        <v>456</v>
      </c>
      <c r="F129" s="62">
        <v>50</v>
      </c>
      <c r="G129" s="52"/>
      <c r="H129" s="19"/>
      <c r="I129" s="19"/>
    </row>
    <row r="130" spans="1:9" s="98" customFormat="1" ht="15">
      <c r="A130" s="96"/>
      <c r="B130" s="97">
        <f t="shared" si="1"/>
        <v>116</v>
      </c>
      <c r="C130" s="102" t="s">
        <v>885</v>
      </c>
      <c r="D130" s="53" t="s">
        <v>886</v>
      </c>
      <c r="E130" s="68" t="s">
        <v>456</v>
      </c>
      <c r="F130" s="62">
        <v>100</v>
      </c>
      <c r="G130" s="19"/>
      <c r="H130" s="19"/>
      <c r="I130" s="19"/>
    </row>
    <row r="131" spans="1:9" s="101" customFormat="1" ht="15">
      <c r="A131" s="100"/>
      <c r="B131" s="97">
        <f t="shared" si="1"/>
        <v>117</v>
      </c>
      <c r="C131" s="102" t="s">
        <v>887</v>
      </c>
      <c r="D131" s="53" t="s">
        <v>888</v>
      </c>
      <c r="E131" s="27" t="s">
        <v>296</v>
      </c>
      <c r="F131" s="27">
        <v>20</v>
      </c>
      <c r="G131" s="102"/>
      <c r="H131" s="28" t="s">
        <v>514</v>
      </c>
      <c r="I131" s="28" t="s">
        <v>517</v>
      </c>
    </row>
    <row r="132" spans="1:9" s="98" customFormat="1" ht="15">
      <c r="A132" s="96"/>
      <c r="B132" s="97">
        <f t="shared" si="1"/>
        <v>118</v>
      </c>
      <c r="C132" s="102" t="s">
        <v>889</v>
      </c>
      <c r="D132" s="53" t="s">
        <v>890</v>
      </c>
      <c r="E132" s="62" t="s">
        <v>456</v>
      </c>
      <c r="F132" s="62">
        <v>20</v>
      </c>
      <c r="G132" s="52"/>
      <c r="H132" s="19"/>
      <c r="I132" s="19"/>
    </row>
    <row r="133" spans="1:9" s="98" customFormat="1" ht="15">
      <c r="A133" s="96"/>
      <c r="B133" s="97">
        <f t="shared" si="1"/>
        <v>119</v>
      </c>
      <c r="C133" s="102" t="s">
        <v>520</v>
      </c>
      <c r="D133" s="53" t="s">
        <v>891</v>
      </c>
      <c r="E133" s="68" t="s">
        <v>456</v>
      </c>
      <c r="F133" s="62">
        <v>100</v>
      </c>
      <c r="G133" s="19"/>
      <c r="H133" s="19"/>
      <c r="I133" s="19"/>
    </row>
    <row r="134" spans="1:9" s="101" customFormat="1" ht="15">
      <c r="A134" s="100"/>
      <c r="B134" s="97">
        <f t="shared" si="1"/>
        <v>120</v>
      </c>
      <c r="C134" s="102" t="s">
        <v>892</v>
      </c>
      <c r="D134" s="53" t="s">
        <v>893</v>
      </c>
      <c r="E134" s="27" t="s">
        <v>296</v>
      </c>
      <c r="F134" s="27">
        <v>20</v>
      </c>
      <c r="G134" s="102"/>
      <c r="H134" s="28" t="s">
        <v>524</v>
      </c>
      <c r="I134" s="28" t="s">
        <v>527</v>
      </c>
    </row>
    <row r="135" spans="1:9" s="98" customFormat="1" ht="15">
      <c r="A135" s="96"/>
      <c r="B135" s="97">
        <f t="shared" si="1"/>
        <v>121</v>
      </c>
      <c r="C135" s="102" t="s">
        <v>894</v>
      </c>
      <c r="D135" s="53" t="s">
        <v>529</v>
      </c>
      <c r="E135" s="62" t="s">
        <v>456</v>
      </c>
      <c r="F135" s="62">
        <v>20</v>
      </c>
      <c r="G135" s="52"/>
      <c r="H135" s="19"/>
      <c r="I135" s="19"/>
    </row>
    <row r="136" spans="1:9" s="98" customFormat="1" ht="15">
      <c r="A136" s="96"/>
      <c r="B136" s="97">
        <f t="shared" si="1"/>
        <v>122</v>
      </c>
      <c r="C136" s="102" t="s">
        <v>895</v>
      </c>
      <c r="D136" s="53" t="s">
        <v>896</v>
      </c>
      <c r="E136" s="68" t="s">
        <v>456</v>
      </c>
      <c r="F136" s="62">
        <v>100</v>
      </c>
      <c r="G136" s="19"/>
      <c r="H136" s="19"/>
      <c r="I136" s="19"/>
    </row>
    <row r="137" spans="1:9" s="101" customFormat="1" ht="15">
      <c r="A137" s="100"/>
      <c r="B137" s="97">
        <f t="shared" si="1"/>
        <v>123</v>
      </c>
      <c r="C137" s="102" t="s">
        <v>897</v>
      </c>
      <c r="D137" s="53" t="s">
        <v>898</v>
      </c>
      <c r="E137" s="27" t="s">
        <v>326</v>
      </c>
      <c r="F137" s="27">
        <v>4</v>
      </c>
      <c r="G137" s="102"/>
      <c r="H137" s="28" t="s">
        <v>899</v>
      </c>
      <c r="I137" s="28"/>
    </row>
    <row r="138" spans="1:9" s="98" customFormat="1" ht="15">
      <c r="A138" s="96"/>
      <c r="B138" s="97">
        <f t="shared" si="1"/>
        <v>124</v>
      </c>
      <c r="C138" s="102" t="s">
        <v>900</v>
      </c>
      <c r="D138" s="53" t="s">
        <v>901</v>
      </c>
      <c r="E138" s="62" t="s">
        <v>456</v>
      </c>
      <c r="F138" s="62">
        <v>20</v>
      </c>
      <c r="G138" s="52"/>
      <c r="H138" s="19"/>
      <c r="I138" s="19"/>
    </row>
    <row r="139" spans="1:9" s="98" customFormat="1" ht="15">
      <c r="A139" s="96"/>
      <c r="B139" s="97">
        <f t="shared" si="1"/>
        <v>125</v>
      </c>
      <c r="C139" s="102" t="s">
        <v>902</v>
      </c>
      <c r="D139" s="53" t="s">
        <v>903</v>
      </c>
      <c r="E139" s="27" t="s">
        <v>326</v>
      </c>
      <c r="F139" s="27">
        <v>4</v>
      </c>
      <c r="G139" s="19"/>
      <c r="H139" s="28" t="s">
        <v>904</v>
      </c>
      <c r="I139" s="19"/>
    </row>
    <row r="140" spans="1:9" s="101" customFormat="1" ht="15">
      <c r="A140" s="100"/>
      <c r="B140" s="97">
        <f t="shared" si="1"/>
        <v>126</v>
      </c>
      <c r="C140" s="102" t="s">
        <v>905</v>
      </c>
      <c r="D140" s="53" t="s">
        <v>906</v>
      </c>
      <c r="E140" s="62" t="s">
        <v>456</v>
      </c>
      <c r="F140" s="62">
        <v>20</v>
      </c>
      <c r="G140" s="102"/>
      <c r="H140" s="28"/>
      <c r="I140" s="28"/>
    </row>
    <row r="141" spans="1:9" s="101" customFormat="1" ht="15">
      <c r="A141" s="100"/>
      <c r="B141" s="97">
        <f t="shared" si="1"/>
        <v>127</v>
      </c>
      <c r="C141" s="102" t="s">
        <v>907</v>
      </c>
      <c r="D141" s="53" t="s">
        <v>908</v>
      </c>
      <c r="E141" s="27" t="s">
        <v>326</v>
      </c>
      <c r="F141" s="27">
        <v>4</v>
      </c>
      <c r="G141" s="102"/>
      <c r="H141" s="28" t="s">
        <v>909</v>
      </c>
      <c r="I141" s="28"/>
    </row>
    <row r="142" spans="1:9" s="98" customFormat="1" ht="15">
      <c r="A142" s="96"/>
      <c r="B142" s="97">
        <f t="shared" si="1"/>
        <v>128</v>
      </c>
      <c r="C142" s="102" t="s">
        <v>910</v>
      </c>
      <c r="D142" s="53" t="s">
        <v>911</v>
      </c>
      <c r="E142" s="62" t="s">
        <v>456</v>
      </c>
      <c r="F142" s="62">
        <v>20</v>
      </c>
      <c r="G142" s="52"/>
      <c r="H142" s="19"/>
      <c r="I142" s="19"/>
    </row>
    <row r="143" spans="1:9" s="101" customFormat="1" ht="15">
      <c r="A143" s="100"/>
      <c r="B143" s="97">
        <f t="shared" si="1"/>
        <v>129</v>
      </c>
      <c r="C143" s="102" t="s">
        <v>547</v>
      </c>
      <c r="D143" s="53" t="s">
        <v>912</v>
      </c>
      <c r="E143" s="27" t="s">
        <v>296</v>
      </c>
      <c r="F143" s="27">
        <v>20</v>
      </c>
      <c r="G143" s="102"/>
      <c r="H143" s="28" t="s">
        <v>66</v>
      </c>
      <c r="I143" s="26" t="s">
        <v>536</v>
      </c>
    </row>
    <row r="144" spans="1:9" s="98" customFormat="1" ht="15">
      <c r="A144" s="96"/>
      <c r="B144" s="97">
        <f t="shared" si="1"/>
        <v>130</v>
      </c>
      <c r="C144" s="102" t="s">
        <v>913</v>
      </c>
      <c r="D144" s="53" t="s">
        <v>538</v>
      </c>
      <c r="E144" s="62" t="s">
        <v>456</v>
      </c>
      <c r="F144" s="62">
        <v>20</v>
      </c>
      <c r="G144" s="52"/>
      <c r="H144" s="19"/>
      <c r="I144" s="19"/>
    </row>
    <row r="145" spans="1:9" s="98" customFormat="1" ht="15">
      <c r="A145" s="96"/>
      <c r="B145" s="97">
        <f t="shared" ref="B145:B174" si="2">B144+1</f>
        <v>131</v>
      </c>
      <c r="C145" s="102" t="s">
        <v>539</v>
      </c>
      <c r="D145" s="53" t="s">
        <v>914</v>
      </c>
      <c r="E145" s="68" t="s">
        <v>456</v>
      </c>
      <c r="F145" s="62">
        <v>100</v>
      </c>
      <c r="G145" s="19"/>
      <c r="H145" s="19"/>
      <c r="I145" s="19"/>
    </row>
    <row r="146" spans="1:9" s="101" customFormat="1" ht="15">
      <c r="A146" s="100"/>
      <c r="B146" s="97">
        <f t="shared" si="2"/>
        <v>132</v>
      </c>
      <c r="C146" s="102" t="s">
        <v>915</v>
      </c>
      <c r="D146" s="53" t="s">
        <v>546</v>
      </c>
      <c r="E146" s="27" t="s">
        <v>296</v>
      </c>
      <c r="F146" s="27">
        <v>20</v>
      </c>
      <c r="G146" s="102"/>
      <c r="H146" s="28" t="s">
        <v>543</v>
      </c>
      <c r="I146" s="26" t="s">
        <v>916</v>
      </c>
    </row>
    <row r="147" spans="1:9" s="98" customFormat="1" ht="15">
      <c r="A147" s="96"/>
      <c r="B147" s="97">
        <f t="shared" si="2"/>
        <v>133</v>
      </c>
      <c r="C147" s="102" t="s">
        <v>917</v>
      </c>
      <c r="D147" s="53" t="s">
        <v>549</v>
      </c>
      <c r="E147" s="62" t="s">
        <v>456</v>
      </c>
      <c r="F147" s="62">
        <v>20</v>
      </c>
      <c r="G147" s="52"/>
      <c r="H147" s="19"/>
      <c r="I147" s="19"/>
    </row>
    <row r="148" spans="1:9" s="98" customFormat="1" ht="15">
      <c r="A148" s="96"/>
      <c r="B148" s="97">
        <f t="shared" si="2"/>
        <v>134</v>
      </c>
      <c r="C148" s="102" t="s">
        <v>550</v>
      </c>
      <c r="D148" s="53" t="s">
        <v>918</v>
      </c>
      <c r="E148" s="68" t="s">
        <v>456</v>
      </c>
      <c r="F148" s="62">
        <v>100</v>
      </c>
      <c r="G148" s="19"/>
      <c r="H148" s="19"/>
      <c r="I148" s="19"/>
    </row>
    <row r="149" spans="1:9" s="101" customFormat="1" ht="15">
      <c r="A149" s="100"/>
      <c r="B149" s="97">
        <f t="shared" si="2"/>
        <v>135</v>
      </c>
      <c r="C149" s="102" t="s">
        <v>919</v>
      </c>
      <c r="D149" s="53" t="s">
        <v>920</v>
      </c>
      <c r="E149" s="27" t="s">
        <v>285</v>
      </c>
      <c r="F149" s="27">
        <v>20</v>
      </c>
      <c r="G149" s="102"/>
      <c r="H149" s="28" t="s">
        <v>554</v>
      </c>
      <c r="I149" s="28" t="s">
        <v>557</v>
      </c>
    </row>
    <row r="150" spans="1:9" s="98" customFormat="1" ht="15">
      <c r="A150" s="96"/>
      <c r="B150" s="97">
        <f t="shared" si="2"/>
        <v>136</v>
      </c>
      <c r="C150" s="102" t="s">
        <v>921</v>
      </c>
      <c r="D150" s="53" t="s">
        <v>559</v>
      </c>
      <c r="E150" s="62" t="s">
        <v>456</v>
      </c>
      <c r="F150" s="62">
        <v>20</v>
      </c>
      <c r="G150" s="52"/>
      <c r="H150" s="19"/>
      <c r="I150" s="19"/>
    </row>
    <row r="151" spans="1:9" s="98" customFormat="1" ht="15">
      <c r="A151" s="96"/>
      <c r="B151" s="97">
        <f t="shared" si="2"/>
        <v>137</v>
      </c>
      <c r="C151" s="102" t="s">
        <v>560</v>
      </c>
      <c r="D151" s="53" t="s">
        <v>922</v>
      </c>
      <c r="E151" s="68" t="s">
        <v>456</v>
      </c>
      <c r="F151" s="62">
        <v>100</v>
      </c>
      <c r="G151" s="19"/>
      <c r="H151" s="19"/>
      <c r="I151" s="19"/>
    </row>
    <row r="152" spans="1:9" s="98" customFormat="1" ht="15">
      <c r="A152" s="96"/>
      <c r="B152" s="97">
        <f t="shared" si="2"/>
        <v>138</v>
      </c>
      <c r="C152" s="50" t="s">
        <v>923</v>
      </c>
      <c r="D152" s="50" t="s">
        <v>924</v>
      </c>
      <c r="E152" s="51" t="s">
        <v>326</v>
      </c>
      <c r="F152" s="51">
        <v>4</v>
      </c>
      <c r="G152" s="91" t="s">
        <v>925</v>
      </c>
      <c r="H152" s="28" t="s">
        <v>926</v>
      </c>
      <c r="I152" s="19"/>
    </row>
    <row r="153" spans="1:9" s="98" customFormat="1" ht="15">
      <c r="A153" s="96"/>
      <c r="B153" s="97">
        <f t="shared" si="2"/>
        <v>139</v>
      </c>
      <c r="C153" s="50" t="s">
        <v>927</v>
      </c>
      <c r="D153" s="50" t="s">
        <v>928</v>
      </c>
      <c r="E153" s="51" t="s">
        <v>326</v>
      </c>
      <c r="F153" s="51">
        <v>4</v>
      </c>
      <c r="G153" s="91"/>
      <c r="H153" s="19"/>
      <c r="I153" s="19"/>
    </row>
    <row r="154" spans="1:9" s="98" customFormat="1" ht="15">
      <c r="A154" s="96"/>
      <c r="B154" s="97">
        <f t="shared" si="2"/>
        <v>140</v>
      </c>
      <c r="C154" s="50" t="s">
        <v>929</v>
      </c>
      <c r="D154" s="50" t="s">
        <v>930</v>
      </c>
      <c r="E154" s="51" t="s">
        <v>316</v>
      </c>
      <c r="F154" s="51"/>
      <c r="G154" s="91"/>
      <c r="H154" s="19"/>
      <c r="I154" s="19"/>
    </row>
    <row r="155" spans="1:9" s="98" customFormat="1" ht="15">
      <c r="A155" s="96"/>
      <c r="B155" s="97">
        <f t="shared" si="2"/>
        <v>141</v>
      </c>
      <c r="C155" s="50" t="s">
        <v>931</v>
      </c>
      <c r="D155" s="50" t="s">
        <v>932</v>
      </c>
      <c r="E155" s="51" t="s">
        <v>285</v>
      </c>
      <c r="F155" s="51">
        <v>500</v>
      </c>
      <c r="G155" s="19" t="s">
        <v>655</v>
      </c>
      <c r="H155" s="19"/>
      <c r="I155" s="19"/>
    </row>
    <row r="156" spans="1:9" s="98" customFormat="1" ht="30">
      <c r="A156" s="96"/>
      <c r="B156" s="97">
        <f t="shared" si="2"/>
        <v>142</v>
      </c>
      <c r="C156" s="53" t="s">
        <v>933</v>
      </c>
      <c r="D156" s="53" t="s">
        <v>934</v>
      </c>
      <c r="E156" s="51" t="s">
        <v>326</v>
      </c>
      <c r="F156" s="51">
        <v>4</v>
      </c>
      <c r="G156" s="52" t="s">
        <v>935</v>
      </c>
      <c r="H156" s="19" t="s">
        <v>936</v>
      </c>
      <c r="I156" s="19"/>
    </row>
    <row r="157" spans="1:9" s="98" customFormat="1" ht="15">
      <c r="A157" s="96"/>
      <c r="B157" s="97">
        <f t="shared" si="2"/>
        <v>143</v>
      </c>
      <c r="C157" s="53" t="s">
        <v>937</v>
      </c>
      <c r="D157" s="53" t="s">
        <v>938</v>
      </c>
      <c r="E157" s="62" t="s">
        <v>456</v>
      </c>
      <c r="F157" s="62">
        <v>20</v>
      </c>
      <c r="G157" s="52"/>
      <c r="H157" s="19"/>
      <c r="I157" s="19"/>
    </row>
    <row r="158" spans="1:9" s="98" customFormat="1" ht="15">
      <c r="A158" s="96"/>
      <c r="B158" s="97">
        <f t="shared" si="2"/>
        <v>144</v>
      </c>
      <c r="C158" s="53" t="s">
        <v>939</v>
      </c>
      <c r="D158" s="53" t="s">
        <v>940</v>
      </c>
      <c r="E158" s="51" t="s">
        <v>316</v>
      </c>
      <c r="F158" s="51"/>
      <c r="G158" s="52"/>
      <c r="H158" s="19"/>
      <c r="I158" s="19"/>
    </row>
    <row r="159" spans="1:9" s="98" customFormat="1" ht="15">
      <c r="A159" s="96"/>
      <c r="B159" s="97">
        <f t="shared" si="2"/>
        <v>145</v>
      </c>
      <c r="C159" s="53" t="s">
        <v>941</v>
      </c>
      <c r="D159" s="53" t="s">
        <v>942</v>
      </c>
      <c r="E159" s="51" t="s">
        <v>316</v>
      </c>
      <c r="F159" s="51"/>
      <c r="G159" s="52"/>
      <c r="H159" s="19"/>
      <c r="I159" s="19"/>
    </row>
    <row r="160" spans="1:9" s="98" customFormat="1" ht="15">
      <c r="A160" s="96"/>
      <c r="B160" s="97">
        <f t="shared" si="2"/>
        <v>146</v>
      </c>
      <c r="C160" s="53" t="s">
        <v>943</v>
      </c>
      <c r="D160" s="53" t="s">
        <v>944</v>
      </c>
      <c r="E160" s="51" t="s">
        <v>316</v>
      </c>
      <c r="F160" s="51"/>
      <c r="G160" s="52"/>
      <c r="H160" s="19"/>
      <c r="I160" s="19"/>
    </row>
    <row r="161" spans="1:9" s="98" customFormat="1" ht="15">
      <c r="A161" s="96"/>
      <c r="B161" s="97">
        <f t="shared" si="2"/>
        <v>147</v>
      </c>
      <c r="C161" s="53" t="s">
        <v>945</v>
      </c>
      <c r="D161" s="53" t="s">
        <v>946</v>
      </c>
      <c r="E161" s="51" t="s">
        <v>316</v>
      </c>
      <c r="F161" s="51"/>
      <c r="G161" s="52" t="s">
        <v>947</v>
      </c>
      <c r="H161" s="19"/>
      <c r="I161" s="19"/>
    </row>
    <row r="162" spans="1:9" s="98" customFormat="1" ht="15">
      <c r="A162" s="96"/>
      <c r="B162" s="97">
        <f t="shared" si="2"/>
        <v>148</v>
      </c>
      <c r="C162" s="53" t="s">
        <v>948</v>
      </c>
      <c r="D162" s="53" t="s">
        <v>949</v>
      </c>
      <c r="E162" s="51" t="s">
        <v>316</v>
      </c>
      <c r="F162" s="51"/>
      <c r="G162" s="52"/>
      <c r="H162" s="19"/>
      <c r="I162" s="19"/>
    </row>
    <row r="163" spans="1:9" s="98" customFormat="1" ht="15">
      <c r="A163" s="96"/>
      <c r="B163" s="97">
        <f t="shared" si="2"/>
        <v>149</v>
      </c>
      <c r="C163" s="53" t="s">
        <v>950</v>
      </c>
      <c r="D163" s="53" t="s">
        <v>951</v>
      </c>
      <c r="E163" s="51" t="s">
        <v>316</v>
      </c>
      <c r="F163" s="51"/>
      <c r="G163" s="52" t="s">
        <v>952</v>
      </c>
      <c r="H163" s="19"/>
      <c r="I163" s="19"/>
    </row>
    <row r="164" spans="1:9" s="98" customFormat="1" ht="15">
      <c r="A164" s="96"/>
      <c r="B164" s="97">
        <f t="shared" si="2"/>
        <v>150</v>
      </c>
      <c r="C164" s="53" t="s">
        <v>953</v>
      </c>
      <c r="D164" s="53" t="s">
        <v>954</v>
      </c>
      <c r="E164" s="51" t="s">
        <v>316</v>
      </c>
      <c r="F164" s="51"/>
      <c r="G164" s="52"/>
      <c r="H164" s="19"/>
      <c r="I164" s="19"/>
    </row>
    <row r="165" spans="1:9" s="98" customFormat="1" ht="15">
      <c r="A165" s="96"/>
      <c r="B165" s="97">
        <f t="shared" si="2"/>
        <v>151</v>
      </c>
      <c r="C165" s="53" t="s">
        <v>955</v>
      </c>
      <c r="D165" s="53" t="s">
        <v>956</v>
      </c>
      <c r="E165" s="51" t="s">
        <v>316</v>
      </c>
      <c r="F165" s="51"/>
      <c r="G165" s="52"/>
      <c r="H165" s="19"/>
      <c r="I165" s="19"/>
    </row>
    <row r="166" spans="1:9" s="98" customFormat="1" ht="15">
      <c r="A166" s="96"/>
      <c r="B166" s="97">
        <f t="shared" si="2"/>
        <v>152</v>
      </c>
      <c r="C166" s="53" t="s">
        <v>957</v>
      </c>
      <c r="D166" s="53" t="s">
        <v>958</v>
      </c>
      <c r="E166" s="51" t="s">
        <v>316</v>
      </c>
      <c r="F166" s="51"/>
      <c r="G166" s="52"/>
      <c r="H166" s="19"/>
      <c r="I166" s="19"/>
    </row>
    <row r="167" spans="1:9" s="101" customFormat="1" ht="15">
      <c r="A167" s="100"/>
      <c r="B167" s="181">
        <f t="shared" si="2"/>
        <v>153</v>
      </c>
      <c r="C167" s="102" t="s">
        <v>959</v>
      </c>
      <c r="D167" s="102" t="s">
        <v>960</v>
      </c>
      <c r="E167" s="27" t="s">
        <v>285</v>
      </c>
      <c r="F167" s="27"/>
      <c r="G167" s="29"/>
      <c r="H167" s="28"/>
      <c r="I167" s="28"/>
    </row>
    <row r="168" spans="1:9" s="101" customFormat="1" ht="15">
      <c r="A168" s="100"/>
      <c r="B168" s="181">
        <f t="shared" si="2"/>
        <v>154</v>
      </c>
      <c r="C168" s="102" t="s">
        <v>961</v>
      </c>
      <c r="D168" s="102" t="s">
        <v>962</v>
      </c>
      <c r="E168" s="27" t="s">
        <v>296</v>
      </c>
      <c r="F168" s="27">
        <v>20</v>
      </c>
      <c r="G168" s="29"/>
      <c r="H168" s="28"/>
      <c r="I168" s="28"/>
    </row>
    <row r="169" spans="1:9" s="101" customFormat="1" ht="15">
      <c r="A169" s="100"/>
      <c r="B169" s="181">
        <f t="shared" si="2"/>
        <v>155</v>
      </c>
      <c r="C169" s="102" t="s">
        <v>963</v>
      </c>
      <c r="D169" s="102" t="s">
        <v>964</v>
      </c>
      <c r="E169" s="27" t="s">
        <v>285</v>
      </c>
      <c r="F169" s="27">
        <v>80</v>
      </c>
      <c r="G169" s="29"/>
      <c r="H169" s="28"/>
      <c r="I169" s="28"/>
    </row>
    <row r="170" spans="1:9" s="101" customFormat="1" ht="15">
      <c r="A170" s="100"/>
      <c r="B170" s="181">
        <f t="shared" si="2"/>
        <v>156</v>
      </c>
      <c r="C170" s="102" t="s">
        <v>965</v>
      </c>
      <c r="D170" s="102" t="s">
        <v>966</v>
      </c>
      <c r="E170" s="27" t="s">
        <v>285</v>
      </c>
      <c r="F170" s="27">
        <v>30</v>
      </c>
      <c r="G170" s="29"/>
      <c r="H170" s="28"/>
      <c r="I170" s="28"/>
    </row>
    <row r="171" spans="1:9" s="101" customFormat="1" ht="15">
      <c r="A171" s="100"/>
      <c r="B171" s="181">
        <f t="shared" si="2"/>
        <v>157</v>
      </c>
      <c r="C171" s="102" t="s">
        <v>967</v>
      </c>
      <c r="D171" s="102" t="s">
        <v>968</v>
      </c>
      <c r="E171" s="27" t="s">
        <v>421</v>
      </c>
      <c r="F171" s="27"/>
      <c r="G171" s="29"/>
      <c r="H171" s="28"/>
      <c r="I171" s="28"/>
    </row>
    <row r="172" spans="1:9" s="101" customFormat="1" ht="15">
      <c r="A172" s="100"/>
      <c r="B172" s="181">
        <f t="shared" si="2"/>
        <v>158</v>
      </c>
      <c r="C172" s="71" t="s">
        <v>423</v>
      </c>
      <c r="D172" s="26" t="s">
        <v>424</v>
      </c>
      <c r="E172" s="27" t="s">
        <v>296</v>
      </c>
      <c r="F172" s="27">
        <v>20</v>
      </c>
      <c r="G172" s="79" t="s">
        <v>425</v>
      </c>
      <c r="H172" s="28"/>
      <c r="I172" s="28"/>
    </row>
    <row r="173" spans="1:9" s="24" customFormat="1" ht="15">
      <c r="A173" s="22"/>
      <c r="B173" s="181">
        <f t="shared" si="2"/>
        <v>159</v>
      </c>
      <c r="C173" s="71" t="s">
        <v>426</v>
      </c>
      <c r="D173" s="26" t="s">
        <v>427</v>
      </c>
      <c r="E173" s="27" t="s">
        <v>285</v>
      </c>
      <c r="F173" s="27">
        <v>20</v>
      </c>
      <c r="G173" s="79" t="s">
        <v>425</v>
      </c>
      <c r="H173" s="73"/>
      <c r="I173" s="73"/>
    </row>
    <row r="174" spans="1:9" s="101" customFormat="1" ht="15">
      <c r="A174" s="100"/>
      <c r="B174" s="181">
        <f t="shared" si="2"/>
        <v>160</v>
      </c>
      <c r="C174" s="102" t="s">
        <v>428</v>
      </c>
      <c r="D174" s="102" t="s">
        <v>429</v>
      </c>
      <c r="E174" s="27" t="s">
        <v>969</v>
      </c>
      <c r="F174" s="27"/>
      <c r="G174" s="29"/>
      <c r="H174" s="28"/>
      <c r="I174" s="28"/>
    </row>
  </sheetData>
  <mergeCells count="6">
    <mergeCell ref="B13:E13"/>
    <mergeCell ref="F13:I13"/>
    <mergeCell ref="B1:E1"/>
    <mergeCell ref="F1:I1"/>
    <mergeCell ref="B2:E2"/>
    <mergeCell ref="F2:I2"/>
  </mergeCells>
  <phoneticPr fontId="5" type="noConversion"/>
  <pageMargins left="0.7" right="0.7" top="0.75" bottom="0.75" header="0.3" footer="0.3"/>
  <pageSetup paperSize="9" orientation="portrait" horizontalDpi="0" verticalDpi="0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F9331D5-D10A-41B6-AECB-FC63DF3E4D06}">
  <sheetPr codeName="工作表34"/>
  <dimension ref="A1:I305"/>
  <sheetViews>
    <sheetView workbookViewId="0">
      <selection activeCell="H11" sqref="H11:I11"/>
    </sheetView>
  </sheetViews>
  <sheetFormatPr defaultColWidth="6.625" defaultRowHeight="13.5"/>
  <cols>
    <col min="1" max="1" width="3.125" style="4" bestFit="1" customWidth="1"/>
    <col min="2" max="2" width="5.5" style="8" customWidth="1"/>
    <col min="3" max="3" width="21" style="4" customWidth="1"/>
    <col min="4" max="4" width="26.125" style="4" customWidth="1"/>
    <col min="5" max="5" width="14.625" style="4" customWidth="1"/>
    <col min="6" max="6" width="10.375" style="4" customWidth="1"/>
    <col min="7" max="7" width="38" style="4" customWidth="1"/>
    <col min="8" max="8" width="29.625" style="4" customWidth="1"/>
    <col min="9" max="9" width="17.625" style="4" customWidth="1"/>
    <col min="10" max="16384" width="6.625" style="4"/>
  </cols>
  <sheetData>
    <row r="1" spans="1:9" ht="24">
      <c r="A1" s="1" t="e">
        <f ca="1">HYPERLINK("#'介面'!E"&amp;MATCH(VALUE(RIGHT(CELL("filename"),LEN(CELL("filename"))-FIND("]",CELL("filename")))),介面!D:D,"0"),"←")</f>
        <v>#VALUE!</v>
      </c>
      <c r="B1" s="216" t="s">
        <v>86</v>
      </c>
      <c r="C1" s="217"/>
      <c r="D1" s="217"/>
      <c r="E1" s="218"/>
      <c r="F1" s="216" t="s">
        <v>970</v>
      </c>
      <c r="G1" s="217"/>
      <c r="H1" s="217"/>
      <c r="I1" s="217"/>
    </row>
    <row r="2" spans="1:9" ht="24">
      <c r="A2" s="1"/>
      <c r="B2" s="210" t="s">
        <v>275</v>
      </c>
      <c r="C2" s="211"/>
      <c r="D2" s="211"/>
      <c r="E2" s="212"/>
      <c r="F2" s="210"/>
      <c r="G2" s="211"/>
      <c r="H2" s="211"/>
      <c r="I2" s="212"/>
    </row>
    <row r="3" spans="1:9" s="8" customFormat="1" ht="15">
      <c r="A3" s="6"/>
      <c r="B3" s="7" t="s">
        <v>276</v>
      </c>
      <c r="C3" s="56" t="s">
        <v>277</v>
      </c>
      <c r="D3" s="56" t="s">
        <v>278</v>
      </c>
      <c r="E3" s="57" t="s">
        <v>279</v>
      </c>
      <c r="F3" s="57" t="s">
        <v>280</v>
      </c>
      <c r="G3" s="56" t="s">
        <v>281</v>
      </c>
      <c r="H3" s="56" t="s">
        <v>11</v>
      </c>
      <c r="I3" s="56" t="s">
        <v>282</v>
      </c>
    </row>
    <row r="4" spans="1:9" s="24" customFormat="1" ht="15.75">
      <c r="A4" s="25"/>
      <c r="B4" s="46">
        <v>1</v>
      </c>
      <c r="C4" s="80" t="s">
        <v>297</v>
      </c>
      <c r="D4" s="80" t="s">
        <v>298</v>
      </c>
      <c r="E4" s="81" t="s">
        <v>285</v>
      </c>
      <c r="F4" s="81">
        <v>500</v>
      </c>
      <c r="G4" s="66" t="s">
        <v>330</v>
      </c>
      <c r="H4" s="142" t="s">
        <v>302</v>
      </c>
      <c r="I4" s="66" t="s">
        <v>287</v>
      </c>
    </row>
    <row r="5" spans="1:9" s="24" customFormat="1" ht="15">
      <c r="A5" s="25"/>
      <c r="B5" s="46">
        <f>B4+1</f>
        <v>2</v>
      </c>
      <c r="C5" s="50" t="s">
        <v>971</v>
      </c>
      <c r="D5" s="76" t="s">
        <v>306</v>
      </c>
      <c r="E5" s="51" t="s">
        <v>285</v>
      </c>
      <c r="F5" s="51">
        <v>20</v>
      </c>
      <c r="G5" s="66" t="s">
        <v>972</v>
      </c>
      <c r="H5" s="66"/>
      <c r="I5" s="66" t="s">
        <v>287</v>
      </c>
    </row>
    <row r="6" spans="1:9" s="24" customFormat="1" ht="15">
      <c r="A6" s="25"/>
      <c r="B6" s="46">
        <f>B5+1</f>
        <v>3</v>
      </c>
      <c r="C6" s="50" t="s">
        <v>653</v>
      </c>
      <c r="D6" s="50" t="s">
        <v>654</v>
      </c>
      <c r="E6" s="51"/>
      <c r="F6" s="51"/>
      <c r="G6" s="66" t="s">
        <v>973</v>
      </c>
      <c r="H6" s="66"/>
      <c r="I6" s="66" t="s">
        <v>287</v>
      </c>
    </row>
    <row r="7" spans="1:9" ht="15.75">
      <c r="A7" s="1"/>
      <c r="B7" s="2"/>
      <c r="C7" s="3"/>
      <c r="D7" s="3"/>
      <c r="E7" s="3"/>
      <c r="F7" s="3"/>
      <c r="G7" s="3"/>
      <c r="H7" s="3"/>
      <c r="I7" s="3"/>
    </row>
    <row r="8" spans="1:9" ht="24">
      <c r="A8" s="1"/>
      <c r="B8" s="204" t="s">
        <v>291</v>
      </c>
      <c r="C8" s="205"/>
      <c r="D8" s="205"/>
      <c r="E8" s="206"/>
      <c r="F8" s="204"/>
      <c r="G8" s="205"/>
      <c r="H8" s="205"/>
      <c r="I8" s="206"/>
    </row>
    <row r="9" spans="1:9" s="8" customFormat="1" ht="15">
      <c r="A9" s="6"/>
      <c r="B9" s="7" t="s">
        <v>276</v>
      </c>
      <c r="C9" s="56" t="s">
        <v>277</v>
      </c>
      <c r="D9" s="56" t="s">
        <v>278</v>
      </c>
      <c r="E9" s="57" t="s">
        <v>279</v>
      </c>
      <c r="F9" s="57" t="s">
        <v>280</v>
      </c>
      <c r="G9" s="56" t="s">
        <v>11</v>
      </c>
      <c r="H9" s="56" t="s">
        <v>292</v>
      </c>
      <c r="I9" s="56" t="s">
        <v>293</v>
      </c>
    </row>
    <row r="10" spans="1:9" s="98" customFormat="1" ht="15.75">
      <c r="A10" s="96"/>
      <c r="B10" s="94">
        <v>1</v>
      </c>
      <c r="C10" s="50" t="s">
        <v>971</v>
      </c>
      <c r="D10" s="80" t="s">
        <v>306</v>
      </c>
      <c r="E10" s="51" t="s">
        <v>285</v>
      </c>
      <c r="F10" s="81">
        <v>20</v>
      </c>
      <c r="G10" s="83"/>
      <c r="H10" s="82"/>
      <c r="I10" s="82"/>
    </row>
    <row r="11" spans="1:9" s="98" customFormat="1" ht="15.75">
      <c r="A11" s="96"/>
      <c r="B11" s="94">
        <v>2</v>
      </c>
      <c r="C11" s="80" t="s">
        <v>303</v>
      </c>
      <c r="D11" s="80" t="s">
        <v>304</v>
      </c>
      <c r="E11" s="81" t="s">
        <v>296</v>
      </c>
      <c r="F11" s="81">
        <v>20</v>
      </c>
      <c r="G11" s="83"/>
      <c r="H11" s="82" t="s">
        <v>41</v>
      </c>
      <c r="I11" s="82" t="s">
        <v>304</v>
      </c>
    </row>
    <row r="12" spans="1:9" s="98" customFormat="1" ht="15.75">
      <c r="A12" s="96"/>
      <c r="B12" s="94">
        <v>3</v>
      </c>
      <c r="C12" s="80" t="s">
        <v>974</v>
      </c>
      <c r="D12" s="80" t="s">
        <v>654</v>
      </c>
      <c r="E12" s="51" t="s">
        <v>285</v>
      </c>
      <c r="F12" s="81">
        <v>20</v>
      </c>
      <c r="G12" s="83"/>
      <c r="H12" s="82"/>
      <c r="I12" s="82"/>
    </row>
    <row r="13" spans="1:9" s="98" customFormat="1" ht="15.75">
      <c r="A13" s="96"/>
      <c r="B13" s="94">
        <v>4</v>
      </c>
      <c r="C13" s="80" t="s">
        <v>637</v>
      </c>
      <c r="D13" s="80" t="s">
        <v>364</v>
      </c>
      <c r="E13" s="81" t="s">
        <v>296</v>
      </c>
      <c r="F13" s="81">
        <v>20</v>
      </c>
      <c r="G13" s="83"/>
      <c r="H13" s="82" t="s">
        <v>84</v>
      </c>
      <c r="I13" s="82" t="s">
        <v>364</v>
      </c>
    </row>
    <row r="14" spans="1:9" s="98" customFormat="1" ht="15">
      <c r="A14" s="99"/>
      <c r="B14" s="20"/>
      <c r="C14" s="4"/>
      <c r="D14" s="4"/>
      <c r="E14" s="4"/>
      <c r="F14" s="4"/>
      <c r="G14" s="4"/>
      <c r="H14" s="4"/>
      <c r="I14" s="4"/>
    </row>
    <row r="15" spans="1:9" s="98" customFormat="1" ht="15">
      <c r="A15" s="96"/>
      <c r="B15" s="8"/>
      <c r="C15" s="4"/>
      <c r="D15" s="4"/>
      <c r="E15" s="4"/>
      <c r="F15" s="4"/>
      <c r="G15" s="4"/>
      <c r="H15" s="4"/>
      <c r="I15" s="4"/>
    </row>
    <row r="16" spans="1:9" s="98" customFormat="1" ht="15">
      <c r="A16" s="96"/>
      <c r="B16" s="8"/>
      <c r="C16" s="4"/>
      <c r="D16" s="4"/>
      <c r="E16" s="4"/>
      <c r="F16" s="4"/>
      <c r="G16" s="4"/>
      <c r="H16" s="4"/>
      <c r="I16" s="4"/>
    </row>
    <row r="17" spans="1:9" s="98" customFormat="1" ht="15">
      <c r="A17" s="96"/>
      <c r="B17" s="8"/>
      <c r="C17" s="4"/>
      <c r="D17" s="4"/>
      <c r="E17" s="4"/>
      <c r="F17" s="4"/>
      <c r="G17" s="4"/>
      <c r="H17" s="4"/>
      <c r="I17" s="4"/>
    </row>
    <row r="18" spans="1:9" s="98" customFormat="1" ht="15">
      <c r="A18" s="96"/>
      <c r="B18" s="8"/>
      <c r="C18" s="4"/>
      <c r="D18" s="4"/>
      <c r="E18" s="4"/>
      <c r="F18" s="4"/>
      <c r="G18" s="4"/>
      <c r="H18" s="4"/>
      <c r="I18" s="4"/>
    </row>
    <row r="19" spans="1:9" s="98" customFormat="1" ht="15">
      <c r="A19" s="96"/>
      <c r="B19" s="8"/>
      <c r="C19" s="4"/>
      <c r="D19" s="4"/>
      <c r="E19" s="4"/>
      <c r="F19" s="4"/>
      <c r="G19" s="4"/>
      <c r="H19" s="4"/>
      <c r="I19" s="4"/>
    </row>
    <row r="20" spans="1:9" s="98" customFormat="1" ht="15">
      <c r="A20" s="96"/>
      <c r="B20" s="8"/>
      <c r="C20" s="4"/>
      <c r="D20" s="4"/>
      <c r="E20" s="4"/>
      <c r="F20" s="4"/>
      <c r="G20" s="4"/>
      <c r="H20" s="4"/>
      <c r="I20" s="4"/>
    </row>
    <row r="21" spans="1:9" s="98" customFormat="1" ht="15">
      <c r="A21" s="96"/>
      <c r="B21" s="8"/>
      <c r="C21" s="4"/>
      <c r="D21" s="4"/>
      <c r="E21" s="4"/>
      <c r="F21" s="4"/>
      <c r="G21" s="4"/>
      <c r="H21" s="4"/>
      <c r="I21" s="4"/>
    </row>
    <row r="22" spans="1:9" s="98" customFormat="1" ht="15">
      <c r="A22" s="96"/>
      <c r="B22" s="8"/>
      <c r="C22" s="4"/>
      <c r="D22" s="4"/>
      <c r="E22" s="4"/>
      <c r="F22" s="4"/>
      <c r="G22" s="4"/>
      <c r="H22" s="4"/>
      <c r="I22" s="4"/>
    </row>
    <row r="23" spans="1:9" s="98" customFormat="1" ht="15">
      <c r="A23" s="96"/>
      <c r="B23" s="8"/>
      <c r="C23" s="4"/>
      <c r="D23" s="4"/>
      <c r="E23" s="4"/>
      <c r="F23" s="4"/>
      <c r="G23" s="4"/>
      <c r="H23" s="4"/>
      <c r="I23" s="4"/>
    </row>
    <row r="24" spans="1:9" s="98" customFormat="1" ht="15">
      <c r="A24" s="96"/>
      <c r="B24" s="8"/>
      <c r="C24" s="4"/>
      <c r="D24" s="4"/>
      <c r="E24" s="4"/>
      <c r="F24" s="4"/>
      <c r="G24" s="4"/>
      <c r="H24" s="4"/>
      <c r="I24" s="4"/>
    </row>
    <row r="25" spans="1:9" s="98" customFormat="1" ht="15">
      <c r="A25" s="96"/>
      <c r="B25" s="8"/>
      <c r="C25" s="4"/>
      <c r="D25" s="4"/>
      <c r="E25" s="4"/>
      <c r="F25" s="4"/>
      <c r="G25" s="4"/>
      <c r="H25" s="4"/>
      <c r="I25" s="4"/>
    </row>
    <row r="26" spans="1:9" s="98" customFormat="1" ht="15">
      <c r="A26" s="96"/>
      <c r="B26" s="8"/>
      <c r="C26" s="4"/>
      <c r="D26" s="4"/>
      <c r="E26" s="4"/>
      <c r="F26" s="4"/>
      <c r="G26" s="4"/>
      <c r="H26" s="4"/>
      <c r="I26" s="4"/>
    </row>
    <row r="27" spans="1:9" s="98" customFormat="1" ht="15">
      <c r="A27" s="96"/>
      <c r="B27" s="8"/>
      <c r="C27" s="4"/>
      <c r="D27" s="4"/>
      <c r="E27" s="4"/>
      <c r="F27" s="4"/>
      <c r="G27" s="4"/>
      <c r="H27" s="4"/>
      <c r="I27" s="4"/>
    </row>
    <row r="28" spans="1:9" s="98" customFormat="1" ht="15">
      <c r="A28" s="96"/>
      <c r="B28" s="8"/>
      <c r="C28" s="4"/>
      <c r="D28" s="4"/>
      <c r="E28" s="4"/>
      <c r="F28" s="4"/>
      <c r="G28" s="4"/>
      <c r="H28" s="4"/>
      <c r="I28" s="4"/>
    </row>
    <row r="29" spans="1:9" s="98" customFormat="1" ht="15">
      <c r="A29" s="96"/>
      <c r="B29" s="8"/>
      <c r="C29" s="4"/>
      <c r="D29" s="4"/>
      <c r="E29" s="4"/>
      <c r="F29" s="4"/>
      <c r="G29" s="4"/>
      <c r="H29" s="4"/>
      <c r="I29" s="4"/>
    </row>
    <row r="30" spans="1:9" s="98" customFormat="1" ht="15">
      <c r="A30" s="96"/>
      <c r="B30" s="8"/>
      <c r="C30" s="4"/>
      <c r="D30" s="4"/>
      <c r="E30" s="4"/>
      <c r="F30" s="4"/>
      <c r="G30" s="4"/>
      <c r="H30" s="4"/>
      <c r="I30" s="4"/>
    </row>
    <row r="31" spans="1:9" s="98" customFormat="1" ht="15">
      <c r="A31" s="96"/>
      <c r="B31" s="8"/>
      <c r="C31" s="4"/>
      <c r="D31" s="4"/>
      <c r="E31" s="4"/>
      <c r="F31" s="4"/>
      <c r="G31" s="4"/>
      <c r="H31" s="4"/>
      <c r="I31" s="4"/>
    </row>
    <row r="32" spans="1:9" s="98" customFormat="1" ht="15">
      <c r="A32" s="96"/>
      <c r="B32" s="8"/>
      <c r="C32" s="4"/>
      <c r="D32" s="4"/>
      <c r="E32" s="4"/>
      <c r="F32" s="4"/>
      <c r="G32" s="4"/>
      <c r="H32" s="4"/>
      <c r="I32" s="4"/>
    </row>
    <row r="33" spans="1:9" s="98" customFormat="1" ht="15">
      <c r="A33" s="96"/>
      <c r="B33" s="8"/>
      <c r="C33" s="4"/>
      <c r="D33" s="4"/>
      <c r="E33" s="4"/>
      <c r="F33" s="4"/>
      <c r="G33" s="4"/>
      <c r="H33" s="4"/>
      <c r="I33" s="4"/>
    </row>
    <row r="34" spans="1:9" s="98" customFormat="1" ht="15">
      <c r="A34" s="96"/>
      <c r="B34" s="8"/>
      <c r="C34" s="4"/>
      <c r="D34" s="4"/>
      <c r="E34" s="4"/>
      <c r="F34" s="4"/>
      <c r="G34" s="4"/>
      <c r="H34" s="4"/>
      <c r="I34" s="4"/>
    </row>
    <row r="35" spans="1:9" s="98" customFormat="1" ht="15">
      <c r="A35" s="96"/>
      <c r="B35" s="8"/>
      <c r="C35" s="4"/>
      <c r="D35" s="4"/>
      <c r="E35" s="4"/>
      <c r="F35" s="4"/>
      <c r="G35" s="4"/>
      <c r="H35" s="4"/>
      <c r="I35" s="4"/>
    </row>
    <row r="36" spans="1:9" s="98" customFormat="1" ht="15">
      <c r="A36" s="96"/>
      <c r="B36" s="8"/>
      <c r="C36" s="4"/>
      <c r="D36" s="4"/>
      <c r="E36" s="4"/>
      <c r="F36" s="4"/>
      <c r="G36" s="4"/>
      <c r="H36" s="4"/>
      <c r="I36" s="4"/>
    </row>
    <row r="37" spans="1:9" s="98" customFormat="1" ht="15">
      <c r="A37" s="96"/>
      <c r="B37" s="8"/>
      <c r="C37" s="4"/>
      <c r="D37" s="4"/>
      <c r="E37" s="4"/>
      <c r="F37" s="4"/>
      <c r="G37" s="4"/>
      <c r="H37" s="4"/>
      <c r="I37" s="4"/>
    </row>
    <row r="38" spans="1:9" s="98" customFormat="1" ht="15">
      <c r="A38" s="96"/>
      <c r="B38" s="8"/>
      <c r="C38" s="4"/>
      <c r="D38" s="4"/>
      <c r="E38" s="4"/>
      <c r="F38" s="4"/>
      <c r="G38" s="4"/>
      <c r="H38" s="4"/>
      <c r="I38" s="4"/>
    </row>
    <row r="39" spans="1:9" s="98" customFormat="1" ht="15">
      <c r="A39" s="96"/>
      <c r="B39" s="8"/>
      <c r="C39" s="4"/>
      <c r="D39" s="4"/>
      <c r="E39" s="4"/>
      <c r="F39" s="4"/>
      <c r="G39" s="4"/>
      <c r="H39" s="4"/>
      <c r="I39" s="4"/>
    </row>
    <row r="40" spans="1:9" s="98" customFormat="1" ht="15">
      <c r="A40" s="96"/>
      <c r="B40" s="8"/>
      <c r="C40" s="4"/>
      <c r="D40" s="4"/>
      <c r="E40" s="4"/>
      <c r="F40" s="4"/>
      <c r="G40" s="4"/>
      <c r="H40" s="4"/>
      <c r="I40" s="4"/>
    </row>
    <row r="41" spans="1:9" s="101" customFormat="1" ht="15">
      <c r="A41" s="100"/>
      <c r="B41" s="8"/>
      <c r="C41" s="4"/>
      <c r="D41" s="4"/>
      <c r="E41" s="4"/>
      <c r="F41" s="4"/>
      <c r="G41" s="4"/>
      <c r="H41" s="4"/>
      <c r="I41" s="4"/>
    </row>
    <row r="42" spans="1:9" s="98" customFormat="1" ht="15">
      <c r="A42" s="99"/>
      <c r="B42" s="8"/>
      <c r="C42" s="4"/>
      <c r="D42" s="4"/>
      <c r="E42" s="4"/>
      <c r="F42" s="4"/>
      <c r="G42" s="4"/>
      <c r="H42" s="4"/>
      <c r="I42" s="4"/>
    </row>
    <row r="43" spans="1:9" s="101" customFormat="1" ht="15">
      <c r="A43" s="100"/>
      <c r="B43" s="8"/>
      <c r="C43" s="4"/>
      <c r="D43" s="4"/>
      <c r="E43" s="4"/>
      <c r="F43" s="4"/>
      <c r="G43" s="4"/>
      <c r="H43" s="4"/>
      <c r="I43" s="4"/>
    </row>
    <row r="44" spans="1:9" s="98" customFormat="1" ht="15">
      <c r="A44" s="96"/>
      <c r="B44" s="8"/>
      <c r="C44" s="4"/>
      <c r="D44" s="4"/>
      <c r="E44" s="4"/>
      <c r="F44" s="4"/>
      <c r="G44" s="4"/>
      <c r="H44" s="4"/>
      <c r="I44" s="4"/>
    </row>
    <row r="45" spans="1:9" s="101" customFormat="1" ht="15">
      <c r="A45" s="100"/>
      <c r="B45" s="8"/>
      <c r="C45" s="4"/>
      <c r="D45" s="4"/>
      <c r="E45" s="4"/>
      <c r="F45" s="4"/>
      <c r="G45" s="4"/>
      <c r="H45" s="4"/>
      <c r="I45" s="4"/>
    </row>
    <row r="46" spans="1:9" s="98" customFormat="1" ht="15">
      <c r="A46" s="96"/>
      <c r="B46" s="8"/>
      <c r="C46" s="4"/>
      <c r="D46" s="4"/>
      <c r="E46" s="4"/>
      <c r="F46" s="4"/>
      <c r="G46" s="4"/>
      <c r="H46" s="4"/>
      <c r="I46" s="4"/>
    </row>
    <row r="47" spans="1:9" s="101" customFormat="1" ht="15">
      <c r="A47" s="100"/>
      <c r="B47" s="8"/>
      <c r="C47" s="4"/>
      <c r="D47" s="4"/>
      <c r="E47" s="4"/>
      <c r="F47" s="4"/>
      <c r="G47" s="4"/>
      <c r="H47" s="4"/>
      <c r="I47" s="4"/>
    </row>
    <row r="48" spans="1:9" s="98" customFormat="1" ht="15">
      <c r="A48" s="96"/>
      <c r="B48" s="8"/>
      <c r="C48" s="4"/>
      <c r="D48" s="4"/>
      <c r="E48" s="4"/>
      <c r="F48" s="4"/>
      <c r="G48" s="4"/>
      <c r="H48" s="4"/>
      <c r="I48" s="4"/>
    </row>
    <row r="49" spans="1:9" s="101" customFormat="1" ht="15">
      <c r="A49" s="100"/>
      <c r="B49" s="8"/>
      <c r="C49" s="4"/>
      <c r="D49" s="4"/>
      <c r="E49" s="4"/>
      <c r="F49" s="4"/>
      <c r="G49" s="4"/>
      <c r="H49" s="4"/>
      <c r="I49" s="4"/>
    </row>
    <row r="50" spans="1:9" s="98" customFormat="1" ht="15">
      <c r="A50" s="96"/>
      <c r="B50" s="8"/>
      <c r="C50" s="4"/>
      <c r="D50" s="4"/>
      <c r="E50" s="4"/>
      <c r="F50" s="4"/>
      <c r="G50" s="4"/>
      <c r="H50" s="4"/>
      <c r="I50" s="4"/>
    </row>
    <row r="51" spans="1:9" s="101" customFormat="1" ht="15">
      <c r="A51" s="100"/>
      <c r="B51" s="8"/>
      <c r="C51" s="4"/>
      <c r="D51" s="4"/>
      <c r="E51" s="4"/>
      <c r="F51" s="4"/>
      <c r="G51" s="4"/>
      <c r="H51" s="4"/>
      <c r="I51" s="4"/>
    </row>
    <row r="52" spans="1:9" s="98" customFormat="1" ht="15">
      <c r="A52" s="96"/>
      <c r="B52" s="8"/>
      <c r="C52" s="4"/>
      <c r="D52" s="4"/>
      <c r="E52" s="4"/>
      <c r="F52" s="4"/>
      <c r="G52" s="4"/>
      <c r="H52" s="4"/>
      <c r="I52" s="4"/>
    </row>
    <row r="53" spans="1:9" s="101" customFormat="1" ht="15">
      <c r="A53" s="100"/>
      <c r="B53" s="8"/>
      <c r="C53" s="4"/>
      <c r="D53" s="4"/>
      <c r="E53" s="4"/>
      <c r="F53" s="4"/>
      <c r="G53" s="4"/>
      <c r="H53" s="4"/>
      <c r="I53" s="4"/>
    </row>
    <row r="54" spans="1:9" s="98" customFormat="1" ht="15">
      <c r="A54" s="96"/>
      <c r="B54" s="8"/>
      <c r="C54" s="4"/>
      <c r="D54" s="4"/>
      <c r="E54" s="4"/>
      <c r="F54" s="4"/>
      <c r="G54" s="4"/>
      <c r="H54" s="4"/>
      <c r="I54" s="4"/>
    </row>
    <row r="55" spans="1:9" s="98" customFormat="1" ht="15">
      <c r="A55" s="96"/>
      <c r="B55" s="8"/>
      <c r="C55" s="4"/>
      <c r="D55" s="4"/>
      <c r="E55" s="4"/>
      <c r="F55" s="4"/>
      <c r="G55" s="4"/>
      <c r="H55" s="4"/>
      <c r="I55" s="4"/>
    </row>
    <row r="56" spans="1:9" s="98" customFormat="1" ht="15">
      <c r="A56" s="96"/>
      <c r="B56" s="8"/>
      <c r="C56" s="4"/>
      <c r="D56" s="4"/>
      <c r="E56" s="4"/>
      <c r="F56" s="4"/>
      <c r="G56" s="4"/>
      <c r="H56" s="4"/>
      <c r="I56" s="4"/>
    </row>
    <row r="57" spans="1:9" s="98" customFormat="1" ht="15">
      <c r="A57" s="96"/>
      <c r="B57" s="8"/>
      <c r="C57" s="4"/>
      <c r="D57" s="4"/>
      <c r="E57" s="4"/>
      <c r="F57" s="4"/>
      <c r="G57" s="4"/>
      <c r="H57" s="4"/>
      <c r="I57" s="4"/>
    </row>
    <row r="58" spans="1:9" s="98" customFormat="1" ht="15">
      <c r="A58" s="99"/>
      <c r="B58" s="8"/>
      <c r="C58" s="4"/>
      <c r="D58" s="4"/>
      <c r="E58" s="4"/>
      <c r="F58" s="4"/>
      <c r="G58" s="4"/>
      <c r="H58" s="4"/>
      <c r="I58" s="4"/>
    </row>
    <row r="59" spans="1:9" s="98" customFormat="1" ht="15">
      <c r="A59" s="96"/>
      <c r="B59" s="8"/>
      <c r="C59" s="4"/>
      <c r="D59" s="4"/>
      <c r="E59" s="4"/>
      <c r="F59" s="4"/>
      <c r="G59" s="4"/>
      <c r="H59" s="4"/>
      <c r="I59" s="4"/>
    </row>
    <row r="60" spans="1:9" s="101" customFormat="1" ht="15">
      <c r="A60" s="100"/>
      <c r="B60" s="8"/>
      <c r="C60" s="4"/>
      <c r="D60" s="4"/>
      <c r="E60" s="4"/>
      <c r="F60" s="4"/>
      <c r="G60" s="4"/>
      <c r="H60" s="4"/>
      <c r="I60" s="4"/>
    </row>
    <row r="61" spans="1:9" s="98" customFormat="1" ht="15">
      <c r="A61" s="96"/>
      <c r="B61" s="8"/>
      <c r="C61" s="4"/>
      <c r="D61" s="4"/>
      <c r="E61" s="4"/>
      <c r="F61" s="4"/>
      <c r="G61" s="4"/>
      <c r="H61" s="4"/>
      <c r="I61" s="4"/>
    </row>
    <row r="62" spans="1:9" s="98" customFormat="1" ht="15">
      <c r="A62" s="96"/>
      <c r="B62" s="8"/>
      <c r="C62" s="4"/>
      <c r="D62" s="4"/>
      <c r="E62" s="4"/>
      <c r="F62" s="4"/>
      <c r="G62" s="4"/>
      <c r="H62" s="4"/>
      <c r="I62" s="4"/>
    </row>
    <row r="63" spans="1:9" s="101" customFormat="1" ht="15">
      <c r="A63" s="100"/>
      <c r="B63" s="8"/>
      <c r="C63" s="4"/>
      <c r="D63" s="4"/>
      <c r="E63" s="4"/>
      <c r="F63" s="4"/>
      <c r="G63" s="4"/>
      <c r="H63" s="4"/>
      <c r="I63" s="4"/>
    </row>
    <row r="64" spans="1:9" s="98" customFormat="1" ht="15">
      <c r="A64" s="96"/>
      <c r="B64" s="8"/>
      <c r="C64" s="4"/>
      <c r="D64" s="4"/>
      <c r="E64" s="4"/>
      <c r="F64" s="4"/>
      <c r="G64" s="4"/>
      <c r="H64" s="4"/>
      <c r="I64" s="4"/>
    </row>
    <row r="65" spans="1:9" s="98" customFormat="1" ht="15">
      <c r="A65" s="96"/>
      <c r="B65" s="8"/>
      <c r="C65" s="4"/>
      <c r="D65" s="4"/>
      <c r="E65" s="4"/>
      <c r="F65" s="4"/>
      <c r="G65" s="4"/>
      <c r="H65" s="4"/>
      <c r="I65" s="4"/>
    </row>
    <row r="66" spans="1:9" s="98" customFormat="1" ht="15">
      <c r="A66" s="96"/>
      <c r="B66" s="8"/>
      <c r="C66" s="4"/>
      <c r="D66" s="4"/>
      <c r="E66" s="4"/>
      <c r="F66" s="4"/>
      <c r="G66" s="4"/>
      <c r="H66" s="4"/>
      <c r="I66" s="4"/>
    </row>
    <row r="67" spans="1:9" s="98" customFormat="1" ht="15">
      <c r="A67" s="96"/>
      <c r="B67" s="8"/>
      <c r="C67" s="4"/>
      <c r="D67" s="4"/>
      <c r="E67" s="4"/>
      <c r="F67" s="4"/>
      <c r="G67" s="4"/>
      <c r="H67" s="4"/>
      <c r="I67" s="4"/>
    </row>
    <row r="68" spans="1:9" s="98" customFormat="1" ht="15">
      <c r="A68" s="96"/>
      <c r="B68" s="8"/>
      <c r="C68" s="4"/>
      <c r="D68" s="4"/>
      <c r="E68" s="4"/>
      <c r="F68" s="4"/>
      <c r="G68" s="4"/>
      <c r="H68" s="4"/>
      <c r="I68" s="4"/>
    </row>
    <row r="69" spans="1:9" s="98" customFormat="1" ht="15">
      <c r="A69" s="96"/>
      <c r="B69" s="8"/>
      <c r="C69" s="4"/>
      <c r="D69" s="4"/>
      <c r="E69" s="4"/>
      <c r="F69" s="4"/>
      <c r="G69" s="4"/>
      <c r="H69" s="4"/>
      <c r="I69" s="4"/>
    </row>
    <row r="70" spans="1:9" s="98" customFormat="1" ht="15">
      <c r="A70" s="96"/>
      <c r="B70" s="8"/>
      <c r="C70" s="4"/>
      <c r="D70" s="4"/>
      <c r="E70" s="4"/>
      <c r="F70" s="4"/>
      <c r="G70" s="4"/>
      <c r="H70" s="4"/>
      <c r="I70" s="4"/>
    </row>
    <row r="71" spans="1:9" s="98" customFormat="1" ht="15">
      <c r="A71" s="96"/>
      <c r="B71" s="8"/>
      <c r="C71" s="4"/>
      <c r="D71" s="4"/>
      <c r="E71" s="4"/>
      <c r="F71" s="4"/>
      <c r="G71" s="4"/>
      <c r="H71" s="4"/>
      <c r="I71" s="4"/>
    </row>
    <row r="72" spans="1:9" s="98" customFormat="1" ht="15">
      <c r="A72" s="96"/>
      <c r="B72" s="8"/>
      <c r="C72" s="4"/>
      <c r="D72" s="4"/>
      <c r="E72" s="4"/>
      <c r="F72" s="4"/>
      <c r="G72" s="4"/>
      <c r="H72" s="4"/>
      <c r="I72" s="4"/>
    </row>
    <row r="73" spans="1:9" s="101" customFormat="1" ht="33.75" customHeight="1">
      <c r="A73" s="100"/>
      <c r="B73" s="8"/>
      <c r="C73" s="4"/>
      <c r="D73" s="4"/>
      <c r="E73" s="4"/>
      <c r="F73" s="4"/>
      <c r="G73" s="4"/>
      <c r="H73" s="4"/>
      <c r="I73" s="4"/>
    </row>
    <row r="74" spans="1:9" s="98" customFormat="1" ht="15">
      <c r="A74" s="96"/>
      <c r="B74" s="8"/>
      <c r="C74" s="4"/>
      <c r="D74" s="4"/>
      <c r="E74" s="4"/>
      <c r="F74" s="4"/>
      <c r="G74" s="4"/>
      <c r="H74" s="4"/>
      <c r="I74" s="4"/>
    </row>
    <row r="75" spans="1:9" s="98" customFormat="1" ht="15">
      <c r="A75" s="96"/>
      <c r="B75" s="8"/>
      <c r="C75" s="4"/>
      <c r="D75" s="4"/>
      <c r="E75" s="4"/>
      <c r="F75" s="4"/>
      <c r="G75" s="4"/>
      <c r="H75" s="4"/>
      <c r="I75" s="4"/>
    </row>
    <row r="76" spans="1:9" s="98" customFormat="1" ht="15">
      <c r="A76" s="96"/>
      <c r="B76" s="8"/>
      <c r="C76" s="4"/>
      <c r="D76" s="4"/>
      <c r="E76" s="4"/>
      <c r="F76" s="4"/>
      <c r="G76" s="4"/>
      <c r="H76" s="4"/>
      <c r="I76" s="4"/>
    </row>
    <row r="77" spans="1:9" s="98" customFormat="1" ht="15">
      <c r="A77" s="96"/>
      <c r="B77" s="8"/>
      <c r="C77" s="4"/>
      <c r="D77" s="4"/>
      <c r="E77" s="4"/>
      <c r="F77" s="4"/>
      <c r="G77" s="4"/>
      <c r="H77" s="4"/>
      <c r="I77" s="4"/>
    </row>
    <row r="78" spans="1:9" s="98" customFormat="1" ht="15">
      <c r="A78" s="96"/>
      <c r="B78" s="8"/>
      <c r="C78" s="4"/>
      <c r="D78" s="4"/>
      <c r="E78" s="4"/>
      <c r="F78" s="4"/>
      <c r="G78" s="4"/>
      <c r="H78" s="4"/>
      <c r="I78" s="4"/>
    </row>
    <row r="79" spans="1:9" s="98" customFormat="1" ht="15">
      <c r="A79" s="96"/>
      <c r="B79" s="8"/>
      <c r="C79" s="4"/>
      <c r="D79" s="4"/>
      <c r="E79" s="4"/>
      <c r="F79" s="4"/>
      <c r="G79" s="4"/>
      <c r="H79" s="4"/>
      <c r="I79" s="4"/>
    </row>
    <row r="80" spans="1:9" s="98" customFormat="1" ht="15">
      <c r="A80" s="96"/>
      <c r="B80" s="8"/>
      <c r="C80" s="4"/>
      <c r="D80" s="4"/>
      <c r="E80" s="4"/>
      <c r="F80" s="4"/>
      <c r="G80" s="4"/>
      <c r="H80" s="4"/>
      <c r="I80" s="4"/>
    </row>
    <row r="81" spans="1:9" s="98" customFormat="1" ht="15">
      <c r="A81" s="96"/>
      <c r="B81" s="8"/>
      <c r="C81" s="4"/>
      <c r="D81" s="4"/>
      <c r="E81" s="4"/>
      <c r="F81" s="4"/>
      <c r="G81" s="4"/>
      <c r="H81" s="4"/>
      <c r="I81" s="4"/>
    </row>
    <row r="82" spans="1:9" s="98" customFormat="1" ht="15">
      <c r="A82" s="96"/>
      <c r="B82" s="8"/>
      <c r="C82" s="4"/>
      <c r="D82" s="4"/>
      <c r="E82" s="4"/>
      <c r="F82" s="4"/>
      <c r="G82" s="4"/>
      <c r="H82" s="4"/>
      <c r="I82" s="4"/>
    </row>
    <row r="83" spans="1:9" s="98" customFormat="1" ht="15">
      <c r="A83" s="96"/>
      <c r="B83" s="8"/>
      <c r="C83" s="4"/>
      <c r="D83" s="4"/>
      <c r="E83" s="4"/>
      <c r="F83" s="4"/>
      <c r="G83" s="4"/>
      <c r="H83" s="4"/>
      <c r="I83" s="4"/>
    </row>
    <row r="84" spans="1:9" s="98" customFormat="1" ht="15">
      <c r="A84" s="96"/>
      <c r="B84" s="8"/>
      <c r="C84" s="4"/>
      <c r="D84" s="4"/>
      <c r="E84" s="4"/>
      <c r="F84" s="4"/>
      <c r="G84" s="4"/>
      <c r="H84" s="4"/>
      <c r="I84" s="4"/>
    </row>
    <row r="85" spans="1:9" s="98" customFormat="1" ht="15">
      <c r="A85" s="96"/>
      <c r="B85" s="8"/>
      <c r="C85" s="4"/>
      <c r="D85" s="4"/>
      <c r="E85" s="4"/>
      <c r="F85" s="4"/>
      <c r="G85" s="4"/>
      <c r="H85" s="4"/>
      <c r="I85" s="4"/>
    </row>
    <row r="86" spans="1:9" s="98" customFormat="1" ht="15">
      <c r="A86" s="96"/>
      <c r="B86" s="8"/>
      <c r="C86" s="4"/>
      <c r="D86" s="4"/>
      <c r="E86" s="4"/>
      <c r="F86" s="4"/>
      <c r="G86" s="4"/>
      <c r="H86" s="4"/>
      <c r="I86" s="4"/>
    </row>
    <row r="87" spans="1:9" s="98" customFormat="1" ht="15">
      <c r="A87" s="96"/>
      <c r="B87" s="8"/>
      <c r="C87" s="4"/>
      <c r="D87" s="4"/>
      <c r="E87" s="4"/>
      <c r="F87" s="4"/>
      <c r="G87" s="4"/>
      <c r="H87" s="4"/>
      <c r="I87" s="4"/>
    </row>
    <row r="88" spans="1:9" s="98" customFormat="1" ht="15">
      <c r="A88" s="96"/>
      <c r="B88" s="8"/>
      <c r="C88" s="4"/>
      <c r="D88" s="4"/>
      <c r="E88" s="4"/>
      <c r="F88" s="4"/>
      <c r="G88" s="4"/>
      <c r="H88" s="4"/>
      <c r="I88" s="4"/>
    </row>
    <row r="89" spans="1:9" s="98" customFormat="1" ht="15">
      <c r="A89" s="96"/>
      <c r="B89" s="8"/>
      <c r="C89" s="4"/>
      <c r="D89" s="4"/>
      <c r="E89" s="4"/>
      <c r="F89" s="4"/>
      <c r="G89" s="4"/>
      <c r="H89" s="4"/>
      <c r="I89" s="4"/>
    </row>
    <row r="90" spans="1:9" s="98" customFormat="1" ht="15">
      <c r="A90" s="96"/>
      <c r="B90" s="8"/>
      <c r="C90" s="4"/>
      <c r="D90" s="4"/>
      <c r="E90" s="4"/>
      <c r="F90" s="4"/>
      <c r="G90" s="4"/>
      <c r="H90" s="4"/>
      <c r="I90" s="4"/>
    </row>
    <row r="91" spans="1:9" s="98" customFormat="1" ht="15">
      <c r="A91" s="96"/>
      <c r="B91" s="8"/>
      <c r="C91" s="4"/>
      <c r="D91" s="4"/>
      <c r="E91" s="4"/>
      <c r="F91" s="4"/>
      <c r="G91" s="4"/>
      <c r="H91" s="4"/>
      <c r="I91" s="4"/>
    </row>
    <row r="92" spans="1:9" s="98" customFormat="1" ht="15">
      <c r="A92" s="96"/>
      <c r="B92" s="8"/>
      <c r="C92" s="4"/>
      <c r="D92" s="4"/>
      <c r="E92" s="4"/>
      <c r="F92" s="4"/>
      <c r="G92" s="4"/>
      <c r="H92" s="4"/>
      <c r="I92" s="4"/>
    </row>
    <row r="93" spans="1:9" s="98" customFormat="1" ht="15">
      <c r="A93" s="96"/>
      <c r="B93" s="8"/>
      <c r="C93" s="4"/>
      <c r="D93" s="4"/>
      <c r="E93" s="4"/>
      <c r="F93" s="4"/>
      <c r="G93" s="4"/>
      <c r="H93" s="4"/>
      <c r="I93" s="4"/>
    </row>
    <row r="94" spans="1:9" s="98" customFormat="1" ht="15">
      <c r="A94" s="96"/>
      <c r="B94" s="8"/>
      <c r="C94" s="4"/>
      <c r="D94" s="4"/>
      <c r="E94" s="4"/>
      <c r="F94" s="4"/>
      <c r="G94" s="4"/>
      <c r="H94" s="4"/>
      <c r="I94" s="4"/>
    </row>
    <row r="95" spans="1:9" s="101" customFormat="1" ht="15">
      <c r="A95" s="100"/>
      <c r="B95" s="8"/>
      <c r="C95" s="4"/>
      <c r="D95" s="4"/>
      <c r="E95" s="4"/>
      <c r="F95" s="4"/>
      <c r="G95" s="4"/>
      <c r="H95" s="4"/>
      <c r="I95" s="4"/>
    </row>
    <row r="96" spans="1:9" s="98" customFormat="1" ht="15">
      <c r="A96" s="96"/>
      <c r="B96" s="8"/>
      <c r="C96" s="4"/>
      <c r="D96" s="4"/>
      <c r="E96" s="4"/>
      <c r="F96" s="4"/>
      <c r="G96" s="4"/>
      <c r="H96" s="4"/>
      <c r="I96" s="4"/>
    </row>
    <row r="97" spans="1:9" s="98" customFormat="1" ht="15">
      <c r="A97" s="96"/>
      <c r="B97" s="8"/>
      <c r="C97" s="4"/>
      <c r="D97" s="4"/>
      <c r="E97" s="4"/>
      <c r="F97" s="4"/>
      <c r="G97" s="4"/>
      <c r="H97" s="4"/>
      <c r="I97" s="4"/>
    </row>
    <row r="98" spans="1:9" s="101" customFormat="1" ht="15">
      <c r="A98" s="100"/>
      <c r="B98" s="8"/>
      <c r="C98" s="4"/>
      <c r="D98" s="4"/>
      <c r="E98" s="4"/>
      <c r="F98" s="4"/>
      <c r="G98" s="4"/>
      <c r="H98" s="4"/>
      <c r="I98" s="4"/>
    </row>
    <row r="99" spans="1:9" s="98" customFormat="1" ht="15">
      <c r="A99" s="96"/>
      <c r="B99" s="8"/>
      <c r="C99" s="4"/>
      <c r="D99" s="4"/>
      <c r="E99" s="4"/>
      <c r="F99" s="4"/>
      <c r="G99" s="4"/>
      <c r="H99" s="4"/>
      <c r="I99" s="4"/>
    </row>
    <row r="100" spans="1:9" s="98" customFormat="1" ht="15">
      <c r="A100" s="96"/>
      <c r="B100" s="8"/>
      <c r="C100" s="4"/>
      <c r="D100" s="4"/>
      <c r="E100" s="4"/>
      <c r="F100" s="4"/>
      <c r="G100" s="4"/>
      <c r="H100" s="4"/>
      <c r="I100" s="4"/>
    </row>
    <row r="101" spans="1:9" s="101" customFormat="1" ht="15">
      <c r="A101" s="100"/>
      <c r="B101" s="8"/>
      <c r="C101" s="4"/>
      <c r="D101" s="4"/>
      <c r="E101" s="4"/>
      <c r="F101" s="4"/>
      <c r="G101" s="4"/>
      <c r="H101" s="4"/>
      <c r="I101" s="4"/>
    </row>
    <row r="102" spans="1:9" s="98" customFormat="1" ht="15">
      <c r="A102" s="96"/>
      <c r="B102" s="8"/>
      <c r="C102" s="4"/>
      <c r="D102" s="4"/>
      <c r="E102" s="4"/>
      <c r="F102" s="4"/>
      <c r="G102" s="4"/>
      <c r="H102" s="4"/>
      <c r="I102" s="4"/>
    </row>
    <row r="103" spans="1:9" s="98" customFormat="1" ht="15">
      <c r="A103" s="96"/>
      <c r="B103" s="8"/>
      <c r="C103" s="4"/>
      <c r="D103" s="4"/>
      <c r="E103" s="4"/>
      <c r="F103" s="4"/>
      <c r="G103" s="4"/>
      <c r="H103" s="4"/>
      <c r="I103" s="4"/>
    </row>
    <row r="104" spans="1:9" s="101" customFormat="1" ht="15">
      <c r="A104" s="100"/>
      <c r="B104" s="8"/>
      <c r="C104" s="4"/>
      <c r="D104" s="4"/>
      <c r="E104" s="4"/>
      <c r="F104" s="4"/>
      <c r="G104" s="4"/>
      <c r="H104" s="4"/>
      <c r="I104" s="4"/>
    </row>
    <row r="105" spans="1:9" s="98" customFormat="1" ht="15">
      <c r="A105" s="96"/>
      <c r="B105" s="8"/>
      <c r="C105" s="4"/>
      <c r="D105" s="4"/>
      <c r="E105" s="4"/>
      <c r="F105" s="4"/>
      <c r="G105" s="4"/>
      <c r="H105" s="4"/>
      <c r="I105" s="4"/>
    </row>
    <row r="106" spans="1:9" s="98" customFormat="1" ht="15">
      <c r="A106" s="96"/>
      <c r="B106" s="8"/>
      <c r="C106" s="4"/>
      <c r="D106" s="4"/>
      <c r="E106" s="4"/>
      <c r="F106" s="4"/>
      <c r="G106" s="4"/>
      <c r="H106" s="4"/>
      <c r="I106" s="4"/>
    </row>
    <row r="107" spans="1:9" s="101" customFormat="1" ht="15">
      <c r="A107" s="100"/>
      <c r="B107" s="8"/>
      <c r="C107" s="4"/>
      <c r="D107" s="4"/>
      <c r="E107" s="4"/>
      <c r="F107" s="4"/>
      <c r="G107" s="4"/>
      <c r="H107" s="4"/>
      <c r="I107" s="4"/>
    </row>
    <row r="108" spans="1:9" s="98" customFormat="1" ht="15">
      <c r="A108" s="96"/>
      <c r="B108" s="8"/>
      <c r="C108" s="4"/>
      <c r="D108" s="4"/>
      <c r="E108" s="4"/>
      <c r="F108" s="4"/>
      <c r="G108" s="4"/>
      <c r="H108" s="4"/>
      <c r="I108" s="4"/>
    </row>
    <row r="109" spans="1:9" s="98" customFormat="1" ht="15">
      <c r="A109" s="96"/>
      <c r="B109" s="8"/>
      <c r="C109" s="4"/>
      <c r="D109" s="4"/>
      <c r="E109" s="4"/>
      <c r="F109" s="4"/>
      <c r="G109" s="4"/>
      <c r="H109" s="4"/>
      <c r="I109" s="4"/>
    </row>
    <row r="110" spans="1:9" s="101" customFormat="1" ht="15">
      <c r="A110" s="100"/>
      <c r="B110" s="8"/>
      <c r="C110" s="4"/>
      <c r="D110" s="4"/>
      <c r="E110" s="4"/>
      <c r="F110" s="4"/>
      <c r="G110" s="4"/>
      <c r="H110" s="4"/>
      <c r="I110" s="4"/>
    </row>
    <row r="111" spans="1:9" s="98" customFormat="1" ht="15">
      <c r="A111" s="96"/>
      <c r="B111" s="8"/>
      <c r="C111" s="4"/>
      <c r="D111" s="4"/>
      <c r="E111" s="4"/>
      <c r="F111" s="4"/>
      <c r="G111" s="4"/>
      <c r="H111" s="4"/>
      <c r="I111" s="4"/>
    </row>
    <row r="112" spans="1:9" s="98" customFormat="1" ht="15">
      <c r="A112" s="96"/>
      <c r="B112" s="8"/>
      <c r="C112" s="4"/>
      <c r="D112" s="4"/>
      <c r="E112" s="4"/>
      <c r="F112" s="4"/>
      <c r="G112" s="4"/>
      <c r="H112" s="4"/>
      <c r="I112" s="4"/>
    </row>
    <row r="113" spans="1:9" s="101" customFormat="1" ht="15">
      <c r="A113" s="100"/>
      <c r="B113" s="8"/>
      <c r="C113" s="4"/>
      <c r="D113" s="4"/>
      <c r="E113" s="4"/>
      <c r="F113" s="4"/>
      <c r="G113" s="4"/>
      <c r="H113" s="4"/>
      <c r="I113" s="4"/>
    </row>
    <row r="114" spans="1:9" s="98" customFormat="1" ht="15">
      <c r="A114" s="96"/>
      <c r="B114" s="8"/>
      <c r="C114" s="4"/>
      <c r="D114" s="4"/>
      <c r="E114" s="4"/>
      <c r="F114" s="4"/>
      <c r="G114" s="4"/>
      <c r="H114" s="4"/>
      <c r="I114" s="4"/>
    </row>
    <row r="115" spans="1:9" s="98" customFormat="1" ht="15">
      <c r="A115" s="96"/>
      <c r="B115" s="8"/>
      <c r="C115" s="4"/>
      <c r="D115" s="4"/>
      <c r="E115" s="4"/>
      <c r="F115" s="4"/>
      <c r="G115" s="4"/>
      <c r="H115" s="4"/>
      <c r="I115" s="4"/>
    </row>
    <row r="116" spans="1:9" s="101" customFormat="1" ht="15">
      <c r="A116" s="100"/>
      <c r="B116" s="8"/>
      <c r="C116" s="4"/>
      <c r="D116" s="4"/>
      <c r="E116" s="4"/>
      <c r="F116" s="4"/>
      <c r="G116" s="4"/>
      <c r="H116" s="4"/>
      <c r="I116" s="4"/>
    </row>
    <row r="117" spans="1:9" s="98" customFormat="1" ht="15">
      <c r="A117" s="96"/>
      <c r="B117" s="8"/>
      <c r="C117" s="4"/>
      <c r="D117" s="4"/>
      <c r="E117" s="4"/>
      <c r="F117" s="4"/>
      <c r="G117" s="4"/>
      <c r="H117" s="4"/>
      <c r="I117" s="4"/>
    </row>
    <row r="118" spans="1:9" s="98" customFormat="1" ht="15">
      <c r="A118" s="96"/>
      <c r="B118" s="8"/>
      <c r="C118" s="4"/>
      <c r="D118" s="4"/>
      <c r="E118" s="4"/>
      <c r="F118" s="4"/>
      <c r="G118" s="4"/>
      <c r="H118" s="4"/>
      <c r="I118" s="4"/>
    </row>
    <row r="119" spans="1:9" s="101" customFormat="1" ht="15">
      <c r="A119" s="100"/>
      <c r="B119" s="8"/>
      <c r="C119" s="4"/>
      <c r="D119" s="4"/>
      <c r="E119" s="4"/>
      <c r="F119" s="4"/>
      <c r="G119" s="4"/>
      <c r="H119" s="4"/>
      <c r="I119" s="4"/>
    </row>
    <row r="120" spans="1:9" s="98" customFormat="1" ht="15">
      <c r="A120" s="96"/>
      <c r="B120" s="8"/>
      <c r="C120" s="4"/>
      <c r="D120" s="4"/>
      <c r="E120" s="4"/>
      <c r="F120" s="4"/>
      <c r="G120" s="4"/>
      <c r="H120" s="4"/>
      <c r="I120" s="4"/>
    </row>
    <row r="121" spans="1:9" s="98" customFormat="1" ht="15">
      <c r="A121" s="96"/>
      <c r="B121" s="8"/>
      <c r="C121" s="4"/>
      <c r="D121" s="4"/>
      <c r="E121" s="4"/>
      <c r="F121" s="4"/>
      <c r="G121" s="4"/>
      <c r="H121" s="4"/>
      <c r="I121" s="4"/>
    </row>
    <row r="122" spans="1:9" s="101" customFormat="1" ht="15">
      <c r="A122" s="100"/>
      <c r="B122" s="8"/>
      <c r="C122" s="4"/>
      <c r="D122" s="4"/>
      <c r="E122" s="4"/>
      <c r="F122" s="4"/>
      <c r="G122" s="4"/>
      <c r="H122" s="4"/>
      <c r="I122" s="4"/>
    </row>
    <row r="123" spans="1:9" s="98" customFormat="1" ht="15">
      <c r="A123" s="96"/>
      <c r="B123" s="8"/>
      <c r="C123" s="4"/>
      <c r="D123" s="4"/>
      <c r="E123" s="4"/>
      <c r="F123" s="4"/>
      <c r="G123" s="4"/>
      <c r="H123" s="4"/>
      <c r="I123" s="4"/>
    </row>
    <row r="124" spans="1:9" s="98" customFormat="1" ht="15">
      <c r="A124" s="96"/>
      <c r="B124" s="8"/>
      <c r="C124" s="4"/>
      <c r="D124" s="4"/>
      <c r="E124" s="4"/>
      <c r="F124" s="4"/>
      <c r="G124" s="4"/>
      <c r="H124" s="4"/>
      <c r="I124" s="4"/>
    </row>
    <row r="125" spans="1:9" s="101" customFormat="1" ht="15">
      <c r="A125" s="100"/>
      <c r="B125" s="8"/>
      <c r="C125" s="4"/>
      <c r="D125" s="4"/>
      <c r="E125" s="4"/>
      <c r="F125" s="4"/>
      <c r="G125" s="4"/>
      <c r="H125" s="4"/>
      <c r="I125" s="4"/>
    </row>
    <row r="126" spans="1:9" s="98" customFormat="1" ht="15">
      <c r="A126" s="96"/>
      <c r="B126" s="8"/>
      <c r="C126" s="4"/>
      <c r="D126" s="4"/>
      <c r="E126" s="4"/>
      <c r="F126" s="4"/>
      <c r="G126" s="4"/>
      <c r="H126" s="4"/>
      <c r="I126" s="4"/>
    </row>
    <row r="127" spans="1:9" s="98" customFormat="1" ht="15">
      <c r="A127" s="96"/>
      <c r="B127" s="8"/>
      <c r="C127" s="4"/>
      <c r="D127" s="4"/>
      <c r="E127" s="4"/>
      <c r="F127" s="4"/>
      <c r="G127" s="4"/>
      <c r="H127" s="4"/>
      <c r="I127" s="4"/>
    </row>
    <row r="128" spans="1:9" s="101" customFormat="1" ht="15">
      <c r="A128" s="100"/>
      <c r="B128" s="8"/>
      <c r="C128" s="4"/>
      <c r="D128" s="4"/>
      <c r="E128" s="4"/>
      <c r="F128" s="4"/>
      <c r="G128" s="4"/>
      <c r="H128" s="4"/>
      <c r="I128" s="4"/>
    </row>
    <row r="129" spans="1:9" s="98" customFormat="1" ht="15">
      <c r="A129" s="96"/>
      <c r="B129" s="8"/>
      <c r="C129" s="4"/>
      <c r="D129" s="4"/>
      <c r="E129" s="4"/>
      <c r="F129" s="4"/>
      <c r="G129" s="4"/>
      <c r="H129" s="4"/>
      <c r="I129" s="4"/>
    </row>
    <row r="130" spans="1:9" s="98" customFormat="1" ht="15">
      <c r="A130" s="96"/>
      <c r="B130" s="8"/>
      <c r="C130" s="4"/>
      <c r="D130" s="4"/>
      <c r="E130" s="4"/>
      <c r="F130" s="4"/>
      <c r="G130" s="4"/>
      <c r="H130" s="4"/>
      <c r="I130" s="4"/>
    </row>
    <row r="131" spans="1:9" s="101" customFormat="1" ht="15">
      <c r="A131" s="100"/>
      <c r="B131" s="8"/>
      <c r="C131" s="4"/>
      <c r="D131" s="4"/>
      <c r="E131" s="4"/>
      <c r="F131" s="4"/>
      <c r="G131" s="4"/>
      <c r="H131" s="4"/>
      <c r="I131" s="4"/>
    </row>
    <row r="132" spans="1:9" s="98" customFormat="1" ht="15">
      <c r="A132" s="96"/>
      <c r="B132" s="8"/>
      <c r="C132" s="4"/>
      <c r="D132" s="4"/>
      <c r="E132" s="4"/>
      <c r="F132" s="4"/>
      <c r="G132" s="4"/>
      <c r="H132" s="4"/>
      <c r="I132" s="4"/>
    </row>
    <row r="133" spans="1:9" s="98" customFormat="1" ht="15">
      <c r="A133" s="96"/>
      <c r="B133" s="8"/>
      <c r="C133" s="4"/>
      <c r="D133" s="4"/>
      <c r="E133" s="4"/>
      <c r="F133" s="4"/>
      <c r="G133" s="4"/>
      <c r="H133" s="4"/>
      <c r="I133" s="4"/>
    </row>
    <row r="134" spans="1:9" s="101" customFormat="1" ht="15">
      <c r="A134" s="100"/>
      <c r="B134" s="8"/>
      <c r="C134" s="4"/>
      <c r="D134" s="4"/>
      <c r="E134" s="4"/>
      <c r="F134" s="4"/>
      <c r="G134" s="4"/>
      <c r="H134" s="4"/>
      <c r="I134" s="4"/>
    </row>
    <row r="135" spans="1:9" s="98" customFormat="1" ht="15">
      <c r="A135" s="96"/>
      <c r="B135" s="8"/>
      <c r="C135" s="4"/>
      <c r="D135" s="4"/>
      <c r="E135" s="4"/>
      <c r="F135" s="4"/>
      <c r="G135" s="4"/>
      <c r="H135" s="4"/>
      <c r="I135" s="4"/>
    </row>
    <row r="136" spans="1:9" s="98" customFormat="1" ht="15">
      <c r="A136" s="96"/>
      <c r="B136" s="8"/>
      <c r="C136" s="4"/>
      <c r="D136" s="4"/>
      <c r="E136" s="4"/>
      <c r="F136" s="4"/>
      <c r="G136" s="4"/>
      <c r="H136" s="4"/>
      <c r="I136" s="4"/>
    </row>
    <row r="137" spans="1:9" s="101" customFormat="1" ht="15">
      <c r="A137" s="100"/>
      <c r="B137" s="8"/>
      <c r="C137" s="4"/>
      <c r="D137" s="4"/>
      <c r="E137" s="4"/>
      <c r="F137" s="4"/>
      <c r="G137" s="4"/>
      <c r="H137" s="4"/>
      <c r="I137" s="4"/>
    </row>
    <row r="138" spans="1:9" s="101" customFormat="1" ht="15">
      <c r="A138" s="100"/>
      <c r="B138" s="8"/>
      <c r="C138" s="4"/>
      <c r="D138" s="4"/>
      <c r="E138" s="4"/>
      <c r="F138" s="4"/>
      <c r="G138" s="4"/>
      <c r="H138" s="4"/>
      <c r="I138" s="4"/>
    </row>
    <row r="139" spans="1:9" s="98" customFormat="1" ht="15">
      <c r="A139" s="96"/>
      <c r="B139" s="8"/>
      <c r="C139" s="4"/>
      <c r="D139" s="4"/>
      <c r="E139" s="4"/>
      <c r="F139" s="4"/>
      <c r="G139" s="4"/>
      <c r="H139" s="4"/>
      <c r="I139" s="4"/>
    </row>
    <row r="140" spans="1:9" s="101" customFormat="1" ht="15">
      <c r="A140" s="100"/>
      <c r="B140" s="8"/>
      <c r="C140" s="4"/>
      <c r="D140" s="4"/>
      <c r="E140" s="4"/>
      <c r="F140" s="4"/>
      <c r="G140" s="4"/>
      <c r="H140" s="4"/>
      <c r="I140" s="4"/>
    </row>
    <row r="141" spans="1:9" s="98" customFormat="1" ht="15">
      <c r="A141" s="96"/>
      <c r="B141" s="8"/>
      <c r="C141" s="4"/>
      <c r="D141" s="4"/>
      <c r="E141" s="4"/>
      <c r="F141" s="4"/>
      <c r="G141" s="4"/>
      <c r="H141" s="4"/>
      <c r="I141" s="4"/>
    </row>
    <row r="142" spans="1:9" s="98" customFormat="1" ht="15">
      <c r="A142" s="96"/>
      <c r="B142" s="8"/>
      <c r="C142" s="4"/>
      <c r="D142" s="4"/>
      <c r="E142" s="4"/>
      <c r="F142" s="4"/>
      <c r="G142" s="4"/>
      <c r="H142" s="4"/>
      <c r="I142" s="4"/>
    </row>
    <row r="143" spans="1:9" s="101" customFormat="1" ht="15">
      <c r="A143" s="100"/>
      <c r="B143" s="8"/>
      <c r="C143" s="4"/>
      <c r="D143" s="4"/>
      <c r="E143" s="4"/>
      <c r="F143" s="4"/>
      <c r="G143" s="4"/>
      <c r="H143" s="4"/>
      <c r="I143" s="4"/>
    </row>
    <row r="144" spans="1:9" s="98" customFormat="1" ht="15">
      <c r="A144" s="96"/>
      <c r="B144" s="8"/>
      <c r="C144" s="4"/>
      <c r="D144" s="4"/>
      <c r="E144" s="4"/>
      <c r="F144" s="4"/>
      <c r="G144" s="4"/>
      <c r="H144" s="4"/>
      <c r="I144" s="4"/>
    </row>
    <row r="145" spans="1:9" s="98" customFormat="1" ht="15">
      <c r="A145" s="96"/>
      <c r="B145" s="8"/>
      <c r="C145" s="4"/>
      <c r="D145" s="4"/>
      <c r="E145" s="4"/>
      <c r="F145" s="4"/>
      <c r="G145" s="4"/>
      <c r="H145" s="4"/>
      <c r="I145" s="4"/>
    </row>
    <row r="146" spans="1:9" s="101" customFormat="1" ht="15">
      <c r="A146" s="100"/>
      <c r="B146" s="8"/>
      <c r="C146" s="4"/>
      <c r="D146" s="4"/>
      <c r="E146" s="4"/>
      <c r="F146" s="4"/>
      <c r="G146" s="4"/>
      <c r="H146" s="4"/>
      <c r="I146" s="4"/>
    </row>
    <row r="147" spans="1:9" s="98" customFormat="1" ht="15">
      <c r="A147" s="96"/>
      <c r="B147" s="8"/>
      <c r="C147" s="4"/>
      <c r="D147" s="4"/>
      <c r="E147" s="4"/>
      <c r="F147" s="4"/>
      <c r="G147" s="4"/>
      <c r="H147" s="4"/>
      <c r="I147" s="4"/>
    </row>
    <row r="148" spans="1:9" s="98" customFormat="1" ht="15">
      <c r="A148" s="96"/>
      <c r="B148" s="8"/>
      <c r="C148" s="4"/>
      <c r="D148" s="4"/>
      <c r="E148" s="4"/>
      <c r="F148" s="4"/>
      <c r="G148" s="4"/>
      <c r="H148" s="4"/>
      <c r="I148" s="4"/>
    </row>
    <row r="149" spans="1:9" s="98" customFormat="1" ht="15">
      <c r="A149" s="96"/>
      <c r="B149" s="8"/>
      <c r="C149" s="4"/>
      <c r="D149" s="4"/>
      <c r="E149" s="4"/>
      <c r="F149" s="4"/>
      <c r="G149" s="4"/>
      <c r="H149" s="4"/>
      <c r="I149" s="4"/>
    </row>
    <row r="150" spans="1:9" s="98" customFormat="1" ht="15">
      <c r="A150" s="96"/>
      <c r="B150" s="8"/>
      <c r="C150" s="4"/>
      <c r="D150" s="4"/>
      <c r="E150" s="4"/>
      <c r="F150" s="4"/>
      <c r="G150" s="4"/>
      <c r="H150" s="4"/>
      <c r="I150" s="4"/>
    </row>
    <row r="151" spans="1:9" s="98" customFormat="1" ht="15">
      <c r="A151" s="96"/>
      <c r="B151" s="8"/>
      <c r="C151" s="4"/>
      <c r="D151" s="4"/>
      <c r="E151" s="4"/>
      <c r="F151" s="4"/>
      <c r="G151" s="4"/>
      <c r="H151" s="4"/>
      <c r="I151" s="4"/>
    </row>
    <row r="152" spans="1:9" s="98" customFormat="1" ht="15">
      <c r="A152" s="96"/>
      <c r="B152" s="8"/>
      <c r="C152" s="4"/>
      <c r="D152" s="4"/>
      <c r="E152" s="4"/>
      <c r="F152" s="4"/>
      <c r="G152" s="4"/>
      <c r="H152" s="4"/>
      <c r="I152" s="4"/>
    </row>
    <row r="153" spans="1:9" s="98" customFormat="1" ht="15">
      <c r="A153" s="96"/>
      <c r="B153" s="8"/>
      <c r="C153" s="4"/>
      <c r="D153" s="4"/>
      <c r="E153" s="4"/>
      <c r="F153" s="4"/>
      <c r="G153" s="4"/>
      <c r="H153" s="4"/>
      <c r="I153" s="4"/>
    </row>
    <row r="154" spans="1:9" s="98" customFormat="1" ht="15">
      <c r="A154" s="96"/>
      <c r="B154" s="8"/>
      <c r="C154" s="4"/>
      <c r="D154" s="4"/>
      <c r="E154" s="4"/>
      <c r="F154" s="4"/>
      <c r="G154" s="4"/>
      <c r="H154" s="4"/>
      <c r="I154" s="4"/>
    </row>
    <row r="155" spans="1:9" s="98" customFormat="1" ht="15">
      <c r="A155" s="96"/>
      <c r="B155" s="8"/>
      <c r="C155" s="4"/>
      <c r="D155" s="4"/>
      <c r="E155" s="4"/>
      <c r="F155" s="4"/>
      <c r="G155" s="4"/>
      <c r="H155" s="4"/>
      <c r="I155" s="4"/>
    </row>
    <row r="156" spans="1:9" s="98" customFormat="1" ht="15">
      <c r="A156" s="96"/>
      <c r="B156" s="8"/>
      <c r="C156" s="4"/>
      <c r="D156" s="4"/>
      <c r="E156" s="4"/>
      <c r="F156" s="4"/>
      <c r="G156" s="4"/>
      <c r="H156" s="4"/>
      <c r="I156" s="4"/>
    </row>
    <row r="157" spans="1:9" s="98" customFormat="1" ht="15">
      <c r="A157" s="96"/>
      <c r="B157" s="8"/>
      <c r="C157" s="4"/>
      <c r="D157" s="4"/>
      <c r="E157" s="4"/>
      <c r="F157" s="4"/>
      <c r="G157" s="4"/>
      <c r="H157" s="4"/>
      <c r="I157" s="4"/>
    </row>
    <row r="158" spans="1:9" s="98" customFormat="1" ht="15">
      <c r="A158" s="96"/>
      <c r="B158" s="8"/>
      <c r="C158" s="4"/>
      <c r="D158" s="4"/>
      <c r="E158" s="4"/>
      <c r="F158" s="4"/>
      <c r="G158" s="4"/>
      <c r="H158" s="4"/>
      <c r="I158" s="4"/>
    </row>
    <row r="159" spans="1:9" s="98" customFormat="1" ht="15">
      <c r="A159" s="96"/>
      <c r="B159" s="8"/>
      <c r="C159" s="4"/>
      <c r="D159" s="4"/>
      <c r="E159" s="4"/>
      <c r="F159" s="4"/>
      <c r="G159" s="4"/>
      <c r="H159" s="4"/>
      <c r="I159" s="4"/>
    </row>
    <row r="160" spans="1:9" s="98" customFormat="1" ht="15">
      <c r="A160" s="96"/>
      <c r="B160" s="8"/>
      <c r="C160" s="4"/>
      <c r="D160" s="4"/>
      <c r="E160" s="4"/>
      <c r="F160" s="4"/>
      <c r="G160" s="4"/>
      <c r="H160" s="4"/>
      <c r="I160" s="4"/>
    </row>
    <row r="161" spans="1:9" s="98" customFormat="1" ht="15">
      <c r="A161" s="96"/>
      <c r="B161" s="8"/>
      <c r="C161" s="4"/>
      <c r="D161" s="4"/>
      <c r="E161" s="4"/>
      <c r="F161" s="4"/>
      <c r="G161" s="4"/>
      <c r="H161" s="4"/>
      <c r="I161" s="4"/>
    </row>
    <row r="162" spans="1:9" s="98" customFormat="1" ht="15">
      <c r="A162" s="96"/>
      <c r="B162" s="8"/>
      <c r="C162" s="4"/>
      <c r="D162" s="4"/>
      <c r="E162" s="4"/>
      <c r="F162" s="4"/>
      <c r="G162" s="4"/>
      <c r="H162" s="4"/>
      <c r="I162" s="4"/>
    </row>
    <row r="163" spans="1:9" s="98" customFormat="1" ht="15">
      <c r="A163" s="96"/>
      <c r="B163" s="8"/>
      <c r="C163" s="4"/>
      <c r="D163" s="4"/>
      <c r="E163" s="4"/>
      <c r="F163" s="4"/>
      <c r="G163" s="4"/>
      <c r="H163" s="4"/>
      <c r="I163" s="4"/>
    </row>
    <row r="164" spans="1:9" ht="16.5" customHeight="1"/>
    <row r="165" spans="1:9" ht="16.5" customHeight="1"/>
    <row r="166" spans="1:9" ht="16.5" customHeight="1"/>
    <row r="167" spans="1:9" ht="16.5" customHeight="1"/>
    <row r="168" spans="1:9" ht="16.5" customHeight="1"/>
    <row r="169" spans="1:9" ht="16.5" customHeight="1"/>
    <row r="170" spans="1:9" ht="16.5" customHeight="1"/>
    <row r="171" spans="1:9" ht="16.5" customHeight="1"/>
    <row r="172" spans="1:9" ht="16.5" customHeight="1"/>
    <row r="173" spans="1:9" ht="16.5" customHeight="1"/>
    <row r="174" spans="1:9" ht="16.5" customHeight="1"/>
    <row r="175" spans="1:9" ht="16.5" customHeight="1"/>
    <row r="176" spans="1:9" ht="16.5" customHeight="1"/>
    <row r="177" ht="16.5" customHeight="1"/>
    <row r="178" ht="16.5" customHeight="1"/>
    <row r="179" ht="16.5" customHeight="1"/>
    <row r="180" ht="16.5" customHeight="1"/>
    <row r="181" ht="16.5" customHeight="1"/>
    <row r="182" ht="16.5" customHeight="1"/>
    <row r="183" ht="16.5" customHeight="1"/>
    <row r="184" ht="16.5" customHeight="1"/>
    <row r="185" ht="16.5" customHeight="1"/>
    <row r="186" ht="16.5" customHeight="1"/>
    <row r="187" ht="16.5" customHeight="1"/>
    <row r="188" ht="16.5" customHeight="1"/>
    <row r="189" ht="16.5" customHeight="1"/>
    <row r="190" ht="16.5" customHeight="1"/>
    <row r="191" ht="16.5" customHeight="1"/>
    <row r="192" ht="16.5" customHeight="1"/>
    <row r="193" ht="16.5" customHeight="1"/>
    <row r="194" ht="16.5" customHeight="1"/>
    <row r="195" ht="16.5" customHeight="1"/>
    <row r="196" ht="16.5" customHeight="1"/>
    <row r="197" ht="16.5" customHeight="1"/>
    <row r="198" ht="16.5" customHeight="1"/>
    <row r="199" ht="16.5" customHeight="1"/>
    <row r="200" ht="16.5" customHeight="1"/>
    <row r="201" ht="16.5" customHeight="1"/>
    <row r="202" ht="16.5" customHeight="1"/>
    <row r="203" ht="16.5" customHeight="1"/>
    <row r="204" ht="16.5" customHeight="1"/>
    <row r="205" ht="16.5" customHeight="1"/>
    <row r="206" ht="16.5" customHeight="1"/>
    <row r="207" ht="16.5" customHeight="1"/>
    <row r="208" ht="16.5" customHeight="1"/>
    <row r="209" ht="16.5" customHeight="1"/>
    <row r="210" ht="16.5" customHeight="1"/>
    <row r="211" ht="16.5" customHeight="1"/>
    <row r="212" ht="16.5" customHeight="1"/>
    <row r="213" ht="16.5" customHeight="1"/>
    <row r="214" ht="16.5" customHeight="1"/>
    <row r="215" ht="16.5" customHeight="1"/>
    <row r="216" ht="16.5" customHeight="1"/>
    <row r="217" ht="16.5" customHeight="1"/>
    <row r="218" ht="16.5" customHeight="1"/>
    <row r="219" ht="16.5" customHeight="1"/>
    <row r="220" ht="16.5" customHeight="1"/>
    <row r="221" ht="16.5" customHeight="1"/>
    <row r="222" ht="16.5" customHeight="1"/>
    <row r="223" ht="16.5" customHeight="1"/>
    <row r="224" ht="16.5" customHeight="1"/>
    <row r="225" ht="16.5" customHeight="1"/>
    <row r="226" ht="16.5" customHeight="1"/>
    <row r="227" ht="16.5" customHeight="1"/>
    <row r="228" ht="16.5" customHeight="1"/>
    <row r="229" ht="16.5" customHeight="1"/>
    <row r="230" ht="16.5" customHeight="1"/>
    <row r="231" ht="16.5" customHeight="1"/>
    <row r="232" ht="16.5" customHeight="1"/>
    <row r="233" ht="16.5" customHeight="1"/>
    <row r="234" ht="16.5" customHeight="1"/>
    <row r="235" ht="16.5" customHeight="1"/>
    <row r="236" ht="16.5" customHeight="1"/>
    <row r="237" ht="16.5" customHeight="1"/>
    <row r="238" ht="16.5" customHeight="1"/>
    <row r="239" ht="16.5" customHeight="1"/>
    <row r="240" ht="16.5" customHeight="1"/>
    <row r="241" ht="16.5" customHeight="1"/>
    <row r="242" ht="16.5" customHeight="1"/>
    <row r="243" ht="16.5" customHeight="1"/>
    <row r="244" ht="16.5" customHeight="1"/>
    <row r="245" ht="16.5" customHeight="1"/>
    <row r="246" ht="16.5" customHeight="1"/>
    <row r="247" ht="16.5" customHeight="1"/>
    <row r="248" ht="16.5" customHeight="1"/>
    <row r="249" ht="16.5" customHeight="1"/>
    <row r="250" ht="16.5" customHeight="1"/>
    <row r="251" ht="16.5" customHeight="1"/>
    <row r="252" ht="16.5" customHeight="1"/>
    <row r="253" ht="16.5" customHeight="1"/>
    <row r="254" ht="16.5" customHeight="1"/>
    <row r="255" ht="16.5" customHeight="1"/>
    <row r="256" ht="16.5" customHeight="1"/>
    <row r="257" ht="16.5" customHeight="1"/>
    <row r="258" ht="16.5" customHeight="1"/>
    <row r="259" ht="16.5" customHeight="1"/>
    <row r="260" ht="16.5" customHeight="1"/>
    <row r="261" ht="16.5" customHeight="1"/>
    <row r="262" ht="16.5" customHeight="1"/>
    <row r="263" ht="16.5" customHeight="1"/>
    <row r="264" ht="16.5" customHeight="1"/>
    <row r="265" ht="16.5" customHeight="1"/>
    <row r="266" ht="16.5" customHeight="1"/>
    <row r="267" ht="16.5" customHeight="1"/>
    <row r="268" ht="16.5" customHeight="1"/>
    <row r="269" ht="16.5" customHeight="1"/>
    <row r="270" ht="16.5" customHeight="1"/>
    <row r="271" ht="16.5" customHeight="1"/>
    <row r="272" ht="16.5" customHeight="1"/>
    <row r="273" ht="16.5" customHeight="1"/>
    <row r="274" ht="16.5" customHeight="1"/>
    <row r="275" ht="16.5" customHeight="1"/>
    <row r="276" ht="16.5" customHeight="1"/>
    <row r="277" ht="16.5" customHeight="1"/>
    <row r="278" ht="16.5" customHeight="1"/>
    <row r="279" ht="16.5" customHeight="1"/>
    <row r="280" ht="16.5" customHeight="1"/>
    <row r="281" ht="16.5" customHeight="1"/>
    <row r="282" ht="16.5" customHeight="1"/>
    <row r="283" ht="16.5" customHeight="1"/>
    <row r="284" ht="16.5" customHeight="1"/>
    <row r="285" ht="16.5" customHeight="1"/>
    <row r="286" ht="16.5" customHeight="1"/>
    <row r="287" ht="16.5" customHeight="1"/>
    <row r="288" ht="16.5" customHeight="1"/>
    <row r="289" ht="16.5" customHeight="1"/>
    <row r="290" ht="16.5" customHeight="1"/>
    <row r="291" ht="16.5" customHeight="1"/>
    <row r="292" ht="16.5" customHeight="1"/>
    <row r="293" ht="16.5" customHeight="1"/>
    <row r="294" ht="16.5" customHeight="1"/>
    <row r="295" ht="16.5" customHeight="1"/>
    <row r="296" ht="16.5" customHeight="1"/>
    <row r="297" ht="16.5" customHeight="1"/>
    <row r="298" ht="16.5" customHeight="1"/>
    <row r="299" ht="16.5" customHeight="1"/>
    <row r="300" ht="16.5" customHeight="1"/>
    <row r="301" ht="16.5" customHeight="1"/>
    <row r="302" ht="16.5" customHeight="1"/>
    <row r="303" ht="16.5" customHeight="1"/>
    <row r="304" ht="16.5" customHeight="1"/>
    <row r="305" ht="16.5" customHeight="1"/>
  </sheetData>
  <mergeCells count="6">
    <mergeCell ref="B8:E8"/>
    <mergeCell ref="F8:I8"/>
    <mergeCell ref="B1:E1"/>
    <mergeCell ref="F1:I1"/>
    <mergeCell ref="B2:E2"/>
    <mergeCell ref="F2:I2"/>
  </mergeCells>
  <phoneticPr fontId="5" type="noConversion"/>
  <pageMargins left="0.7" right="0.7" top="0.75" bottom="0.75" header="0.3" footer="0.3"/>
  <pageSetup paperSize="9" orientation="portrait" horizontalDpi="0" verticalDpi="0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B6F419C-7C9C-4F47-A9C2-29B35126545C}">
  <sheetPr codeName="工作表94"/>
  <dimension ref="A1:I305"/>
  <sheetViews>
    <sheetView workbookViewId="0"/>
  </sheetViews>
  <sheetFormatPr defaultColWidth="6.625" defaultRowHeight="13.5"/>
  <cols>
    <col min="1" max="1" width="3.125" style="4" bestFit="1" customWidth="1"/>
    <col min="2" max="2" width="5.5" style="8" customWidth="1"/>
    <col min="3" max="3" width="21" style="4" customWidth="1"/>
    <col min="4" max="4" width="26.125" style="4" customWidth="1"/>
    <col min="5" max="5" width="14.625" style="4" customWidth="1"/>
    <col min="6" max="6" width="10.375" style="4" customWidth="1"/>
    <col min="7" max="7" width="38" style="4" customWidth="1"/>
    <col min="8" max="8" width="29.625" style="4" customWidth="1"/>
    <col min="9" max="9" width="17.625" style="4" customWidth="1"/>
    <col min="10" max="16384" width="6.625" style="4"/>
  </cols>
  <sheetData>
    <row r="1" spans="1:9" ht="24">
      <c r="A1" s="1" t="e">
        <f ca="1">HYPERLINK("#'介面'!E"&amp;MATCH(VALUE(RIGHT(CELL("filename"),LEN(CELL("filename"))-FIND("]",CELL("filename")))),介面!D:D,"0"),"←")</f>
        <v>#VALUE!</v>
      </c>
      <c r="B1" s="216" t="s">
        <v>975</v>
      </c>
      <c r="C1" s="217"/>
      <c r="D1" s="217"/>
      <c r="E1" s="218"/>
      <c r="F1" s="216" t="s">
        <v>976</v>
      </c>
      <c r="G1" s="217"/>
      <c r="H1" s="217"/>
      <c r="I1" s="217"/>
    </row>
    <row r="2" spans="1:9" ht="24">
      <c r="A2" s="1"/>
      <c r="B2" s="210" t="s">
        <v>275</v>
      </c>
      <c r="C2" s="211"/>
      <c r="D2" s="211"/>
      <c r="E2" s="212"/>
      <c r="F2" s="210"/>
      <c r="G2" s="211"/>
      <c r="H2" s="211"/>
      <c r="I2" s="212"/>
    </row>
    <row r="3" spans="1:9" s="8" customFormat="1" ht="15">
      <c r="A3" s="6"/>
      <c r="B3" s="7" t="s">
        <v>276</v>
      </c>
      <c r="C3" s="56" t="s">
        <v>277</v>
      </c>
      <c r="D3" s="56" t="s">
        <v>278</v>
      </c>
      <c r="E3" s="57" t="s">
        <v>279</v>
      </c>
      <c r="F3" s="57" t="s">
        <v>280</v>
      </c>
      <c r="G3" s="56" t="s">
        <v>281</v>
      </c>
      <c r="H3" s="56" t="s">
        <v>11</v>
      </c>
      <c r="I3" s="56" t="s">
        <v>282</v>
      </c>
    </row>
    <row r="4" spans="1:9" s="24" customFormat="1" ht="15.75">
      <c r="A4" s="25"/>
      <c r="B4" s="46">
        <v>1</v>
      </c>
      <c r="C4" s="80" t="s">
        <v>297</v>
      </c>
      <c r="D4" s="80" t="s">
        <v>298</v>
      </c>
      <c r="E4" s="81" t="s">
        <v>285</v>
      </c>
      <c r="F4" s="81">
        <v>500</v>
      </c>
      <c r="G4" s="66" t="s">
        <v>330</v>
      </c>
      <c r="H4" s="142" t="s">
        <v>302</v>
      </c>
      <c r="I4" s="66" t="s">
        <v>287</v>
      </c>
    </row>
    <row r="5" spans="1:9" s="24" customFormat="1" ht="15">
      <c r="A5" s="25"/>
      <c r="B5" s="46">
        <f>B4+1</f>
        <v>2</v>
      </c>
      <c r="C5" s="50" t="s">
        <v>303</v>
      </c>
      <c r="D5" s="76" t="s">
        <v>304</v>
      </c>
      <c r="E5" s="51" t="s">
        <v>296</v>
      </c>
      <c r="F5" s="51">
        <v>20</v>
      </c>
      <c r="G5" s="66" t="s">
        <v>331</v>
      </c>
      <c r="H5" s="66"/>
      <c r="I5" s="66" t="s">
        <v>287</v>
      </c>
    </row>
    <row r="6" spans="1:9" s="24" customFormat="1" ht="15">
      <c r="A6" s="25"/>
      <c r="B6" s="46">
        <f>B5+1</f>
        <v>3</v>
      </c>
      <c r="C6" s="50" t="s">
        <v>637</v>
      </c>
      <c r="D6" s="50" t="s">
        <v>364</v>
      </c>
      <c r="E6" s="51" t="s">
        <v>296</v>
      </c>
      <c r="F6" s="51">
        <v>20</v>
      </c>
      <c r="G6" s="66" t="s">
        <v>331</v>
      </c>
      <c r="H6" s="66"/>
      <c r="I6" s="66" t="s">
        <v>287</v>
      </c>
    </row>
    <row r="7" spans="1:9" ht="15.75">
      <c r="A7" s="1"/>
      <c r="B7" s="2"/>
      <c r="C7" s="3"/>
      <c r="D7" s="3"/>
      <c r="E7" s="3"/>
      <c r="F7" s="3"/>
      <c r="G7" s="3"/>
      <c r="H7" s="3"/>
      <c r="I7" s="3"/>
    </row>
    <row r="8" spans="1:9" ht="24">
      <c r="A8" s="1"/>
      <c r="B8" s="204" t="s">
        <v>291</v>
      </c>
      <c r="C8" s="205"/>
      <c r="D8" s="205"/>
      <c r="E8" s="206"/>
      <c r="F8" s="204"/>
      <c r="G8" s="205"/>
      <c r="H8" s="205"/>
      <c r="I8" s="206"/>
    </row>
    <row r="9" spans="1:9" s="8" customFormat="1" ht="15">
      <c r="A9" s="6"/>
      <c r="B9" s="7" t="s">
        <v>276</v>
      </c>
      <c r="C9" s="56" t="s">
        <v>277</v>
      </c>
      <c r="D9" s="56" t="s">
        <v>278</v>
      </c>
      <c r="E9" s="57" t="s">
        <v>279</v>
      </c>
      <c r="F9" s="57" t="s">
        <v>280</v>
      </c>
      <c r="G9" s="56" t="s">
        <v>11</v>
      </c>
      <c r="H9" s="56" t="s">
        <v>292</v>
      </c>
      <c r="I9" s="56" t="s">
        <v>293</v>
      </c>
    </row>
    <row r="10" spans="1:9" s="98" customFormat="1" ht="15.75">
      <c r="A10" s="96"/>
      <c r="B10" s="94">
        <v>1</v>
      </c>
      <c r="C10" s="80" t="s">
        <v>637</v>
      </c>
      <c r="D10" s="80" t="s">
        <v>364</v>
      </c>
      <c r="E10" s="81" t="s">
        <v>296</v>
      </c>
      <c r="F10" s="81">
        <v>20</v>
      </c>
      <c r="G10" s="83"/>
      <c r="H10" s="82" t="s">
        <v>84</v>
      </c>
      <c r="I10" s="82" t="s">
        <v>364</v>
      </c>
    </row>
    <row r="11" spans="1:9" s="98" customFormat="1" ht="15.75">
      <c r="A11" s="96"/>
      <c r="B11" s="23">
        <f>B10+1</f>
        <v>2</v>
      </c>
      <c r="C11" s="86" t="s">
        <v>977</v>
      </c>
      <c r="D11" s="90" t="s">
        <v>978</v>
      </c>
      <c r="E11" s="87" t="s">
        <v>979</v>
      </c>
      <c r="F11" s="87"/>
      <c r="G11" s="88" t="s">
        <v>980</v>
      </c>
      <c r="H11" s="89"/>
      <c r="I11" s="89"/>
    </row>
    <row r="12" spans="1:9" s="98" customFormat="1" ht="15">
      <c r="A12" s="96"/>
      <c r="B12" s="117"/>
      <c r="C12" s="4"/>
      <c r="D12" s="4"/>
      <c r="E12" s="4"/>
      <c r="F12" s="4"/>
      <c r="G12" s="4"/>
      <c r="H12" s="4"/>
      <c r="I12" s="4"/>
    </row>
    <row r="13" spans="1:9" s="98" customFormat="1" ht="15">
      <c r="A13" s="96"/>
      <c r="B13" s="20"/>
      <c r="C13" s="4"/>
      <c r="D13" s="4"/>
      <c r="E13" s="4"/>
      <c r="F13" s="4"/>
      <c r="G13" s="4"/>
      <c r="H13" s="4"/>
      <c r="I13" s="4"/>
    </row>
    <row r="14" spans="1:9" s="98" customFormat="1" ht="15">
      <c r="A14" s="99"/>
      <c r="B14" s="20"/>
      <c r="C14" s="4"/>
      <c r="D14" s="4"/>
      <c r="E14" s="4"/>
      <c r="F14" s="4"/>
      <c r="G14" s="4"/>
      <c r="H14" s="4"/>
      <c r="I14" s="4"/>
    </row>
    <row r="15" spans="1:9" s="98" customFormat="1" ht="15">
      <c r="A15" s="96"/>
      <c r="B15" s="8"/>
      <c r="C15" s="4"/>
      <c r="D15" s="4"/>
      <c r="E15" s="4"/>
      <c r="F15" s="4"/>
      <c r="G15" s="4"/>
      <c r="H15" s="4"/>
      <c r="I15" s="4"/>
    </row>
    <row r="16" spans="1:9" s="98" customFormat="1" ht="15">
      <c r="A16" s="96"/>
      <c r="B16" s="8"/>
      <c r="C16" s="4"/>
      <c r="D16" s="4"/>
      <c r="E16" s="4"/>
      <c r="F16" s="4"/>
      <c r="G16" s="4"/>
      <c r="H16" s="4"/>
      <c r="I16" s="4"/>
    </row>
    <row r="17" spans="1:9" s="98" customFormat="1" ht="15">
      <c r="A17" s="96"/>
      <c r="B17" s="8"/>
      <c r="C17" s="4"/>
      <c r="D17" s="4"/>
      <c r="E17" s="4"/>
      <c r="F17" s="4"/>
      <c r="G17" s="4"/>
      <c r="H17" s="4"/>
      <c r="I17" s="4"/>
    </row>
    <row r="18" spans="1:9" s="98" customFormat="1" ht="15">
      <c r="A18" s="96"/>
      <c r="B18" s="8"/>
      <c r="C18" s="4"/>
      <c r="D18" s="4"/>
      <c r="E18" s="4"/>
      <c r="F18" s="4"/>
      <c r="G18" s="4"/>
      <c r="H18" s="4"/>
      <c r="I18" s="4"/>
    </row>
    <row r="19" spans="1:9" s="98" customFormat="1" ht="15">
      <c r="A19" s="96"/>
      <c r="B19" s="8"/>
      <c r="C19" s="4"/>
      <c r="D19" s="4"/>
      <c r="E19" s="4"/>
      <c r="F19" s="4"/>
      <c r="G19" s="4"/>
      <c r="H19" s="4"/>
      <c r="I19" s="4"/>
    </row>
    <row r="20" spans="1:9" s="98" customFormat="1" ht="15">
      <c r="A20" s="96"/>
      <c r="B20" s="8"/>
      <c r="C20" s="4"/>
      <c r="D20" s="4"/>
      <c r="E20" s="4"/>
      <c r="F20" s="4"/>
      <c r="G20" s="4"/>
      <c r="H20" s="4"/>
      <c r="I20" s="4"/>
    </row>
    <row r="21" spans="1:9" s="98" customFormat="1" ht="15">
      <c r="A21" s="96"/>
      <c r="B21" s="8"/>
      <c r="C21" s="4"/>
      <c r="D21" s="4"/>
      <c r="E21" s="4"/>
      <c r="F21" s="4"/>
      <c r="G21" s="4"/>
      <c r="H21" s="4"/>
      <c r="I21" s="4"/>
    </row>
    <row r="22" spans="1:9" s="98" customFormat="1" ht="15">
      <c r="A22" s="96"/>
      <c r="B22" s="8"/>
      <c r="C22" s="4"/>
      <c r="D22" s="4"/>
      <c r="E22" s="4"/>
      <c r="F22" s="4"/>
      <c r="G22" s="4"/>
      <c r="H22" s="4"/>
      <c r="I22" s="4"/>
    </row>
    <row r="23" spans="1:9" s="98" customFormat="1" ht="15">
      <c r="A23" s="96"/>
      <c r="B23" s="8"/>
      <c r="C23" s="4"/>
      <c r="D23" s="4"/>
      <c r="E23" s="4"/>
      <c r="F23" s="4"/>
      <c r="G23" s="4"/>
      <c r="H23" s="4"/>
      <c r="I23" s="4"/>
    </row>
    <row r="24" spans="1:9" s="98" customFormat="1" ht="15">
      <c r="A24" s="96"/>
      <c r="B24" s="8"/>
      <c r="C24" s="4"/>
      <c r="D24" s="4"/>
      <c r="E24" s="4"/>
      <c r="F24" s="4"/>
      <c r="G24" s="4"/>
      <c r="H24" s="4"/>
      <c r="I24" s="4"/>
    </row>
    <row r="25" spans="1:9" s="98" customFormat="1" ht="15">
      <c r="A25" s="96"/>
      <c r="B25" s="8"/>
      <c r="C25" s="4"/>
      <c r="D25" s="4"/>
      <c r="E25" s="4"/>
      <c r="F25" s="4"/>
      <c r="G25" s="4"/>
      <c r="H25" s="4"/>
      <c r="I25" s="4"/>
    </row>
    <row r="26" spans="1:9" s="98" customFormat="1" ht="15">
      <c r="A26" s="96"/>
      <c r="B26" s="8"/>
      <c r="C26" s="4"/>
      <c r="D26" s="4"/>
      <c r="E26" s="4"/>
      <c r="F26" s="4"/>
      <c r="G26" s="4"/>
      <c r="H26" s="4"/>
      <c r="I26" s="4"/>
    </row>
    <row r="27" spans="1:9" s="98" customFormat="1" ht="15">
      <c r="A27" s="96"/>
      <c r="B27" s="8"/>
      <c r="C27" s="4"/>
      <c r="D27" s="4"/>
      <c r="E27" s="4"/>
      <c r="F27" s="4"/>
      <c r="G27" s="4"/>
      <c r="H27" s="4"/>
      <c r="I27" s="4"/>
    </row>
    <row r="28" spans="1:9" s="98" customFormat="1" ht="15">
      <c r="A28" s="96"/>
      <c r="B28" s="8"/>
      <c r="C28" s="4"/>
      <c r="D28" s="4"/>
      <c r="E28" s="4"/>
      <c r="F28" s="4"/>
      <c r="G28" s="4"/>
      <c r="H28" s="4"/>
      <c r="I28" s="4"/>
    </row>
    <row r="29" spans="1:9" s="98" customFormat="1" ht="15">
      <c r="A29" s="96"/>
      <c r="B29" s="8"/>
      <c r="C29" s="4"/>
      <c r="D29" s="4"/>
      <c r="E29" s="4"/>
      <c r="F29" s="4"/>
      <c r="G29" s="4"/>
      <c r="H29" s="4"/>
      <c r="I29" s="4"/>
    </row>
    <row r="30" spans="1:9" s="98" customFormat="1" ht="15">
      <c r="A30" s="96"/>
      <c r="B30" s="8"/>
      <c r="C30" s="4"/>
      <c r="D30" s="4"/>
      <c r="E30" s="4"/>
      <c r="F30" s="4"/>
      <c r="G30" s="4"/>
      <c r="H30" s="4"/>
      <c r="I30" s="4"/>
    </row>
    <row r="31" spans="1:9" s="98" customFormat="1" ht="15">
      <c r="A31" s="96"/>
      <c r="B31" s="8"/>
      <c r="C31" s="4"/>
      <c r="D31" s="4"/>
      <c r="E31" s="4"/>
      <c r="F31" s="4"/>
      <c r="G31" s="4"/>
      <c r="H31" s="4"/>
      <c r="I31" s="4"/>
    </row>
    <row r="32" spans="1:9" s="98" customFormat="1" ht="15">
      <c r="A32" s="96"/>
      <c r="B32" s="8"/>
      <c r="C32" s="4"/>
      <c r="D32" s="4"/>
      <c r="E32" s="4"/>
      <c r="F32" s="4"/>
      <c r="G32" s="4"/>
      <c r="H32" s="4"/>
      <c r="I32" s="4"/>
    </row>
    <row r="33" spans="1:9" s="98" customFormat="1" ht="15">
      <c r="A33" s="96"/>
      <c r="B33" s="8"/>
      <c r="C33" s="4"/>
      <c r="D33" s="4"/>
      <c r="E33" s="4"/>
      <c r="F33" s="4"/>
      <c r="G33" s="4"/>
      <c r="H33" s="4"/>
      <c r="I33" s="4"/>
    </row>
    <row r="34" spans="1:9" s="98" customFormat="1" ht="15">
      <c r="A34" s="96"/>
      <c r="B34" s="8"/>
      <c r="C34" s="4"/>
      <c r="D34" s="4"/>
      <c r="E34" s="4"/>
      <c r="F34" s="4"/>
      <c r="G34" s="4"/>
      <c r="H34" s="4"/>
      <c r="I34" s="4"/>
    </row>
    <row r="35" spans="1:9" s="98" customFormat="1" ht="15">
      <c r="A35" s="96"/>
      <c r="B35" s="8"/>
      <c r="C35" s="4"/>
      <c r="D35" s="4"/>
      <c r="E35" s="4"/>
      <c r="F35" s="4"/>
      <c r="G35" s="4"/>
      <c r="H35" s="4"/>
      <c r="I35" s="4"/>
    </row>
    <row r="36" spans="1:9" s="98" customFormat="1" ht="15">
      <c r="A36" s="96"/>
      <c r="B36" s="8"/>
      <c r="C36" s="4"/>
      <c r="D36" s="4"/>
      <c r="E36" s="4"/>
      <c r="F36" s="4"/>
      <c r="G36" s="4"/>
      <c r="H36" s="4"/>
      <c r="I36" s="4"/>
    </row>
    <row r="37" spans="1:9" s="98" customFormat="1" ht="15">
      <c r="A37" s="96"/>
      <c r="B37" s="8"/>
      <c r="C37" s="4"/>
      <c r="D37" s="4"/>
      <c r="E37" s="4"/>
      <c r="F37" s="4"/>
      <c r="G37" s="4"/>
      <c r="H37" s="4"/>
      <c r="I37" s="4"/>
    </row>
    <row r="38" spans="1:9" s="98" customFormat="1" ht="15">
      <c r="A38" s="96"/>
      <c r="B38" s="8"/>
      <c r="C38" s="4"/>
      <c r="D38" s="4"/>
      <c r="E38" s="4"/>
      <c r="F38" s="4"/>
      <c r="G38" s="4"/>
      <c r="H38" s="4"/>
      <c r="I38" s="4"/>
    </row>
    <row r="39" spans="1:9" s="98" customFormat="1" ht="15">
      <c r="A39" s="96"/>
      <c r="B39" s="8"/>
      <c r="C39" s="4"/>
      <c r="D39" s="4"/>
      <c r="E39" s="4"/>
      <c r="F39" s="4"/>
      <c r="G39" s="4"/>
      <c r="H39" s="4"/>
      <c r="I39" s="4"/>
    </row>
    <row r="40" spans="1:9" s="98" customFormat="1" ht="15">
      <c r="A40" s="96"/>
      <c r="B40" s="8"/>
      <c r="C40" s="4"/>
      <c r="D40" s="4"/>
      <c r="E40" s="4"/>
      <c r="F40" s="4"/>
      <c r="G40" s="4"/>
      <c r="H40" s="4"/>
      <c r="I40" s="4"/>
    </row>
    <row r="41" spans="1:9" s="101" customFormat="1" ht="15">
      <c r="A41" s="100"/>
      <c r="B41" s="8"/>
      <c r="C41" s="4"/>
      <c r="D41" s="4"/>
      <c r="E41" s="4"/>
      <c r="F41" s="4"/>
      <c r="G41" s="4"/>
      <c r="H41" s="4"/>
      <c r="I41" s="4"/>
    </row>
    <row r="42" spans="1:9" s="98" customFormat="1" ht="15">
      <c r="A42" s="99"/>
      <c r="B42" s="8"/>
      <c r="C42" s="4"/>
      <c r="D42" s="4"/>
      <c r="E42" s="4"/>
      <c r="F42" s="4"/>
      <c r="G42" s="4"/>
      <c r="H42" s="4"/>
      <c r="I42" s="4"/>
    </row>
    <row r="43" spans="1:9" s="101" customFormat="1" ht="15">
      <c r="A43" s="100"/>
      <c r="B43" s="8"/>
      <c r="C43" s="4"/>
      <c r="D43" s="4"/>
      <c r="E43" s="4"/>
      <c r="F43" s="4"/>
      <c r="G43" s="4"/>
      <c r="H43" s="4"/>
      <c r="I43" s="4"/>
    </row>
    <row r="44" spans="1:9" s="98" customFormat="1" ht="15">
      <c r="A44" s="96"/>
      <c r="B44" s="8"/>
      <c r="C44" s="4"/>
      <c r="D44" s="4"/>
      <c r="E44" s="4"/>
      <c r="F44" s="4"/>
      <c r="G44" s="4"/>
      <c r="H44" s="4"/>
      <c r="I44" s="4"/>
    </row>
    <row r="45" spans="1:9" s="101" customFormat="1" ht="15">
      <c r="A45" s="100"/>
      <c r="B45" s="8"/>
      <c r="C45" s="4"/>
      <c r="D45" s="4"/>
      <c r="E45" s="4"/>
      <c r="F45" s="4"/>
      <c r="G45" s="4"/>
      <c r="H45" s="4"/>
      <c r="I45" s="4"/>
    </row>
    <row r="46" spans="1:9" s="98" customFormat="1" ht="15">
      <c r="A46" s="96"/>
      <c r="B46" s="8"/>
      <c r="C46" s="4"/>
      <c r="D46" s="4"/>
      <c r="E46" s="4"/>
      <c r="F46" s="4"/>
      <c r="G46" s="4"/>
      <c r="H46" s="4"/>
      <c r="I46" s="4"/>
    </row>
    <row r="47" spans="1:9" s="101" customFormat="1" ht="15">
      <c r="A47" s="100"/>
      <c r="B47" s="8"/>
      <c r="C47" s="4"/>
      <c r="D47" s="4"/>
      <c r="E47" s="4"/>
      <c r="F47" s="4"/>
      <c r="G47" s="4"/>
      <c r="H47" s="4"/>
      <c r="I47" s="4"/>
    </row>
    <row r="48" spans="1:9" s="98" customFormat="1" ht="15">
      <c r="A48" s="96"/>
      <c r="B48" s="8"/>
      <c r="C48" s="4"/>
      <c r="D48" s="4"/>
      <c r="E48" s="4"/>
      <c r="F48" s="4"/>
      <c r="G48" s="4"/>
      <c r="H48" s="4"/>
      <c r="I48" s="4"/>
    </row>
    <row r="49" spans="1:9" s="101" customFormat="1" ht="15">
      <c r="A49" s="100"/>
      <c r="B49" s="8"/>
      <c r="C49" s="4"/>
      <c r="D49" s="4"/>
      <c r="E49" s="4"/>
      <c r="F49" s="4"/>
      <c r="G49" s="4"/>
      <c r="H49" s="4"/>
      <c r="I49" s="4"/>
    </row>
    <row r="50" spans="1:9" s="98" customFormat="1" ht="15">
      <c r="A50" s="96"/>
      <c r="B50" s="8"/>
      <c r="C50" s="4"/>
      <c r="D50" s="4"/>
      <c r="E50" s="4"/>
      <c r="F50" s="4"/>
      <c r="G50" s="4"/>
      <c r="H50" s="4"/>
      <c r="I50" s="4"/>
    </row>
    <row r="51" spans="1:9" s="101" customFormat="1" ht="15">
      <c r="A51" s="100"/>
      <c r="B51" s="8"/>
      <c r="C51" s="4"/>
      <c r="D51" s="4"/>
      <c r="E51" s="4"/>
      <c r="F51" s="4"/>
      <c r="G51" s="4"/>
      <c r="H51" s="4"/>
      <c r="I51" s="4"/>
    </row>
    <row r="52" spans="1:9" s="98" customFormat="1" ht="15">
      <c r="A52" s="96"/>
      <c r="B52" s="8"/>
      <c r="C52" s="4"/>
      <c r="D52" s="4"/>
      <c r="E52" s="4"/>
      <c r="F52" s="4"/>
      <c r="G52" s="4"/>
      <c r="H52" s="4"/>
      <c r="I52" s="4"/>
    </row>
    <row r="53" spans="1:9" s="101" customFormat="1" ht="15">
      <c r="A53" s="100"/>
      <c r="B53" s="8"/>
      <c r="C53" s="4"/>
      <c r="D53" s="4"/>
      <c r="E53" s="4"/>
      <c r="F53" s="4"/>
      <c r="G53" s="4"/>
      <c r="H53" s="4"/>
      <c r="I53" s="4"/>
    </row>
    <row r="54" spans="1:9" s="98" customFormat="1" ht="15">
      <c r="A54" s="96"/>
      <c r="B54" s="8"/>
      <c r="C54" s="4"/>
      <c r="D54" s="4"/>
      <c r="E54" s="4"/>
      <c r="F54" s="4"/>
      <c r="G54" s="4"/>
      <c r="H54" s="4"/>
      <c r="I54" s="4"/>
    </row>
    <row r="55" spans="1:9" s="98" customFormat="1" ht="15">
      <c r="A55" s="96"/>
      <c r="B55" s="8"/>
      <c r="C55" s="4"/>
      <c r="D55" s="4"/>
      <c r="E55" s="4"/>
      <c r="F55" s="4"/>
      <c r="G55" s="4"/>
      <c r="H55" s="4"/>
      <c r="I55" s="4"/>
    </row>
    <row r="56" spans="1:9" s="98" customFormat="1" ht="15">
      <c r="A56" s="96"/>
      <c r="B56" s="8"/>
      <c r="C56" s="4"/>
      <c r="D56" s="4"/>
      <c r="E56" s="4"/>
      <c r="F56" s="4"/>
      <c r="G56" s="4"/>
      <c r="H56" s="4"/>
      <c r="I56" s="4"/>
    </row>
    <row r="57" spans="1:9" s="98" customFormat="1" ht="15">
      <c r="A57" s="96"/>
      <c r="B57" s="8"/>
      <c r="C57" s="4"/>
      <c r="D57" s="4"/>
      <c r="E57" s="4"/>
      <c r="F57" s="4"/>
      <c r="G57" s="4"/>
      <c r="H57" s="4"/>
      <c r="I57" s="4"/>
    </row>
    <row r="58" spans="1:9" s="98" customFormat="1" ht="15">
      <c r="A58" s="99"/>
      <c r="B58" s="8"/>
      <c r="C58" s="4"/>
      <c r="D58" s="4"/>
      <c r="E58" s="4"/>
      <c r="F58" s="4"/>
      <c r="G58" s="4"/>
      <c r="H58" s="4"/>
      <c r="I58" s="4"/>
    </row>
    <row r="59" spans="1:9" s="98" customFormat="1" ht="15">
      <c r="A59" s="96"/>
      <c r="B59" s="8"/>
      <c r="C59" s="4"/>
      <c r="D59" s="4"/>
      <c r="E59" s="4"/>
      <c r="F59" s="4"/>
      <c r="G59" s="4"/>
      <c r="H59" s="4"/>
      <c r="I59" s="4"/>
    </row>
    <row r="60" spans="1:9" s="101" customFormat="1" ht="15">
      <c r="A60" s="100"/>
      <c r="B60" s="8"/>
      <c r="C60" s="4"/>
      <c r="D60" s="4"/>
      <c r="E60" s="4"/>
      <c r="F60" s="4"/>
      <c r="G60" s="4"/>
      <c r="H60" s="4"/>
      <c r="I60" s="4"/>
    </row>
    <row r="61" spans="1:9" s="98" customFormat="1" ht="15">
      <c r="A61" s="96"/>
      <c r="B61" s="8"/>
      <c r="C61" s="4"/>
      <c r="D61" s="4"/>
      <c r="E61" s="4"/>
      <c r="F61" s="4"/>
      <c r="G61" s="4"/>
      <c r="H61" s="4"/>
      <c r="I61" s="4"/>
    </row>
    <row r="62" spans="1:9" s="98" customFormat="1" ht="15">
      <c r="A62" s="96"/>
      <c r="B62" s="8"/>
      <c r="C62" s="4"/>
      <c r="D62" s="4"/>
      <c r="E62" s="4"/>
      <c r="F62" s="4"/>
      <c r="G62" s="4"/>
      <c r="H62" s="4"/>
      <c r="I62" s="4"/>
    </row>
    <row r="63" spans="1:9" s="101" customFormat="1" ht="15">
      <c r="A63" s="100"/>
      <c r="B63" s="8"/>
      <c r="C63" s="4"/>
      <c r="D63" s="4"/>
      <c r="E63" s="4"/>
      <c r="F63" s="4"/>
      <c r="G63" s="4"/>
      <c r="H63" s="4"/>
      <c r="I63" s="4"/>
    </row>
    <row r="64" spans="1:9" s="98" customFormat="1" ht="15">
      <c r="A64" s="96"/>
      <c r="B64" s="8"/>
      <c r="C64" s="4"/>
      <c r="D64" s="4"/>
      <c r="E64" s="4"/>
      <c r="F64" s="4"/>
      <c r="G64" s="4"/>
      <c r="H64" s="4"/>
      <c r="I64" s="4"/>
    </row>
    <row r="65" spans="1:9" s="98" customFormat="1" ht="15">
      <c r="A65" s="96"/>
      <c r="B65" s="8"/>
      <c r="C65" s="4"/>
      <c r="D65" s="4"/>
      <c r="E65" s="4"/>
      <c r="F65" s="4"/>
      <c r="G65" s="4"/>
      <c r="H65" s="4"/>
      <c r="I65" s="4"/>
    </row>
    <row r="66" spans="1:9" s="98" customFormat="1" ht="15">
      <c r="A66" s="96"/>
      <c r="B66" s="8"/>
      <c r="C66" s="4"/>
      <c r="D66" s="4"/>
      <c r="E66" s="4"/>
      <c r="F66" s="4"/>
      <c r="G66" s="4"/>
      <c r="H66" s="4"/>
      <c r="I66" s="4"/>
    </row>
    <row r="67" spans="1:9" s="98" customFormat="1" ht="15">
      <c r="A67" s="96"/>
      <c r="B67" s="8"/>
      <c r="C67" s="4"/>
      <c r="D67" s="4"/>
      <c r="E67" s="4"/>
      <c r="F67" s="4"/>
      <c r="G67" s="4"/>
      <c r="H67" s="4"/>
      <c r="I67" s="4"/>
    </row>
    <row r="68" spans="1:9" s="98" customFormat="1" ht="15">
      <c r="A68" s="96"/>
      <c r="B68" s="8"/>
      <c r="C68" s="4"/>
      <c r="D68" s="4"/>
      <c r="E68" s="4"/>
      <c r="F68" s="4"/>
      <c r="G68" s="4"/>
      <c r="H68" s="4"/>
      <c r="I68" s="4"/>
    </row>
    <row r="69" spans="1:9" s="98" customFormat="1" ht="15">
      <c r="A69" s="96"/>
      <c r="B69" s="8"/>
      <c r="C69" s="4"/>
      <c r="D69" s="4"/>
      <c r="E69" s="4"/>
      <c r="F69" s="4"/>
      <c r="G69" s="4"/>
      <c r="H69" s="4"/>
      <c r="I69" s="4"/>
    </row>
    <row r="70" spans="1:9" s="98" customFormat="1" ht="15">
      <c r="A70" s="96"/>
      <c r="B70" s="8"/>
      <c r="C70" s="4"/>
      <c r="D70" s="4"/>
      <c r="E70" s="4"/>
      <c r="F70" s="4"/>
      <c r="G70" s="4"/>
      <c r="H70" s="4"/>
      <c r="I70" s="4"/>
    </row>
    <row r="71" spans="1:9" s="98" customFormat="1" ht="15">
      <c r="A71" s="96"/>
      <c r="B71" s="8"/>
      <c r="C71" s="4"/>
      <c r="D71" s="4"/>
      <c r="E71" s="4"/>
      <c r="F71" s="4"/>
      <c r="G71" s="4"/>
      <c r="H71" s="4"/>
      <c r="I71" s="4"/>
    </row>
    <row r="72" spans="1:9" s="98" customFormat="1" ht="15">
      <c r="A72" s="96"/>
      <c r="B72" s="8"/>
      <c r="C72" s="4"/>
      <c r="D72" s="4"/>
      <c r="E72" s="4"/>
      <c r="F72" s="4"/>
      <c r="G72" s="4"/>
      <c r="H72" s="4"/>
      <c r="I72" s="4"/>
    </row>
    <row r="73" spans="1:9" s="101" customFormat="1" ht="33.75" customHeight="1">
      <c r="A73" s="100"/>
      <c r="B73" s="8"/>
      <c r="C73" s="4"/>
      <c r="D73" s="4"/>
      <c r="E73" s="4"/>
      <c r="F73" s="4"/>
      <c r="G73" s="4"/>
      <c r="H73" s="4"/>
      <c r="I73" s="4"/>
    </row>
    <row r="74" spans="1:9" s="98" customFormat="1" ht="15">
      <c r="A74" s="96"/>
      <c r="B74" s="8"/>
      <c r="C74" s="4"/>
      <c r="D74" s="4"/>
      <c r="E74" s="4"/>
      <c r="F74" s="4"/>
      <c r="G74" s="4"/>
      <c r="H74" s="4"/>
      <c r="I74" s="4"/>
    </row>
    <row r="75" spans="1:9" s="98" customFormat="1" ht="15">
      <c r="A75" s="96"/>
      <c r="B75" s="8"/>
      <c r="C75" s="4"/>
      <c r="D75" s="4"/>
      <c r="E75" s="4"/>
      <c r="F75" s="4"/>
      <c r="G75" s="4"/>
      <c r="H75" s="4"/>
      <c r="I75" s="4"/>
    </row>
    <row r="76" spans="1:9" s="98" customFormat="1" ht="15">
      <c r="A76" s="96"/>
      <c r="B76" s="8"/>
      <c r="C76" s="4"/>
      <c r="D76" s="4"/>
      <c r="E76" s="4"/>
      <c r="F76" s="4"/>
      <c r="G76" s="4"/>
      <c r="H76" s="4"/>
      <c r="I76" s="4"/>
    </row>
    <row r="77" spans="1:9" s="98" customFormat="1" ht="15">
      <c r="A77" s="96"/>
      <c r="B77" s="8"/>
      <c r="C77" s="4"/>
      <c r="D77" s="4"/>
      <c r="E77" s="4"/>
      <c r="F77" s="4"/>
      <c r="G77" s="4"/>
      <c r="H77" s="4"/>
      <c r="I77" s="4"/>
    </row>
    <row r="78" spans="1:9" s="98" customFormat="1" ht="15">
      <c r="A78" s="96"/>
      <c r="B78" s="8"/>
      <c r="C78" s="4"/>
      <c r="D78" s="4"/>
      <c r="E78" s="4"/>
      <c r="F78" s="4"/>
      <c r="G78" s="4"/>
      <c r="H78" s="4"/>
      <c r="I78" s="4"/>
    </row>
    <row r="79" spans="1:9" s="98" customFormat="1" ht="15">
      <c r="A79" s="96"/>
      <c r="B79" s="8"/>
      <c r="C79" s="4"/>
      <c r="D79" s="4"/>
      <c r="E79" s="4"/>
      <c r="F79" s="4"/>
      <c r="G79" s="4"/>
      <c r="H79" s="4"/>
      <c r="I79" s="4"/>
    </row>
    <row r="80" spans="1:9" s="98" customFormat="1" ht="15">
      <c r="A80" s="96"/>
      <c r="B80" s="8"/>
      <c r="C80" s="4"/>
      <c r="D80" s="4"/>
      <c r="E80" s="4"/>
      <c r="F80" s="4"/>
      <c r="G80" s="4"/>
      <c r="H80" s="4"/>
      <c r="I80" s="4"/>
    </row>
    <row r="81" spans="1:9" s="98" customFormat="1" ht="15">
      <c r="A81" s="96"/>
      <c r="B81" s="8"/>
      <c r="C81" s="4"/>
      <c r="D81" s="4"/>
      <c r="E81" s="4"/>
      <c r="F81" s="4"/>
      <c r="G81" s="4"/>
      <c r="H81" s="4"/>
      <c r="I81" s="4"/>
    </row>
    <row r="82" spans="1:9" s="98" customFormat="1" ht="15">
      <c r="A82" s="96"/>
      <c r="B82" s="8"/>
      <c r="C82" s="4"/>
      <c r="D82" s="4"/>
      <c r="E82" s="4"/>
      <c r="F82" s="4"/>
      <c r="G82" s="4"/>
      <c r="H82" s="4"/>
      <c r="I82" s="4"/>
    </row>
    <row r="83" spans="1:9" s="98" customFormat="1" ht="15">
      <c r="A83" s="96"/>
      <c r="B83" s="8"/>
      <c r="C83" s="4"/>
      <c r="D83" s="4"/>
      <c r="E83" s="4"/>
      <c r="F83" s="4"/>
      <c r="G83" s="4"/>
      <c r="H83" s="4"/>
      <c r="I83" s="4"/>
    </row>
    <row r="84" spans="1:9" s="98" customFormat="1" ht="15">
      <c r="A84" s="96"/>
      <c r="B84" s="8"/>
      <c r="C84" s="4"/>
      <c r="D84" s="4"/>
      <c r="E84" s="4"/>
      <c r="F84" s="4"/>
      <c r="G84" s="4"/>
      <c r="H84" s="4"/>
      <c r="I84" s="4"/>
    </row>
    <row r="85" spans="1:9" s="98" customFormat="1" ht="15">
      <c r="A85" s="96"/>
      <c r="B85" s="8"/>
      <c r="C85" s="4"/>
      <c r="D85" s="4"/>
      <c r="E85" s="4"/>
      <c r="F85" s="4"/>
      <c r="G85" s="4"/>
      <c r="H85" s="4"/>
      <c r="I85" s="4"/>
    </row>
    <row r="86" spans="1:9" s="98" customFormat="1" ht="15">
      <c r="A86" s="96"/>
      <c r="B86" s="8"/>
      <c r="C86" s="4"/>
      <c r="D86" s="4"/>
      <c r="E86" s="4"/>
      <c r="F86" s="4"/>
      <c r="G86" s="4"/>
      <c r="H86" s="4"/>
      <c r="I86" s="4"/>
    </row>
    <row r="87" spans="1:9" s="98" customFormat="1" ht="15">
      <c r="A87" s="96"/>
      <c r="B87" s="8"/>
      <c r="C87" s="4"/>
      <c r="D87" s="4"/>
      <c r="E87" s="4"/>
      <c r="F87" s="4"/>
      <c r="G87" s="4"/>
      <c r="H87" s="4"/>
      <c r="I87" s="4"/>
    </row>
    <row r="88" spans="1:9" s="98" customFormat="1" ht="15">
      <c r="A88" s="96"/>
      <c r="B88" s="8"/>
      <c r="C88" s="4"/>
      <c r="D88" s="4"/>
      <c r="E88" s="4"/>
      <c r="F88" s="4"/>
      <c r="G88" s="4"/>
      <c r="H88" s="4"/>
      <c r="I88" s="4"/>
    </row>
    <row r="89" spans="1:9" s="98" customFormat="1" ht="15">
      <c r="A89" s="96"/>
      <c r="B89" s="8"/>
      <c r="C89" s="4"/>
      <c r="D89" s="4"/>
      <c r="E89" s="4"/>
      <c r="F89" s="4"/>
      <c r="G89" s="4"/>
      <c r="H89" s="4"/>
      <c r="I89" s="4"/>
    </row>
    <row r="90" spans="1:9" s="98" customFormat="1" ht="15">
      <c r="A90" s="96"/>
      <c r="B90" s="8"/>
      <c r="C90" s="4"/>
      <c r="D90" s="4"/>
      <c r="E90" s="4"/>
      <c r="F90" s="4"/>
      <c r="G90" s="4"/>
      <c r="H90" s="4"/>
      <c r="I90" s="4"/>
    </row>
    <row r="91" spans="1:9" s="98" customFormat="1" ht="15">
      <c r="A91" s="96"/>
      <c r="B91" s="8"/>
      <c r="C91" s="4"/>
      <c r="D91" s="4"/>
      <c r="E91" s="4"/>
      <c r="F91" s="4"/>
      <c r="G91" s="4"/>
      <c r="H91" s="4"/>
      <c r="I91" s="4"/>
    </row>
    <row r="92" spans="1:9" s="98" customFormat="1" ht="15">
      <c r="A92" s="96"/>
      <c r="B92" s="8"/>
      <c r="C92" s="4"/>
      <c r="D92" s="4"/>
      <c r="E92" s="4"/>
      <c r="F92" s="4"/>
      <c r="G92" s="4"/>
      <c r="H92" s="4"/>
      <c r="I92" s="4"/>
    </row>
    <row r="93" spans="1:9" s="98" customFormat="1" ht="15">
      <c r="A93" s="96"/>
      <c r="B93" s="8"/>
      <c r="C93" s="4"/>
      <c r="D93" s="4"/>
      <c r="E93" s="4"/>
      <c r="F93" s="4"/>
      <c r="G93" s="4"/>
      <c r="H93" s="4"/>
      <c r="I93" s="4"/>
    </row>
    <row r="94" spans="1:9" s="98" customFormat="1" ht="15">
      <c r="A94" s="96"/>
      <c r="B94" s="8"/>
      <c r="C94" s="4"/>
      <c r="D94" s="4"/>
      <c r="E94" s="4"/>
      <c r="F94" s="4"/>
      <c r="G94" s="4"/>
      <c r="H94" s="4"/>
      <c r="I94" s="4"/>
    </row>
    <row r="95" spans="1:9" s="101" customFormat="1" ht="15">
      <c r="A95" s="100"/>
      <c r="B95" s="8"/>
      <c r="C95" s="4"/>
      <c r="D95" s="4"/>
      <c r="E95" s="4"/>
      <c r="F95" s="4"/>
      <c r="G95" s="4"/>
      <c r="H95" s="4"/>
      <c r="I95" s="4"/>
    </row>
    <row r="96" spans="1:9" s="98" customFormat="1" ht="15">
      <c r="A96" s="96"/>
      <c r="B96" s="8"/>
      <c r="C96" s="4"/>
      <c r="D96" s="4"/>
      <c r="E96" s="4"/>
      <c r="F96" s="4"/>
      <c r="G96" s="4"/>
      <c r="H96" s="4"/>
      <c r="I96" s="4"/>
    </row>
    <row r="97" spans="1:9" s="98" customFormat="1" ht="15">
      <c r="A97" s="96"/>
      <c r="B97" s="8"/>
      <c r="C97" s="4"/>
      <c r="D97" s="4"/>
      <c r="E97" s="4"/>
      <c r="F97" s="4"/>
      <c r="G97" s="4"/>
      <c r="H97" s="4"/>
      <c r="I97" s="4"/>
    </row>
    <row r="98" spans="1:9" s="101" customFormat="1" ht="15">
      <c r="A98" s="100"/>
      <c r="B98" s="8"/>
      <c r="C98" s="4"/>
      <c r="D98" s="4"/>
      <c r="E98" s="4"/>
      <c r="F98" s="4"/>
      <c r="G98" s="4"/>
      <c r="H98" s="4"/>
      <c r="I98" s="4"/>
    </row>
    <row r="99" spans="1:9" s="98" customFormat="1" ht="15">
      <c r="A99" s="96"/>
      <c r="B99" s="8"/>
      <c r="C99" s="4"/>
      <c r="D99" s="4"/>
      <c r="E99" s="4"/>
      <c r="F99" s="4"/>
      <c r="G99" s="4"/>
      <c r="H99" s="4"/>
      <c r="I99" s="4"/>
    </row>
    <row r="100" spans="1:9" s="98" customFormat="1" ht="15">
      <c r="A100" s="96"/>
      <c r="B100" s="8"/>
      <c r="C100" s="4"/>
      <c r="D100" s="4"/>
      <c r="E100" s="4"/>
      <c r="F100" s="4"/>
      <c r="G100" s="4"/>
      <c r="H100" s="4"/>
      <c r="I100" s="4"/>
    </row>
    <row r="101" spans="1:9" s="101" customFormat="1" ht="15">
      <c r="A101" s="100"/>
      <c r="B101" s="8"/>
      <c r="C101" s="4"/>
      <c r="D101" s="4"/>
      <c r="E101" s="4"/>
      <c r="F101" s="4"/>
      <c r="G101" s="4"/>
      <c r="H101" s="4"/>
      <c r="I101" s="4"/>
    </row>
    <row r="102" spans="1:9" s="98" customFormat="1" ht="15">
      <c r="A102" s="96"/>
      <c r="B102" s="8"/>
      <c r="C102" s="4"/>
      <c r="D102" s="4"/>
      <c r="E102" s="4"/>
      <c r="F102" s="4"/>
      <c r="G102" s="4"/>
      <c r="H102" s="4"/>
      <c r="I102" s="4"/>
    </row>
    <row r="103" spans="1:9" s="98" customFormat="1" ht="15">
      <c r="A103" s="96"/>
      <c r="B103" s="8"/>
      <c r="C103" s="4"/>
      <c r="D103" s="4"/>
      <c r="E103" s="4"/>
      <c r="F103" s="4"/>
      <c r="G103" s="4"/>
      <c r="H103" s="4"/>
      <c r="I103" s="4"/>
    </row>
    <row r="104" spans="1:9" s="101" customFormat="1" ht="15">
      <c r="A104" s="100"/>
      <c r="B104" s="8"/>
      <c r="C104" s="4"/>
      <c r="D104" s="4"/>
      <c r="E104" s="4"/>
      <c r="F104" s="4"/>
      <c r="G104" s="4"/>
      <c r="H104" s="4"/>
      <c r="I104" s="4"/>
    </row>
    <row r="105" spans="1:9" s="98" customFormat="1" ht="15">
      <c r="A105" s="96"/>
      <c r="B105" s="8"/>
      <c r="C105" s="4"/>
      <c r="D105" s="4"/>
      <c r="E105" s="4"/>
      <c r="F105" s="4"/>
      <c r="G105" s="4"/>
      <c r="H105" s="4"/>
      <c r="I105" s="4"/>
    </row>
    <row r="106" spans="1:9" s="98" customFormat="1" ht="15">
      <c r="A106" s="96"/>
      <c r="B106" s="8"/>
      <c r="C106" s="4"/>
      <c r="D106" s="4"/>
      <c r="E106" s="4"/>
      <c r="F106" s="4"/>
      <c r="G106" s="4"/>
      <c r="H106" s="4"/>
      <c r="I106" s="4"/>
    </row>
    <row r="107" spans="1:9" s="101" customFormat="1" ht="15">
      <c r="A107" s="100"/>
      <c r="B107" s="8"/>
      <c r="C107" s="4"/>
      <c r="D107" s="4"/>
      <c r="E107" s="4"/>
      <c r="F107" s="4"/>
      <c r="G107" s="4"/>
      <c r="H107" s="4"/>
      <c r="I107" s="4"/>
    </row>
    <row r="108" spans="1:9" s="98" customFormat="1" ht="15">
      <c r="A108" s="96"/>
      <c r="B108" s="8"/>
      <c r="C108" s="4"/>
      <c r="D108" s="4"/>
      <c r="E108" s="4"/>
      <c r="F108" s="4"/>
      <c r="G108" s="4"/>
      <c r="H108" s="4"/>
      <c r="I108" s="4"/>
    </row>
    <row r="109" spans="1:9" s="98" customFormat="1" ht="15">
      <c r="A109" s="96"/>
      <c r="B109" s="8"/>
      <c r="C109" s="4"/>
      <c r="D109" s="4"/>
      <c r="E109" s="4"/>
      <c r="F109" s="4"/>
      <c r="G109" s="4"/>
      <c r="H109" s="4"/>
      <c r="I109" s="4"/>
    </row>
    <row r="110" spans="1:9" s="101" customFormat="1" ht="15">
      <c r="A110" s="100"/>
      <c r="B110" s="8"/>
      <c r="C110" s="4"/>
      <c r="D110" s="4"/>
      <c r="E110" s="4"/>
      <c r="F110" s="4"/>
      <c r="G110" s="4"/>
      <c r="H110" s="4"/>
      <c r="I110" s="4"/>
    </row>
    <row r="111" spans="1:9" s="98" customFormat="1" ht="15">
      <c r="A111" s="96"/>
      <c r="B111" s="8"/>
      <c r="C111" s="4"/>
      <c r="D111" s="4"/>
      <c r="E111" s="4"/>
      <c r="F111" s="4"/>
      <c r="G111" s="4"/>
      <c r="H111" s="4"/>
      <c r="I111" s="4"/>
    </row>
    <row r="112" spans="1:9" s="98" customFormat="1" ht="15">
      <c r="A112" s="96"/>
      <c r="B112" s="8"/>
      <c r="C112" s="4"/>
      <c r="D112" s="4"/>
      <c r="E112" s="4"/>
      <c r="F112" s="4"/>
      <c r="G112" s="4"/>
      <c r="H112" s="4"/>
      <c r="I112" s="4"/>
    </row>
    <row r="113" spans="1:9" s="101" customFormat="1" ht="15">
      <c r="A113" s="100"/>
      <c r="B113" s="8"/>
      <c r="C113" s="4"/>
      <c r="D113" s="4"/>
      <c r="E113" s="4"/>
      <c r="F113" s="4"/>
      <c r="G113" s="4"/>
      <c r="H113" s="4"/>
      <c r="I113" s="4"/>
    </row>
    <row r="114" spans="1:9" s="98" customFormat="1" ht="15">
      <c r="A114" s="96"/>
      <c r="B114" s="8"/>
      <c r="C114" s="4"/>
      <c r="D114" s="4"/>
      <c r="E114" s="4"/>
      <c r="F114" s="4"/>
      <c r="G114" s="4"/>
      <c r="H114" s="4"/>
      <c r="I114" s="4"/>
    </row>
    <row r="115" spans="1:9" s="98" customFormat="1" ht="15">
      <c r="A115" s="96"/>
      <c r="B115" s="8"/>
      <c r="C115" s="4"/>
      <c r="D115" s="4"/>
      <c r="E115" s="4"/>
      <c r="F115" s="4"/>
      <c r="G115" s="4"/>
      <c r="H115" s="4"/>
      <c r="I115" s="4"/>
    </row>
    <row r="116" spans="1:9" s="101" customFormat="1" ht="15">
      <c r="A116" s="100"/>
      <c r="B116" s="8"/>
      <c r="C116" s="4"/>
      <c r="D116" s="4"/>
      <c r="E116" s="4"/>
      <c r="F116" s="4"/>
      <c r="G116" s="4"/>
      <c r="H116" s="4"/>
      <c r="I116" s="4"/>
    </row>
    <row r="117" spans="1:9" s="98" customFormat="1" ht="15">
      <c r="A117" s="96"/>
      <c r="B117" s="8"/>
      <c r="C117" s="4"/>
      <c r="D117" s="4"/>
      <c r="E117" s="4"/>
      <c r="F117" s="4"/>
      <c r="G117" s="4"/>
      <c r="H117" s="4"/>
      <c r="I117" s="4"/>
    </row>
    <row r="118" spans="1:9" s="98" customFormat="1" ht="15">
      <c r="A118" s="96"/>
      <c r="B118" s="8"/>
      <c r="C118" s="4"/>
      <c r="D118" s="4"/>
      <c r="E118" s="4"/>
      <c r="F118" s="4"/>
      <c r="G118" s="4"/>
      <c r="H118" s="4"/>
      <c r="I118" s="4"/>
    </row>
    <row r="119" spans="1:9" s="101" customFormat="1" ht="15">
      <c r="A119" s="100"/>
      <c r="B119" s="8"/>
      <c r="C119" s="4"/>
      <c r="D119" s="4"/>
      <c r="E119" s="4"/>
      <c r="F119" s="4"/>
      <c r="G119" s="4"/>
      <c r="H119" s="4"/>
      <c r="I119" s="4"/>
    </row>
    <row r="120" spans="1:9" s="98" customFormat="1" ht="15">
      <c r="A120" s="96"/>
      <c r="B120" s="8"/>
      <c r="C120" s="4"/>
      <c r="D120" s="4"/>
      <c r="E120" s="4"/>
      <c r="F120" s="4"/>
      <c r="G120" s="4"/>
      <c r="H120" s="4"/>
      <c r="I120" s="4"/>
    </row>
    <row r="121" spans="1:9" s="98" customFormat="1" ht="15">
      <c r="A121" s="96"/>
      <c r="B121" s="8"/>
      <c r="C121" s="4"/>
      <c r="D121" s="4"/>
      <c r="E121" s="4"/>
      <c r="F121" s="4"/>
      <c r="G121" s="4"/>
      <c r="H121" s="4"/>
      <c r="I121" s="4"/>
    </row>
    <row r="122" spans="1:9" s="101" customFormat="1" ht="15">
      <c r="A122" s="100"/>
      <c r="B122" s="8"/>
      <c r="C122" s="4"/>
      <c r="D122" s="4"/>
      <c r="E122" s="4"/>
      <c r="F122" s="4"/>
      <c r="G122" s="4"/>
      <c r="H122" s="4"/>
      <c r="I122" s="4"/>
    </row>
    <row r="123" spans="1:9" s="98" customFormat="1" ht="15">
      <c r="A123" s="96"/>
      <c r="B123" s="8"/>
      <c r="C123" s="4"/>
      <c r="D123" s="4"/>
      <c r="E123" s="4"/>
      <c r="F123" s="4"/>
      <c r="G123" s="4"/>
      <c r="H123" s="4"/>
      <c r="I123" s="4"/>
    </row>
    <row r="124" spans="1:9" s="98" customFormat="1" ht="15">
      <c r="A124" s="96"/>
      <c r="B124" s="8"/>
      <c r="C124" s="4"/>
      <c r="D124" s="4"/>
      <c r="E124" s="4"/>
      <c r="F124" s="4"/>
      <c r="G124" s="4"/>
      <c r="H124" s="4"/>
      <c r="I124" s="4"/>
    </row>
    <row r="125" spans="1:9" s="101" customFormat="1" ht="15">
      <c r="A125" s="100"/>
      <c r="B125" s="8"/>
      <c r="C125" s="4"/>
      <c r="D125" s="4"/>
      <c r="E125" s="4"/>
      <c r="F125" s="4"/>
      <c r="G125" s="4"/>
      <c r="H125" s="4"/>
      <c r="I125" s="4"/>
    </row>
    <row r="126" spans="1:9" s="98" customFormat="1" ht="15">
      <c r="A126" s="96"/>
      <c r="B126" s="8"/>
      <c r="C126" s="4"/>
      <c r="D126" s="4"/>
      <c r="E126" s="4"/>
      <c r="F126" s="4"/>
      <c r="G126" s="4"/>
      <c r="H126" s="4"/>
      <c r="I126" s="4"/>
    </row>
    <row r="127" spans="1:9" s="98" customFormat="1" ht="15">
      <c r="A127" s="96"/>
      <c r="B127" s="8"/>
      <c r="C127" s="4"/>
      <c r="D127" s="4"/>
      <c r="E127" s="4"/>
      <c r="F127" s="4"/>
      <c r="G127" s="4"/>
      <c r="H127" s="4"/>
      <c r="I127" s="4"/>
    </row>
    <row r="128" spans="1:9" s="101" customFormat="1" ht="15">
      <c r="A128" s="100"/>
      <c r="B128" s="8"/>
      <c r="C128" s="4"/>
      <c r="D128" s="4"/>
      <c r="E128" s="4"/>
      <c r="F128" s="4"/>
      <c r="G128" s="4"/>
      <c r="H128" s="4"/>
      <c r="I128" s="4"/>
    </row>
    <row r="129" spans="1:9" s="98" customFormat="1" ht="15">
      <c r="A129" s="96"/>
      <c r="B129" s="8"/>
      <c r="C129" s="4"/>
      <c r="D129" s="4"/>
      <c r="E129" s="4"/>
      <c r="F129" s="4"/>
      <c r="G129" s="4"/>
      <c r="H129" s="4"/>
      <c r="I129" s="4"/>
    </row>
    <row r="130" spans="1:9" s="98" customFormat="1" ht="15">
      <c r="A130" s="96"/>
      <c r="B130" s="8"/>
      <c r="C130" s="4"/>
      <c r="D130" s="4"/>
      <c r="E130" s="4"/>
      <c r="F130" s="4"/>
      <c r="G130" s="4"/>
      <c r="H130" s="4"/>
      <c r="I130" s="4"/>
    </row>
    <row r="131" spans="1:9" s="101" customFormat="1" ht="15">
      <c r="A131" s="100"/>
      <c r="B131" s="8"/>
      <c r="C131" s="4"/>
      <c r="D131" s="4"/>
      <c r="E131" s="4"/>
      <c r="F131" s="4"/>
      <c r="G131" s="4"/>
      <c r="H131" s="4"/>
      <c r="I131" s="4"/>
    </row>
    <row r="132" spans="1:9" s="98" customFormat="1" ht="15">
      <c r="A132" s="96"/>
      <c r="B132" s="8"/>
      <c r="C132" s="4"/>
      <c r="D132" s="4"/>
      <c r="E132" s="4"/>
      <c r="F132" s="4"/>
      <c r="G132" s="4"/>
      <c r="H132" s="4"/>
      <c r="I132" s="4"/>
    </row>
    <row r="133" spans="1:9" s="98" customFormat="1" ht="15">
      <c r="A133" s="96"/>
      <c r="B133" s="8"/>
      <c r="C133" s="4"/>
      <c r="D133" s="4"/>
      <c r="E133" s="4"/>
      <c r="F133" s="4"/>
      <c r="G133" s="4"/>
      <c r="H133" s="4"/>
      <c r="I133" s="4"/>
    </row>
    <row r="134" spans="1:9" s="101" customFormat="1" ht="15">
      <c r="A134" s="100"/>
      <c r="B134" s="8"/>
      <c r="C134" s="4"/>
      <c r="D134" s="4"/>
      <c r="E134" s="4"/>
      <c r="F134" s="4"/>
      <c r="G134" s="4"/>
      <c r="H134" s="4"/>
      <c r="I134" s="4"/>
    </row>
    <row r="135" spans="1:9" s="98" customFormat="1" ht="15">
      <c r="A135" s="96"/>
      <c r="B135" s="8"/>
      <c r="C135" s="4"/>
      <c r="D135" s="4"/>
      <c r="E135" s="4"/>
      <c r="F135" s="4"/>
      <c r="G135" s="4"/>
      <c r="H135" s="4"/>
      <c r="I135" s="4"/>
    </row>
    <row r="136" spans="1:9" s="98" customFormat="1" ht="15">
      <c r="A136" s="96"/>
      <c r="B136" s="8"/>
      <c r="C136" s="4"/>
      <c r="D136" s="4"/>
      <c r="E136" s="4"/>
      <c r="F136" s="4"/>
      <c r="G136" s="4"/>
      <c r="H136" s="4"/>
      <c r="I136" s="4"/>
    </row>
    <row r="137" spans="1:9" s="101" customFormat="1" ht="15">
      <c r="A137" s="100"/>
      <c r="B137" s="8"/>
      <c r="C137" s="4"/>
      <c r="D137" s="4"/>
      <c r="E137" s="4"/>
      <c r="F137" s="4"/>
      <c r="G137" s="4"/>
      <c r="H137" s="4"/>
      <c r="I137" s="4"/>
    </row>
    <row r="138" spans="1:9" s="101" customFormat="1" ht="15">
      <c r="A138" s="100"/>
      <c r="B138" s="8"/>
      <c r="C138" s="4"/>
      <c r="D138" s="4"/>
      <c r="E138" s="4"/>
      <c r="F138" s="4"/>
      <c r="G138" s="4"/>
      <c r="H138" s="4"/>
      <c r="I138" s="4"/>
    </row>
    <row r="139" spans="1:9" s="98" customFormat="1" ht="15">
      <c r="A139" s="96"/>
      <c r="B139" s="8"/>
      <c r="C139" s="4"/>
      <c r="D139" s="4"/>
      <c r="E139" s="4"/>
      <c r="F139" s="4"/>
      <c r="G139" s="4"/>
      <c r="H139" s="4"/>
      <c r="I139" s="4"/>
    </row>
    <row r="140" spans="1:9" s="101" customFormat="1" ht="15">
      <c r="A140" s="100"/>
      <c r="B140" s="8"/>
      <c r="C140" s="4"/>
      <c r="D140" s="4"/>
      <c r="E140" s="4"/>
      <c r="F140" s="4"/>
      <c r="G140" s="4"/>
      <c r="H140" s="4"/>
      <c r="I140" s="4"/>
    </row>
    <row r="141" spans="1:9" s="98" customFormat="1" ht="15">
      <c r="A141" s="96"/>
      <c r="B141" s="8"/>
      <c r="C141" s="4"/>
      <c r="D141" s="4"/>
      <c r="E141" s="4"/>
      <c r="F141" s="4"/>
      <c r="G141" s="4"/>
      <c r="H141" s="4"/>
      <c r="I141" s="4"/>
    </row>
    <row r="142" spans="1:9" s="98" customFormat="1" ht="15">
      <c r="A142" s="96"/>
      <c r="B142" s="8"/>
      <c r="C142" s="4"/>
      <c r="D142" s="4"/>
      <c r="E142" s="4"/>
      <c r="F142" s="4"/>
      <c r="G142" s="4"/>
      <c r="H142" s="4"/>
      <c r="I142" s="4"/>
    </row>
    <row r="143" spans="1:9" s="101" customFormat="1" ht="15">
      <c r="A143" s="100"/>
      <c r="B143" s="8"/>
      <c r="C143" s="4"/>
      <c r="D143" s="4"/>
      <c r="E143" s="4"/>
      <c r="F143" s="4"/>
      <c r="G143" s="4"/>
      <c r="H143" s="4"/>
      <c r="I143" s="4"/>
    </row>
    <row r="144" spans="1:9" s="98" customFormat="1" ht="15">
      <c r="A144" s="96"/>
      <c r="B144" s="8"/>
      <c r="C144" s="4"/>
      <c r="D144" s="4"/>
      <c r="E144" s="4"/>
      <c r="F144" s="4"/>
      <c r="G144" s="4"/>
      <c r="H144" s="4"/>
      <c r="I144" s="4"/>
    </row>
    <row r="145" spans="1:9" s="98" customFormat="1" ht="15">
      <c r="A145" s="96"/>
      <c r="B145" s="8"/>
      <c r="C145" s="4"/>
      <c r="D145" s="4"/>
      <c r="E145" s="4"/>
      <c r="F145" s="4"/>
      <c r="G145" s="4"/>
      <c r="H145" s="4"/>
      <c r="I145" s="4"/>
    </row>
    <row r="146" spans="1:9" s="101" customFormat="1" ht="15">
      <c r="A146" s="100"/>
      <c r="B146" s="8"/>
      <c r="C146" s="4"/>
      <c r="D146" s="4"/>
      <c r="E146" s="4"/>
      <c r="F146" s="4"/>
      <c r="G146" s="4"/>
      <c r="H146" s="4"/>
      <c r="I146" s="4"/>
    </row>
    <row r="147" spans="1:9" s="98" customFormat="1" ht="15">
      <c r="A147" s="96"/>
      <c r="B147" s="8"/>
      <c r="C147" s="4"/>
      <c r="D147" s="4"/>
      <c r="E147" s="4"/>
      <c r="F147" s="4"/>
      <c r="G147" s="4"/>
      <c r="H147" s="4"/>
      <c r="I147" s="4"/>
    </row>
    <row r="148" spans="1:9" s="98" customFormat="1" ht="15">
      <c r="A148" s="96"/>
      <c r="B148" s="8"/>
      <c r="C148" s="4"/>
      <c r="D148" s="4"/>
      <c r="E148" s="4"/>
      <c r="F148" s="4"/>
      <c r="G148" s="4"/>
      <c r="H148" s="4"/>
      <c r="I148" s="4"/>
    </row>
    <row r="149" spans="1:9" s="98" customFormat="1" ht="15">
      <c r="A149" s="96"/>
      <c r="B149" s="8"/>
      <c r="C149" s="4"/>
      <c r="D149" s="4"/>
      <c r="E149" s="4"/>
      <c r="F149" s="4"/>
      <c r="G149" s="4"/>
      <c r="H149" s="4"/>
      <c r="I149" s="4"/>
    </row>
    <row r="150" spans="1:9" s="98" customFormat="1" ht="15">
      <c r="A150" s="96"/>
      <c r="B150" s="8"/>
      <c r="C150" s="4"/>
      <c r="D150" s="4"/>
      <c r="E150" s="4"/>
      <c r="F150" s="4"/>
      <c r="G150" s="4"/>
      <c r="H150" s="4"/>
      <c r="I150" s="4"/>
    </row>
    <row r="151" spans="1:9" s="98" customFormat="1" ht="15">
      <c r="A151" s="96"/>
      <c r="B151" s="8"/>
      <c r="C151" s="4"/>
      <c r="D151" s="4"/>
      <c r="E151" s="4"/>
      <c r="F151" s="4"/>
      <c r="G151" s="4"/>
      <c r="H151" s="4"/>
      <c r="I151" s="4"/>
    </row>
    <row r="152" spans="1:9" s="98" customFormat="1" ht="15">
      <c r="A152" s="96"/>
      <c r="B152" s="8"/>
      <c r="C152" s="4"/>
      <c r="D152" s="4"/>
      <c r="E152" s="4"/>
      <c r="F152" s="4"/>
      <c r="G152" s="4"/>
      <c r="H152" s="4"/>
      <c r="I152" s="4"/>
    </row>
    <row r="153" spans="1:9" s="98" customFormat="1" ht="15">
      <c r="A153" s="96"/>
      <c r="B153" s="8"/>
      <c r="C153" s="4"/>
      <c r="D153" s="4"/>
      <c r="E153" s="4"/>
      <c r="F153" s="4"/>
      <c r="G153" s="4"/>
      <c r="H153" s="4"/>
      <c r="I153" s="4"/>
    </row>
    <row r="154" spans="1:9" s="98" customFormat="1" ht="15">
      <c r="A154" s="96"/>
      <c r="B154" s="8"/>
      <c r="C154" s="4"/>
      <c r="D154" s="4"/>
      <c r="E154" s="4"/>
      <c r="F154" s="4"/>
      <c r="G154" s="4"/>
      <c r="H154" s="4"/>
      <c r="I154" s="4"/>
    </row>
    <row r="155" spans="1:9" s="98" customFormat="1" ht="15">
      <c r="A155" s="96"/>
      <c r="B155" s="8"/>
      <c r="C155" s="4"/>
      <c r="D155" s="4"/>
      <c r="E155" s="4"/>
      <c r="F155" s="4"/>
      <c r="G155" s="4"/>
      <c r="H155" s="4"/>
      <c r="I155" s="4"/>
    </row>
    <row r="156" spans="1:9" s="98" customFormat="1" ht="15">
      <c r="A156" s="96"/>
      <c r="B156" s="8"/>
      <c r="C156" s="4"/>
      <c r="D156" s="4"/>
      <c r="E156" s="4"/>
      <c r="F156" s="4"/>
      <c r="G156" s="4"/>
      <c r="H156" s="4"/>
      <c r="I156" s="4"/>
    </row>
    <row r="157" spans="1:9" s="98" customFormat="1" ht="15">
      <c r="A157" s="96"/>
      <c r="B157" s="8"/>
      <c r="C157" s="4"/>
      <c r="D157" s="4"/>
      <c r="E157" s="4"/>
      <c r="F157" s="4"/>
      <c r="G157" s="4"/>
      <c r="H157" s="4"/>
      <c r="I157" s="4"/>
    </row>
    <row r="158" spans="1:9" s="98" customFormat="1" ht="15">
      <c r="A158" s="96"/>
      <c r="B158" s="8"/>
      <c r="C158" s="4"/>
      <c r="D158" s="4"/>
      <c r="E158" s="4"/>
      <c r="F158" s="4"/>
      <c r="G158" s="4"/>
      <c r="H158" s="4"/>
      <c r="I158" s="4"/>
    </row>
    <row r="159" spans="1:9" s="98" customFormat="1" ht="15">
      <c r="A159" s="96"/>
      <c r="B159" s="8"/>
      <c r="C159" s="4"/>
      <c r="D159" s="4"/>
      <c r="E159" s="4"/>
      <c r="F159" s="4"/>
      <c r="G159" s="4"/>
      <c r="H159" s="4"/>
      <c r="I159" s="4"/>
    </row>
    <row r="160" spans="1:9" s="98" customFormat="1" ht="15">
      <c r="A160" s="96"/>
      <c r="B160" s="8"/>
      <c r="C160" s="4"/>
      <c r="D160" s="4"/>
      <c r="E160" s="4"/>
      <c r="F160" s="4"/>
      <c r="G160" s="4"/>
      <c r="H160" s="4"/>
      <c r="I160" s="4"/>
    </row>
    <row r="161" spans="1:9" s="98" customFormat="1" ht="15">
      <c r="A161" s="96"/>
      <c r="B161" s="8"/>
      <c r="C161" s="4"/>
      <c r="D161" s="4"/>
      <c r="E161" s="4"/>
      <c r="F161" s="4"/>
      <c r="G161" s="4"/>
      <c r="H161" s="4"/>
      <c r="I161" s="4"/>
    </row>
    <row r="162" spans="1:9" s="98" customFormat="1" ht="15">
      <c r="A162" s="96"/>
      <c r="B162" s="8"/>
      <c r="C162" s="4"/>
      <c r="D162" s="4"/>
      <c r="E162" s="4"/>
      <c r="F162" s="4"/>
      <c r="G162" s="4"/>
      <c r="H162" s="4"/>
      <c r="I162" s="4"/>
    </row>
    <row r="163" spans="1:9" s="98" customFormat="1" ht="15">
      <c r="A163" s="96"/>
      <c r="B163" s="8"/>
      <c r="C163" s="4"/>
      <c r="D163" s="4"/>
      <c r="E163" s="4"/>
      <c r="F163" s="4"/>
      <c r="G163" s="4"/>
      <c r="H163" s="4"/>
      <c r="I163" s="4"/>
    </row>
    <row r="164" spans="1:9" ht="16.5" customHeight="1"/>
    <row r="165" spans="1:9" ht="16.5" customHeight="1"/>
    <row r="166" spans="1:9" ht="16.5" customHeight="1"/>
    <row r="167" spans="1:9" ht="16.5" customHeight="1"/>
    <row r="168" spans="1:9" ht="16.5" customHeight="1"/>
    <row r="169" spans="1:9" ht="16.5" customHeight="1"/>
    <row r="170" spans="1:9" ht="16.5" customHeight="1"/>
    <row r="171" spans="1:9" ht="16.5" customHeight="1"/>
    <row r="172" spans="1:9" ht="16.5" customHeight="1"/>
    <row r="173" spans="1:9" ht="16.5" customHeight="1"/>
    <row r="174" spans="1:9" ht="16.5" customHeight="1"/>
    <row r="175" spans="1:9" ht="16.5" customHeight="1"/>
    <row r="176" spans="1:9" ht="16.5" customHeight="1"/>
    <row r="177" ht="16.5" customHeight="1"/>
    <row r="178" ht="16.5" customHeight="1"/>
    <row r="179" ht="16.5" customHeight="1"/>
    <row r="180" ht="16.5" customHeight="1"/>
    <row r="181" ht="16.5" customHeight="1"/>
    <row r="182" ht="16.5" customHeight="1"/>
    <row r="183" ht="16.5" customHeight="1"/>
    <row r="184" ht="16.5" customHeight="1"/>
    <row r="185" ht="16.5" customHeight="1"/>
    <row r="186" ht="16.5" customHeight="1"/>
    <row r="187" ht="16.5" customHeight="1"/>
    <row r="188" ht="16.5" customHeight="1"/>
    <row r="189" ht="16.5" customHeight="1"/>
    <row r="190" ht="16.5" customHeight="1"/>
    <row r="191" ht="16.5" customHeight="1"/>
    <row r="192" ht="16.5" customHeight="1"/>
    <row r="193" ht="16.5" customHeight="1"/>
    <row r="194" ht="16.5" customHeight="1"/>
    <row r="195" ht="16.5" customHeight="1"/>
    <row r="196" ht="16.5" customHeight="1"/>
    <row r="197" ht="16.5" customHeight="1"/>
    <row r="198" ht="16.5" customHeight="1"/>
    <row r="199" ht="16.5" customHeight="1"/>
    <row r="200" ht="16.5" customHeight="1"/>
    <row r="201" ht="16.5" customHeight="1"/>
    <row r="202" ht="16.5" customHeight="1"/>
    <row r="203" ht="16.5" customHeight="1"/>
    <row r="204" ht="16.5" customHeight="1"/>
    <row r="205" ht="16.5" customHeight="1"/>
    <row r="206" ht="16.5" customHeight="1"/>
    <row r="207" ht="16.5" customHeight="1"/>
    <row r="208" ht="16.5" customHeight="1"/>
    <row r="209" ht="16.5" customHeight="1"/>
    <row r="210" ht="16.5" customHeight="1"/>
    <row r="211" ht="16.5" customHeight="1"/>
    <row r="212" ht="16.5" customHeight="1"/>
    <row r="213" ht="16.5" customHeight="1"/>
    <row r="214" ht="16.5" customHeight="1"/>
    <row r="215" ht="16.5" customHeight="1"/>
    <row r="216" ht="16.5" customHeight="1"/>
    <row r="217" ht="16.5" customHeight="1"/>
    <row r="218" ht="16.5" customHeight="1"/>
    <row r="219" ht="16.5" customHeight="1"/>
    <row r="220" ht="16.5" customHeight="1"/>
    <row r="221" ht="16.5" customHeight="1"/>
    <row r="222" ht="16.5" customHeight="1"/>
    <row r="223" ht="16.5" customHeight="1"/>
    <row r="224" ht="16.5" customHeight="1"/>
    <row r="225" ht="16.5" customHeight="1"/>
    <row r="226" ht="16.5" customHeight="1"/>
    <row r="227" ht="16.5" customHeight="1"/>
    <row r="228" ht="16.5" customHeight="1"/>
    <row r="229" ht="16.5" customHeight="1"/>
    <row r="230" ht="16.5" customHeight="1"/>
    <row r="231" ht="16.5" customHeight="1"/>
    <row r="232" ht="16.5" customHeight="1"/>
    <row r="233" ht="16.5" customHeight="1"/>
    <row r="234" ht="16.5" customHeight="1"/>
    <row r="235" ht="16.5" customHeight="1"/>
    <row r="236" ht="16.5" customHeight="1"/>
    <row r="237" ht="16.5" customHeight="1"/>
    <row r="238" ht="16.5" customHeight="1"/>
    <row r="239" ht="16.5" customHeight="1"/>
    <row r="240" ht="16.5" customHeight="1"/>
    <row r="241" ht="16.5" customHeight="1"/>
    <row r="242" ht="16.5" customHeight="1"/>
    <row r="243" ht="16.5" customHeight="1"/>
    <row r="244" ht="16.5" customHeight="1"/>
    <row r="245" ht="16.5" customHeight="1"/>
    <row r="246" ht="16.5" customHeight="1"/>
    <row r="247" ht="16.5" customHeight="1"/>
    <row r="248" ht="16.5" customHeight="1"/>
    <row r="249" ht="16.5" customHeight="1"/>
    <row r="250" ht="16.5" customHeight="1"/>
    <row r="251" ht="16.5" customHeight="1"/>
    <row r="252" ht="16.5" customHeight="1"/>
    <row r="253" ht="16.5" customHeight="1"/>
    <row r="254" ht="16.5" customHeight="1"/>
    <row r="255" ht="16.5" customHeight="1"/>
    <row r="256" ht="16.5" customHeight="1"/>
    <row r="257" ht="16.5" customHeight="1"/>
    <row r="258" ht="16.5" customHeight="1"/>
    <row r="259" ht="16.5" customHeight="1"/>
    <row r="260" ht="16.5" customHeight="1"/>
    <row r="261" ht="16.5" customHeight="1"/>
    <row r="262" ht="16.5" customHeight="1"/>
    <row r="263" ht="16.5" customHeight="1"/>
    <row r="264" ht="16.5" customHeight="1"/>
    <row r="265" ht="16.5" customHeight="1"/>
    <row r="266" ht="16.5" customHeight="1"/>
    <row r="267" ht="16.5" customHeight="1"/>
    <row r="268" ht="16.5" customHeight="1"/>
    <row r="269" ht="16.5" customHeight="1"/>
    <row r="270" ht="16.5" customHeight="1"/>
    <row r="271" ht="16.5" customHeight="1"/>
    <row r="272" ht="16.5" customHeight="1"/>
    <row r="273" ht="16.5" customHeight="1"/>
    <row r="274" ht="16.5" customHeight="1"/>
    <row r="275" ht="16.5" customHeight="1"/>
    <row r="276" ht="16.5" customHeight="1"/>
    <row r="277" ht="16.5" customHeight="1"/>
    <row r="278" ht="16.5" customHeight="1"/>
    <row r="279" ht="16.5" customHeight="1"/>
    <row r="280" ht="16.5" customHeight="1"/>
    <row r="281" ht="16.5" customHeight="1"/>
    <row r="282" ht="16.5" customHeight="1"/>
    <row r="283" ht="16.5" customHeight="1"/>
    <row r="284" ht="16.5" customHeight="1"/>
    <row r="285" ht="16.5" customHeight="1"/>
    <row r="286" ht="16.5" customHeight="1"/>
    <row r="287" ht="16.5" customHeight="1"/>
    <row r="288" ht="16.5" customHeight="1"/>
    <row r="289" ht="16.5" customHeight="1"/>
    <row r="290" ht="16.5" customHeight="1"/>
    <row r="291" ht="16.5" customHeight="1"/>
    <row r="292" ht="16.5" customHeight="1"/>
    <row r="293" ht="16.5" customHeight="1"/>
    <row r="294" ht="16.5" customHeight="1"/>
    <row r="295" ht="16.5" customHeight="1"/>
    <row r="296" ht="16.5" customHeight="1"/>
    <row r="297" ht="16.5" customHeight="1"/>
    <row r="298" ht="16.5" customHeight="1"/>
    <row r="299" ht="16.5" customHeight="1"/>
    <row r="300" ht="16.5" customHeight="1"/>
    <row r="301" ht="16.5" customHeight="1"/>
    <row r="302" ht="16.5" customHeight="1"/>
    <row r="303" ht="16.5" customHeight="1"/>
    <row r="304" ht="16.5" customHeight="1"/>
    <row r="305" ht="16.5" customHeight="1"/>
  </sheetData>
  <mergeCells count="6">
    <mergeCell ref="B1:E1"/>
    <mergeCell ref="F1:I1"/>
    <mergeCell ref="B2:E2"/>
    <mergeCell ref="F2:I2"/>
    <mergeCell ref="B8:E8"/>
    <mergeCell ref="F8:I8"/>
  </mergeCells>
  <phoneticPr fontId="5" type="noConversion"/>
  <pageMargins left="0.7" right="0.7" top="0.75" bottom="0.75" header="0.3" footer="0.3"/>
  <pageSetup paperSize="9" orientation="portrait" horizontalDpi="0" verticalDpi="0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4BF2F2C-A1E1-42F1-91CA-944E7FF64CF1}">
  <sheetPr codeName="工作表35"/>
  <dimension ref="A1:J42"/>
  <sheetViews>
    <sheetView topLeftCell="A7" workbookViewId="0">
      <selection activeCell="F32" sqref="F32"/>
    </sheetView>
  </sheetViews>
  <sheetFormatPr defaultColWidth="6.625" defaultRowHeight="13.5"/>
  <cols>
    <col min="1" max="1" width="3.125" style="4" bestFit="1" customWidth="1"/>
    <col min="2" max="2" width="5.5" style="8" customWidth="1"/>
    <col min="3" max="3" width="25.625" style="4" customWidth="1"/>
    <col min="4" max="4" width="26.125" style="4" customWidth="1"/>
    <col min="5" max="5" width="11.125" style="4" bestFit="1" customWidth="1"/>
    <col min="6" max="6" width="10.375" style="4" customWidth="1"/>
    <col min="7" max="7" width="38" style="4" customWidth="1"/>
    <col min="8" max="8" width="37.125" style="4" customWidth="1"/>
    <col min="9" max="9" width="17.625" style="4" customWidth="1"/>
    <col min="10" max="16384" width="6.625" style="4"/>
  </cols>
  <sheetData>
    <row r="1" spans="1:9" ht="24">
      <c r="A1" s="1" t="e">
        <f ca="1">HYPERLINK("#'介面'!E"&amp;MATCH(VALUE(RIGHT(CELL("filename"),LEN(CELL("filename"))-FIND("]",CELL("filename")))),介面!D:D,"0"),"←")</f>
        <v>#VALUE!</v>
      </c>
      <c r="B1" s="216" t="s">
        <v>981</v>
      </c>
      <c r="C1" s="217"/>
      <c r="D1" s="217"/>
      <c r="E1" s="218"/>
      <c r="F1" s="216" t="s">
        <v>982</v>
      </c>
      <c r="G1" s="217"/>
      <c r="H1" s="217"/>
      <c r="I1" s="217"/>
    </row>
    <row r="2" spans="1:9" ht="24">
      <c r="A2" s="1"/>
      <c r="B2" s="210" t="s">
        <v>275</v>
      </c>
      <c r="C2" s="211"/>
      <c r="D2" s="211"/>
      <c r="E2" s="212"/>
      <c r="F2" s="210"/>
      <c r="G2" s="211"/>
      <c r="H2" s="211"/>
      <c r="I2" s="212"/>
    </row>
    <row r="3" spans="1:9" s="8" customFormat="1" ht="15">
      <c r="A3" s="6"/>
      <c r="B3" s="7" t="s">
        <v>276</v>
      </c>
      <c r="C3" s="56" t="s">
        <v>277</v>
      </c>
      <c r="D3" s="56" t="s">
        <v>278</v>
      </c>
      <c r="E3" s="57" t="s">
        <v>279</v>
      </c>
      <c r="F3" s="57" t="s">
        <v>280</v>
      </c>
      <c r="G3" s="56" t="s">
        <v>281</v>
      </c>
      <c r="H3" s="56" t="s">
        <v>11</v>
      </c>
      <c r="I3" s="56" t="s">
        <v>282</v>
      </c>
    </row>
    <row r="4" spans="1:9" s="24" customFormat="1" ht="15.75">
      <c r="A4" s="25"/>
      <c r="B4" s="46">
        <v>1</v>
      </c>
      <c r="C4" s="80" t="s">
        <v>297</v>
      </c>
      <c r="D4" s="80" t="s">
        <v>298</v>
      </c>
      <c r="E4" s="81" t="s">
        <v>285</v>
      </c>
      <c r="F4" s="81">
        <v>500</v>
      </c>
      <c r="G4" s="66" t="s">
        <v>330</v>
      </c>
      <c r="H4" s="142" t="s">
        <v>302</v>
      </c>
      <c r="I4" s="66" t="s">
        <v>287</v>
      </c>
    </row>
    <row r="5" spans="1:9" s="24" customFormat="1" ht="15">
      <c r="A5" s="25"/>
      <c r="B5" s="46">
        <f>B4+1</f>
        <v>2</v>
      </c>
      <c r="C5" s="50" t="s">
        <v>303</v>
      </c>
      <c r="D5" s="76" t="s">
        <v>304</v>
      </c>
      <c r="E5" s="51" t="s">
        <v>296</v>
      </c>
      <c r="F5" s="51">
        <v>20</v>
      </c>
      <c r="G5" s="66" t="s">
        <v>331</v>
      </c>
      <c r="H5" s="66"/>
      <c r="I5" s="66" t="s">
        <v>287</v>
      </c>
    </row>
    <row r="6" spans="1:9" s="24" customFormat="1" ht="15.75">
      <c r="A6" s="25"/>
      <c r="B6" s="94">
        <f>B5+1</f>
        <v>3</v>
      </c>
      <c r="C6" s="80" t="s">
        <v>983</v>
      </c>
      <c r="D6" s="80" t="s">
        <v>984</v>
      </c>
      <c r="E6" s="81" t="s">
        <v>316</v>
      </c>
      <c r="F6" s="81"/>
      <c r="G6" s="66" t="s">
        <v>985</v>
      </c>
      <c r="H6" s="66"/>
      <c r="I6" s="66" t="s">
        <v>287</v>
      </c>
    </row>
    <row r="7" spans="1:9" s="24" customFormat="1" ht="15.75">
      <c r="A7" s="25"/>
      <c r="B7" s="94">
        <f>B6+1</f>
        <v>4</v>
      </c>
      <c r="C7" s="80" t="s">
        <v>986</v>
      </c>
      <c r="D7" s="80" t="s">
        <v>987</v>
      </c>
      <c r="E7" s="81" t="s">
        <v>316</v>
      </c>
      <c r="F7" s="81"/>
      <c r="G7" s="66" t="s">
        <v>988</v>
      </c>
      <c r="H7" s="66"/>
      <c r="I7" s="66" t="s">
        <v>287</v>
      </c>
    </row>
    <row r="8" spans="1:9" s="24" customFormat="1" ht="15">
      <c r="A8" s="25"/>
      <c r="B8" s="46">
        <v>5</v>
      </c>
      <c r="C8" s="50" t="s">
        <v>637</v>
      </c>
      <c r="D8" s="50" t="s">
        <v>364</v>
      </c>
      <c r="E8" s="51" t="s">
        <v>296</v>
      </c>
      <c r="F8" s="51">
        <v>20</v>
      </c>
      <c r="G8" s="66" t="s">
        <v>331</v>
      </c>
      <c r="H8" s="66" t="s">
        <v>638</v>
      </c>
      <c r="I8" s="66" t="s">
        <v>639</v>
      </c>
    </row>
    <row r="9" spans="1:9" s="24" customFormat="1" ht="15">
      <c r="A9" s="25"/>
      <c r="B9" s="46">
        <v>6</v>
      </c>
      <c r="C9" s="50" t="s">
        <v>640</v>
      </c>
      <c r="D9" s="76" t="s">
        <v>641</v>
      </c>
      <c r="E9" s="51" t="s">
        <v>418</v>
      </c>
      <c r="F9" s="51">
        <v>11</v>
      </c>
      <c r="G9" s="66" t="s">
        <v>642</v>
      </c>
      <c r="H9" s="66" t="s">
        <v>638</v>
      </c>
      <c r="I9" s="66" t="s">
        <v>639</v>
      </c>
    </row>
    <row r="10" spans="1:9" ht="15.75">
      <c r="A10" s="1"/>
      <c r="B10" s="2"/>
      <c r="C10" s="3"/>
      <c r="D10" s="3"/>
      <c r="E10" s="3"/>
      <c r="F10" s="3"/>
      <c r="G10" s="3"/>
      <c r="H10" s="3"/>
      <c r="I10" s="3"/>
    </row>
    <row r="11" spans="1:9" ht="24">
      <c r="A11" s="1"/>
      <c r="B11" s="204" t="s">
        <v>291</v>
      </c>
      <c r="C11" s="205"/>
      <c r="D11" s="205"/>
      <c r="E11" s="206"/>
      <c r="F11" s="204"/>
      <c r="G11" s="205"/>
      <c r="H11" s="205"/>
      <c r="I11" s="206"/>
    </row>
    <row r="12" spans="1:9" s="8" customFormat="1" ht="15">
      <c r="A12" s="6"/>
      <c r="B12" s="7" t="s">
        <v>276</v>
      </c>
      <c r="C12" s="56" t="s">
        <v>277</v>
      </c>
      <c r="D12" s="56" t="s">
        <v>278</v>
      </c>
      <c r="E12" s="57" t="s">
        <v>279</v>
      </c>
      <c r="F12" s="57" t="s">
        <v>280</v>
      </c>
      <c r="G12" s="56" t="s">
        <v>11</v>
      </c>
      <c r="H12" s="56" t="s">
        <v>292</v>
      </c>
      <c r="I12" s="56" t="s">
        <v>293</v>
      </c>
    </row>
    <row r="13" spans="1:9" ht="15.75">
      <c r="A13" s="5"/>
      <c r="B13" s="94">
        <v>1</v>
      </c>
      <c r="C13" s="80" t="s">
        <v>989</v>
      </c>
      <c r="D13" s="80" t="s">
        <v>990</v>
      </c>
      <c r="E13" s="81" t="s">
        <v>296</v>
      </c>
      <c r="F13" s="81">
        <v>20</v>
      </c>
      <c r="G13" s="82"/>
      <c r="H13" s="82"/>
      <c r="I13" s="82"/>
    </row>
    <row r="14" spans="1:9" s="95" customFormat="1" ht="15.75">
      <c r="A14" s="93"/>
      <c r="B14" s="94">
        <f>B13+1</f>
        <v>2</v>
      </c>
      <c r="C14" s="80" t="s">
        <v>637</v>
      </c>
      <c r="D14" s="80" t="s">
        <v>364</v>
      </c>
      <c r="E14" s="81" t="s">
        <v>296</v>
      </c>
      <c r="F14" s="81">
        <v>20</v>
      </c>
      <c r="G14" s="91"/>
      <c r="H14" s="19" t="s">
        <v>84</v>
      </c>
      <c r="I14" s="82" t="s">
        <v>364</v>
      </c>
    </row>
    <row r="15" spans="1:9" s="95" customFormat="1" ht="15.75">
      <c r="A15" s="93"/>
      <c r="B15" s="94">
        <f t="shared" ref="B15:B39" si="0">B14+1</f>
        <v>3</v>
      </c>
      <c r="C15" s="80" t="s">
        <v>991</v>
      </c>
      <c r="D15" s="80" t="s">
        <v>992</v>
      </c>
      <c r="E15" s="81" t="s">
        <v>285</v>
      </c>
      <c r="F15" s="81">
        <v>100</v>
      </c>
      <c r="G15" s="91"/>
      <c r="H15" s="19"/>
      <c r="I15" s="82"/>
    </row>
    <row r="16" spans="1:9" s="95" customFormat="1" ht="15.75">
      <c r="A16" s="93"/>
      <c r="B16" s="94">
        <f t="shared" si="0"/>
        <v>4</v>
      </c>
      <c r="C16" s="80" t="s">
        <v>993</v>
      </c>
      <c r="D16" s="80" t="s">
        <v>994</v>
      </c>
      <c r="E16" s="81" t="s">
        <v>326</v>
      </c>
      <c r="F16" s="81">
        <v>4</v>
      </c>
      <c r="G16" s="91" t="s">
        <v>995</v>
      </c>
      <c r="H16" s="19" t="s">
        <v>996</v>
      </c>
      <c r="I16" s="82"/>
    </row>
    <row r="17" spans="1:10" s="95" customFormat="1" ht="15.75">
      <c r="A17" s="93"/>
      <c r="B17" s="94">
        <f t="shared" si="0"/>
        <v>5</v>
      </c>
      <c r="C17" s="80" t="s">
        <v>997</v>
      </c>
      <c r="D17" s="80" t="s">
        <v>585</v>
      </c>
      <c r="E17" s="81" t="s">
        <v>296</v>
      </c>
      <c r="F17" s="81">
        <v>20</v>
      </c>
      <c r="G17" s="91"/>
      <c r="H17" s="19" t="s">
        <v>582</v>
      </c>
      <c r="I17" s="82" t="s">
        <v>585</v>
      </c>
    </row>
    <row r="18" spans="1:10" ht="15.75">
      <c r="A18" s="58"/>
      <c r="B18" s="94">
        <f t="shared" si="0"/>
        <v>6</v>
      </c>
      <c r="C18" s="64" t="s">
        <v>998</v>
      </c>
      <c r="D18" s="64" t="s">
        <v>587</v>
      </c>
      <c r="E18" s="62" t="s">
        <v>456</v>
      </c>
      <c r="F18" s="62">
        <v>20</v>
      </c>
      <c r="G18" s="66"/>
      <c r="H18" s="66"/>
      <c r="I18" s="66"/>
      <c r="J18" s="95"/>
    </row>
    <row r="19" spans="1:10" ht="15.75">
      <c r="A19" s="58"/>
      <c r="B19" s="94">
        <f t="shared" si="0"/>
        <v>7</v>
      </c>
      <c r="C19" s="64" t="s">
        <v>999</v>
      </c>
      <c r="D19" s="64" t="s">
        <v>589</v>
      </c>
      <c r="E19" s="68" t="s">
        <v>456</v>
      </c>
      <c r="F19" s="62">
        <v>100</v>
      </c>
      <c r="G19" s="66"/>
      <c r="H19" s="66"/>
      <c r="I19" s="66"/>
      <c r="J19" s="95"/>
    </row>
    <row r="20" spans="1:10" s="24" customFormat="1" ht="15.75">
      <c r="A20" s="22"/>
      <c r="B20" s="94">
        <f t="shared" si="0"/>
        <v>8</v>
      </c>
      <c r="C20" s="64" t="s">
        <v>1000</v>
      </c>
      <c r="D20" s="64" t="s">
        <v>591</v>
      </c>
      <c r="E20" s="68" t="s">
        <v>456</v>
      </c>
      <c r="F20" s="62">
        <v>1000</v>
      </c>
      <c r="G20" s="66"/>
      <c r="H20" s="66"/>
      <c r="I20" s="66"/>
      <c r="J20" s="95"/>
    </row>
    <row r="21" spans="1:10" s="95" customFormat="1" ht="15.75">
      <c r="A21" s="93"/>
      <c r="B21" s="94">
        <f t="shared" si="0"/>
        <v>9</v>
      </c>
      <c r="C21" s="80" t="s">
        <v>1001</v>
      </c>
      <c r="D21" s="80" t="s">
        <v>1002</v>
      </c>
      <c r="E21" s="81" t="s">
        <v>326</v>
      </c>
      <c r="F21" s="81">
        <v>4</v>
      </c>
      <c r="G21" s="91" t="s">
        <v>1003</v>
      </c>
      <c r="H21" s="19" t="s">
        <v>1004</v>
      </c>
      <c r="I21" s="82"/>
    </row>
    <row r="22" spans="1:10" s="95" customFormat="1" ht="15.75">
      <c r="A22" s="93"/>
      <c r="B22" s="94">
        <f t="shared" si="0"/>
        <v>10</v>
      </c>
      <c r="C22" s="80" t="s">
        <v>1005</v>
      </c>
      <c r="D22" s="80" t="s">
        <v>1006</v>
      </c>
      <c r="E22" s="81" t="s">
        <v>326</v>
      </c>
      <c r="F22" s="81">
        <v>4</v>
      </c>
      <c r="G22" s="91" t="s">
        <v>1007</v>
      </c>
      <c r="H22" s="19" t="s">
        <v>1008</v>
      </c>
      <c r="I22" s="82"/>
    </row>
    <row r="23" spans="1:10" s="95" customFormat="1" ht="15.75">
      <c r="A23" s="93"/>
      <c r="B23" s="94">
        <f t="shared" si="0"/>
        <v>11</v>
      </c>
      <c r="C23" s="80" t="s">
        <v>1009</v>
      </c>
      <c r="D23" s="80" t="s">
        <v>1010</v>
      </c>
      <c r="E23" s="81" t="s">
        <v>285</v>
      </c>
      <c r="F23" s="81">
        <v>50</v>
      </c>
      <c r="G23" s="91"/>
      <c r="H23" s="19"/>
      <c r="I23" s="82"/>
    </row>
    <row r="24" spans="1:10" s="95" customFormat="1" ht="15.75">
      <c r="A24" s="93"/>
      <c r="B24" s="94">
        <f t="shared" si="0"/>
        <v>12</v>
      </c>
      <c r="C24" s="80" t="s">
        <v>1011</v>
      </c>
      <c r="D24" s="80" t="s">
        <v>1012</v>
      </c>
      <c r="E24" s="81" t="s">
        <v>285</v>
      </c>
      <c r="F24" s="81">
        <v>100</v>
      </c>
      <c r="G24" s="91"/>
      <c r="H24" s="19"/>
      <c r="I24" s="82"/>
    </row>
    <row r="25" spans="1:10" s="95" customFormat="1" ht="15.75">
      <c r="A25" s="93"/>
      <c r="B25" s="94">
        <f t="shared" si="0"/>
        <v>13</v>
      </c>
      <c r="C25" s="80" t="s">
        <v>1013</v>
      </c>
      <c r="D25" s="80" t="s">
        <v>1014</v>
      </c>
      <c r="E25" s="81" t="s">
        <v>285</v>
      </c>
      <c r="F25" s="81">
        <v>20</v>
      </c>
      <c r="G25" s="91"/>
      <c r="H25" s="19"/>
      <c r="I25" s="82"/>
    </row>
    <row r="26" spans="1:10" s="95" customFormat="1" ht="15.75">
      <c r="A26" s="93"/>
      <c r="B26" s="94">
        <f t="shared" si="0"/>
        <v>14</v>
      </c>
      <c r="C26" s="80" t="s">
        <v>1015</v>
      </c>
      <c r="D26" s="80" t="s">
        <v>984</v>
      </c>
      <c r="E26" s="81" t="s">
        <v>421</v>
      </c>
      <c r="F26" s="81"/>
      <c r="G26" s="91" t="s">
        <v>1016</v>
      </c>
      <c r="H26" s="19"/>
      <c r="I26" s="82"/>
    </row>
    <row r="27" spans="1:10" s="95" customFormat="1" ht="15.75">
      <c r="A27" s="93"/>
      <c r="B27" s="94">
        <f t="shared" si="0"/>
        <v>15</v>
      </c>
      <c r="C27" s="80" t="s">
        <v>1017</v>
      </c>
      <c r="D27" s="80" t="s">
        <v>987</v>
      </c>
      <c r="E27" s="81" t="s">
        <v>421</v>
      </c>
      <c r="F27" s="81"/>
      <c r="G27" s="91" t="s">
        <v>1016</v>
      </c>
      <c r="H27" s="19"/>
      <c r="I27" s="82"/>
    </row>
    <row r="28" spans="1:10" s="95" customFormat="1" ht="15.75">
      <c r="A28" s="93"/>
      <c r="B28" s="94">
        <f t="shared" si="0"/>
        <v>16</v>
      </c>
      <c r="C28" s="80" t="s">
        <v>1018</v>
      </c>
      <c r="D28" s="80" t="s">
        <v>1019</v>
      </c>
      <c r="E28" s="62" t="s">
        <v>704</v>
      </c>
      <c r="F28" s="62" t="s">
        <v>1020</v>
      </c>
      <c r="G28" s="91"/>
      <c r="H28" s="19"/>
      <c r="I28" s="82"/>
    </row>
    <row r="29" spans="1:10" s="95" customFormat="1" ht="15.75">
      <c r="A29" s="93"/>
      <c r="B29" s="94">
        <f t="shared" si="0"/>
        <v>17</v>
      </c>
      <c r="C29" s="80" t="s">
        <v>1021</v>
      </c>
      <c r="D29" s="80" t="s">
        <v>1022</v>
      </c>
      <c r="E29" s="62" t="s">
        <v>704</v>
      </c>
      <c r="F29" s="62" t="s">
        <v>1020</v>
      </c>
      <c r="G29" s="91"/>
      <c r="H29" s="19"/>
      <c r="I29" s="82"/>
    </row>
    <row r="30" spans="1:10" s="95" customFormat="1" ht="15.75">
      <c r="A30" s="93"/>
      <c r="B30" s="94">
        <f t="shared" si="0"/>
        <v>18</v>
      </c>
      <c r="C30" s="80" t="s">
        <v>1023</v>
      </c>
      <c r="D30" s="80" t="s">
        <v>1024</v>
      </c>
      <c r="E30" s="62" t="s">
        <v>326</v>
      </c>
      <c r="F30" s="62">
        <v>4</v>
      </c>
      <c r="G30" s="91" t="s">
        <v>1025</v>
      </c>
      <c r="H30" s="19" t="s">
        <v>1026</v>
      </c>
      <c r="I30" s="82"/>
    </row>
    <row r="31" spans="1:10" s="95" customFormat="1" ht="15.75">
      <c r="A31" s="93"/>
      <c r="B31" s="94">
        <f t="shared" si="0"/>
        <v>19</v>
      </c>
      <c r="C31" s="80" t="s">
        <v>1027</v>
      </c>
      <c r="D31" s="80" t="s">
        <v>1028</v>
      </c>
      <c r="E31" s="81" t="s">
        <v>285</v>
      </c>
      <c r="F31" s="81">
        <v>100</v>
      </c>
      <c r="G31" s="61"/>
      <c r="H31" s="82"/>
      <c r="I31" s="82"/>
    </row>
    <row r="32" spans="1:10" s="95" customFormat="1" ht="15.75">
      <c r="A32" s="93"/>
      <c r="B32" s="94">
        <f t="shared" si="0"/>
        <v>20</v>
      </c>
      <c r="C32" s="80" t="s">
        <v>1029</v>
      </c>
      <c r="D32" s="80" t="s">
        <v>1030</v>
      </c>
      <c r="E32" s="51" t="s">
        <v>285</v>
      </c>
      <c r="F32" s="51">
        <v>3</v>
      </c>
      <c r="G32" s="19"/>
      <c r="H32" s="19" t="s">
        <v>1031</v>
      </c>
      <c r="I32" s="82"/>
    </row>
    <row r="33" spans="1:9" s="95" customFormat="1" ht="15.75">
      <c r="A33" s="93"/>
      <c r="B33" s="94">
        <f t="shared" si="0"/>
        <v>21</v>
      </c>
      <c r="C33" s="80" t="s">
        <v>1032</v>
      </c>
      <c r="D33" s="80" t="s">
        <v>1033</v>
      </c>
      <c r="E33" s="68" t="s">
        <v>704</v>
      </c>
      <c r="F33" s="62" t="s">
        <v>1034</v>
      </c>
      <c r="G33" s="91"/>
      <c r="H33" s="19"/>
      <c r="I33" s="82"/>
    </row>
    <row r="34" spans="1:9" s="95" customFormat="1" ht="15.75">
      <c r="A34" s="93"/>
      <c r="B34" s="94">
        <f t="shared" si="0"/>
        <v>22</v>
      </c>
      <c r="C34" s="80" t="s">
        <v>1035</v>
      </c>
      <c r="D34" s="80" t="s">
        <v>1036</v>
      </c>
      <c r="E34" s="51" t="s">
        <v>285</v>
      </c>
      <c r="F34" s="51">
        <v>3</v>
      </c>
      <c r="G34" s="19"/>
      <c r="H34" s="19" t="s">
        <v>1031</v>
      </c>
      <c r="I34" s="82"/>
    </row>
    <row r="35" spans="1:9" s="95" customFormat="1" ht="15.75">
      <c r="A35" s="93"/>
      <c r="B35" s="94">
        <f t="shared" si="0"/>
        <v>23</v>
      </c>
      <c r="C35" s="80" t="s">
        <v>1037</v>
      </c>
      <c r="D35" s="80" t="s">
        <v>1038</v>
      </c>
      <c r="E35" s="68" t="s">
        <v>704</v>
      </c>
      <c r="F35" s="62" t="s">
        <v>1034</v>
      </c>
      <c r="G35" s="61"/>
      <c r="H35" s="82"/>
      <c r="I35" s="82"/>
    </row>
    <row r="36" spans="1:9" s="95" customFormat="1" ht="15.75">
      <c r="A36" s="93"/>
      <c r="B36" s="94">
        <f t="shared" si="0"/>
        <v>24</v>
      </c>
      <c r="C36" s="80" t="s">
        <v>1039</v>
      </c>
      <c r="D36" s="80" t="s">
        <v>1040</v>
      </c>
      <c r="E36" s="81" t="s">
        <v>326</v>
      </c>
      <c r="F36" s="81">
        <v>4</v>
      </c>
      <c r="G36" s="61"/>
      <c r="H36" s="82"/>
      <c r="I36" s="82"/>
    </row>
    <row r="37" spans="1:9" s="95" customFormat="1" ht="15.75">
      <c r="A37" s="93"/>
      <c r="B37" s="94">
        <f t="shared" si="0"/>
        <v>25</v>
      </c>
      <c r="C37" s="80" t="s">
        <v>1041</v>
      </c>
      <c r="D37" s="80" t="s">
        <v>1042</v>
      </c>
      <c r="E37" s="81" t="s">
        <v>326</v>
      </c>
      <c r="F37" s="81">
        <v>4</v>
      </c>
      <c r="G37" s="61"/>
      <c r="H37" s="82"/>
      <c r="I37" s="82"/>
    </row>
    <row r="38" spans="1:9" s="95" customFormat="1" ht="15.75">
      <c r="A38" s="93"/>
      <c r="B38" s="94">
        <f t="shared" si="0"/>
        <v>26</v>
      </c>
      <c r="C38" s="80" t="s">
        <v>1043</v>
      </c>
      <c r="D38" s="80" t="s">
        <v>1044</v>
      </c>
      <c r="E38" s="81" t="s">
        <v>316</v>
      </c>
      <c r="F38" s="81"/>
      <c r="G38" s="61"/>
      <c r="H38" s="82"/>
      <c r="I38" s="82"/>
    </row>
    <row r="39" spans="1:9" s="95" customFormat="1" ht="15.75">
      <c r="A39" s="93"/>
      <c r="B39" s="94">
        <f t="shared" si="0"/>
        <v>27</v>
      </c>
      <c r="C39" s="80" t="s">
        <v>11</v>
      </c>
      <c r="D39" s="64" t="s">
        <v>1045</v>
      </c>
      <c r="E39" s="81" t="s">
        <v>285</v>
      </c>
      <c r="F39" s="81">
        <v>500</v>
      </c>
      <c r="G39" s="61"/>
      <c r="H39" s="82"/>
      <c r="I39" s="82"/>
    </row>
    <row r="40" spans="1:9" ht="15">
      <c r="B40" s="117"/>
    </row>
    <row r="41" spans="1:9" ht="15">
      <c r="B41" s="20"/>
    </row>
    <row r="42" spans="1:9" ht="15">
      <c r="B42" s="45"/>
    </row>
  </sheetData>
  <mergeCells count="6">
    <mergeCell ref="B11:E11"/>
    <mergeCell ref="F11:I11"/>
    <mergeCell ref="B1:E1"/>
    <mergeCell ref="F1:I1"/>
    <mergeCell ref="B2:E2"/>
    <mergeCell ref="F2:I2"/>
  </mergeCells>
  <phoneticPr fontId="5" type="noConversion"/>
  <pageMargins left="0.7" right="0.7" top="0.75" bottom="0.75" header="0.3" footer="0.3"/>
  <pageSetup paperSize="9" orientation="portrait" horizontalDpi="0" verticalDpi="0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7A04A8E-0BEC-4CF5-82C1-11215A61ED48}">
  <sheetPr codeName="工作表36"/>
  <dimension ref="A1:I32"/>
  <sheetViews>
    <sheetView workbookViewId="0">
      <selection activeCell="H22" sqref="H22"/>
    </sheetView>
  </sheetViews>
  <sheetFormatPr defaultColWidth="6.625" defaultRowHeight="13.5"/>
  <cols>
    <col min="1" max="1" width="3.125" style="4" bestFit="1" customWidth="1"/>
    <col min="2" max="2" width="5.5" style="8" customWidth="1"/>
    <col min="3" max="3" width="25.625" style="4" customWidth="1"/>
    <col min="4" max="4" width="26.125" style="4" customWidth="1"/>
    <col min="5" max="5" width="11.125" style="4" bestFit="1" customWidth="1"/>
    <col min="6" max="6" width="10.375" style="4" customWidth="1"/>
    <col min="7" max="7" width="44.125" style="4" customWidth="1"/>
    <col min="8" max="8" width="37.125" style="4" customWidth="1"/>
    <col min="9" max="9" width="17.625" style="4" customWidth="1"/>
    <col min="10" max="16384" width="6.625" style="4"/>
  </cols>
  <sheetData>
    <row r="1" spans="1:9" ht="24">
      <c r="A1" s="1" t="e">
        <f ca="1">HYPERLINK("#'介面'!E"&amp;MATCH(VALUE(RIGHT(CELL("filename"),LEN(CELL("filename"))-FIND("]",CELL("filename")))),介面!D:D,"0"),"←")</f>
        <v>#VALUE!</v>
      </c>
      <c r="B1" s="216" t="s">
        <v>1046</v>
      </c>
      <c r="C1" s="217"/>
      <c r="D1" s="217"/>
      <c r="E1" s="218"/>
      <c r="F1" s="216" t="s">
        <v>1047</v>
      </c>
      <c r="G1" s="217"/>
      <c r="H1" s="217"/>
      <c r="I1" s="217"/>
    </row>
    <row r="2" spans="1:9" ht="24">
      <c r="A2" s="1"/>
      <c r="B2" s="210" t="s">
        <v>275</v>
      </c>
      <c r="C2" s="211"/>
      <c r="D2" s="211"/>
      <c r="E2" s="212"/>
      <c r="F2" s="210"/>
      <c r="G2" s="211"/>
      <c r="H2" s="211"/>
      <c r="I2" s="212"/>
    </row>
    <row r="3" spans="1:9" s="8" customFormat="1" ht="15">
      <c r="A3" s="6"/>
      <c r="B3" s="7" t="s">
        <v>276</v>
      </c>
      <c r="C3" s="56" t="s">
        <v>277</v>
      </c>
      <c r="D3" s="56" t="s">
        <v>278</v>
      </c>
      <c r="E3" s="57" t="s">
        <v>279</v>
      </c>
      <c r="F3" s="57" t="s">
        <v>280</v>
      </c>
      <c r="G3" s="56" t="s">
        <v>281</v>
      </c>
      <c r="H3" s="56" t="s">
        <v>11</v>
      </c>
      <c r="I3" s="56" t="s">
        <v>282</v>
      </c>
    </row>
    <row r="4" spans="1:9" s="24" customFormat="1" ht="15.75">
      <c r="A4" s="25"/>
      <c r="B4" s="46">
        <v>1</v>
      </c>
      <c r="C4" s="80" t="s">
        <v>297</v>
      </c>
      <c r="D4" s="80" t="s">
        <v>298</v>
      </c>
      <c r="E4" s="81" t="s">
        <v>285</v>
      </c>
      <c r="F4" s="81">
        <v>500</v>
      </c>
      <c r="G4" s="66" t="s">
        <v>330</v>
      </c>
      <c r="H4" s="142" t="s">
        <v>302</v>
      </c>
      <c r="I4" s="66" t="s">
        <v>287</v>
      </c>
    </row>
    <row r="5" spans="1:9" s="24" customFormat="1" ht="15">
      <c r="A5" s="25"/>
      <c r="B5" s="46">
        <f>B4+1</f>
        <v>2</v>
      </c>
      <c r="C5" s="50" t="s">
        <v>303</v>
      </c>
      <c r="D5" s="76" t="s">
        <v>304</v>
      </c>
      <c r="E5" s="51" t="s">
        <v>296</v>
      </c>
      <c r="F5" s="51">
        <v>20</v>
      </c>
      <c r="G5" s="66" t="s">
        <v>331</v>
      </c>
      <c r="H5" s="66"/>
      <c r="I5" s="66" t="s">
        <v>287</v>
      </c>
    </row>
    <row r="6" spans="1:9" s="95" customFormat="1" ht="15.75">
      <c r="A6" s="93"/>
      <c r="B6" s="94">
        <f>B5+1</f>
        <v>3</v>
      </c>
      <c r="C6" s="80" t="s">
        <v>1048</v>
      </c>
      <c r="D6" s="80" t="s">
        <v>1049</v>
      </c>
      <c r="E6" s="81" t="s">
        <v>418</v>
      </c>
      <c r="F6" s="81">
        <v>11</v>
      </c>
      <c r="G6" s="91" t="s">
        <v>1050</v>
      </c>
      <c r="H6" s="66"/>
      <c r="I6" s="66" t="s">
        <v>287</v>
      </c>
    </row>
    <row r="7" spans="1:9" s="95" customFormat="1" ht="15.75">
      <c r="A7" s="93"/>
      <c r="B7" s="94">
        <f>B6+1</f>
        <v>4</v>
      </c>
      <c r="C7" s="80" t="s">
        <v>1051</v>
      </c>
      <c r="D7" s="80" t="s">
        <v>1052</v>
      </c>
      <c r="E7" s="81" t="s">
        <v>418</v>
      </c>
      <c r="F7" s="81">
        <v>11</v>
      </c>
      <c r="G7" s="91" t="s">
        <v>1053</v>
      </c>
      <c r="H7" s="66"/>
      <c r="I7" s="66" t="s">
        <v>287</v>
      </c>
    </row>
    <row r="8" spans="1:9" s="24" customFormat="1" ht="15">
      <c r="A8" s="25"/>
      <c r="B8" s="46">
        <v>5</v>
      </c>
      <c r="C8" s="50" t="s">
        <v>637</v>
      </c>
      <c r="D8" s="50" t="s">
        <v>364</v>
      </c>
      <c r="E8" s="51" t="s">
        <v>296</v>
      </c>
      <c r="F8" s="51">
        <v>20</v>
      </c>
      <c r="G8" s="66" t="s">
        <v>331</v>
      </c>
      <c r="H8" s="66" t="s">
        <v>638</v>
      </c>
      <c r="I8" s="66" t="s">
        <v>639</v>
      </c>
    </row>
    <row r="9" spans="1:9" s="24" customFormat="1" ht="15">
      <c r="A9" s="25"/>
      <c r="B9" s="46">
        <v>6</v>
      </c>
      <c r="C9" s="50" t="s">
        <v>640</v>
      </c>
      <c r="D9" s="76" t="s">
        <v>641</v>
      </c>
      <c r="E9" s="51" t="s">
        <v>418</v>
      </c>
      <c r="F9" s="51">
        <v>11</v>
      </c>
      <c r="G9" s="66" t="s">
        <v>642</v>
      </c>
      <c r="H9" s="66" t="s">
        <v>638</v>
      </c>
      <c r="I9" s="66" t="s">
        <v>639</v>
      </c>
    </row>
    <row r="10" spans="1:9" s="24" customFormat="1" ht="15">
      <c r="A10" s="25"/>
      <c r="B10" s="6"/>
      <c r="C10" s="144"/>
      <c r="D10" s="144"/>
      <c r="E10" s="145"/>
      <c r="F10" s="145"/>
      <c r="G10" s="21"/>
      <c r="H10" s="21"/>
      <c r="I10" s="21"/>
    </row>
    <row r="11" spans="1:9" ht="15.75">
      <c r="A11" s="1"/>
      <c r="B11" s="2"/>
      <c r="C11" s="3"/>
      <c r="D11" s="3"/>
      <c r="E11" s="3"/>
      <c r="F11" s="3"/>
      <c r="G11" s="3"/>
      <c r="H11" s="3"/>
      <c r="I11" s="3"/>
    </row>
    <row r="12" spans="1:9" ht="24">
      <c r="A12" s="1"/>
      <c r="B12" s="204" t="s">
        <v>291</v>
      </c>
      <c r="C12" s="205"/>
      <c r="D12" s="205"/>
      <c r="E12" s="206"/>
      <c r="F12" s="204"/>
      <c r="G12" s="205"/>
      <c r="H12" s="205"/>
      <c r="I12" s="206"/>
    </row>
    <row r="13" spans="1:9" s="8" customFormat="1" ht="15">
      <c r="A13" s="6"/>
      <c r="B13" s="7" t="s">
        <v>276</v>
      </c>
      <c r="C13" s="56" t="s">
        <v>277</v>
      </c>
      <c r="D13" s="56" t="s">
        <v>278</v>
      </c>
      <c r="E13" s="57" t="s">
        <v>279</v>
      </c>
      <c r="F13" s="57" t="s">
        <v>280</v>
      </c>
      <c r="G13" s="56" t="s">
        <v>11</v>
      </c>
      <c r="H13" s="56" t="s">
        <v>292</v>
      </c>
      <c r="I13" s="56" t="s">
        <v>293</v>
      </c>
    </row>
    <row r="14" spans="1:9" ht="15.75">
      <c r="A14" s="5"/>
      <c r="B14" s="94">
        <v>1</v>
      </c>
      <c r="C14" s="80" t="s">
        <v>1054</v>
      </c>
      <c r="D14" s="80" t="s">
        <v>1055</v>
      </c>
      <c r="E14" s="81" t="s">
        <v>296</v>
      </c>
      <c r="F14" s="81">
        <v>20</v>
      </c>
      <c r="G14" s="82"/>
      <c r="H14" s="82"/>
      <c r="I14" s="82"/>
    </row>
    <row r="15" spans="1:9" s="95" customFormat="1" ht="15.75">
      <c r="A15" s="93"/>
      <c r="B15" s="94">
        <f>B14+1</f>
        <v>2</v>
      </c>
      <c r="C15" s="80" t="s">
        <v>637</v>
      </c>
      <c r="D15" s="80" t="s">
        <v>364</v>
      </c>
      <c r="E15" s="81" t="s">
        <v>296</v>
      </c>
      <c r="F15" s="81">
        <v>20</v>
      </c>
      <c r="G15" s="91"/>
      <c r="H15" s="19" t="s">
        <v>84</v>
      </c>
      <c r="I15" s="82" t="s">
        <v>364</v>
      </c>
    </row>
    <row r="16" spans="1:9" s="95" customFormat="1" ht="15.75">
      <c r="A16" s="93"/>
      <c r="B16" s="94">
        <f t="shared" ref="B16:B29" si="0">B15+1</f>
        <v>3</v>
      </c>
      <c r="C16" s="80" t="s">
        <v>1056</v>
      </c>
      <c r="D16" s="80" t="s">
        <v>1057</v>
      </c>
      <c r="E16" s="81" t="s">
        <v>418</v>
      </c>
      <c r="F16" s="81">
        <v>11</v>
      </c>
      <c r="G16" s="91"/>
      <c r="H16" s="19"/>
      <c r="I16" s="82"/>
    </row>
    <row r="17" spans="1:9" s="95" customFormat="1" ht="15.75">
      <c r="A17" s="93"/>
      <c r="B17" s="94">
        <f t="shared" si="0"/>
        <v>4</v>
      </c>
      <c r="C17" s="80" t="s">
        <v>1058</v>
      </c>
      <c r="D17" s="80" t="s">
        <v>613</v>
      </c>
      <c r="E17" s="81" t="s">
        <v>296</v>
      </c>
      <c r="F17" s="81">
        <v>20</v>
      </c>
      <c r="G17" s="91"/>
      <c r="H17" s="19" t="s">
        <v>610</v>
      </c>
      <c r="I17" s="80" t="s">
        <v>613</v>
      </c>
    </row>
    <row r="18" spans="1:9" s="95" customFormat="1" ht="15.75">
      <c r="A18" s="93"/>
      <c r="B18" s="94">
        <f t="shared" si="0"/>
        <v>5</v>
      </c>
      <c r="C18" s="80" t="s">
        <v>1059</v>
      </c>
      <c r="D18" s="82" t="s">
        <v>1060</v>
      </c>
      <c r="E18" s="81" t="s">
        <v>285</v>
      </c>
      <c r="F18" s="81">
        <v>100</v>
      </c>
      <c r="G18" s="91"/>
      <c r="H18" s="19"/>
      <c r="I18" s="82"/>
    </row>
    <row r="19" spans="1:9" s="95" customFormat="1" ht="15.75">
      <c r="A19" s="93"/>
      <c r="B19" s="94">
        <f t="shared" si="0"/>
        <v>6</v>
      </c>
      <c r="C19" s="80" t="s">
        <v>1061</v>
      </c>
      <c r="D19" s="80" t="s">
        <v>1062</v>
      </c>
      <c r="E19" s="81" t="s">
        <v>316</v>
      </c>
      <c r="F19" s="81"/>
      <c r="G19" s="91"/>
      <c r="H19" s="19"/>
      <c r="I19" s="82"/>
    </row>
    <row r="20" spans="1:9" s="95" customFormat="1" ht="15.75">
      <c r="A20" s="93"/>
      <c r="B20" s="94">
        <f t="shared" si="0"/>
        <v>7</v>
      </c>
      <c r="C20" s="80" t="s">
        <v>1063</v>
      </c>
      <c r="D20" s="80" t="s">
        <v>1064</v>
      </c>
      <c r="E20" s="81" t="s">
        <v>316</v>
      </c>
      <c r="F20" s="81"/>
      <c r="G20" s="82"/>
      <c r="H20" s="19"/>
      <c r="I20" s="82"/>
    </row>
    <row r="21" spans="1:9" s="95" customFormat="1" ht="15.75">
      <c r="A21" s="93"/>
      <c r="B21" s="94">
        <f t="shared" si="0"/>
        <v>8</v>
      </c>
      <c r="C21" s="80" t="s">
        <v>1065</v>
      </c>
      <c r="D21" s="80" t="s">
        <v>1066</v>
      </c>
      <c r="E21" s="81" t="s">
        <v>285</v>
      </c>
      <c r="F21" s="62">
        <v>10</v>
      </c>
      <c r="G21" s="82"/>
      <c r="H21" s="19"/>
      <c r="I21" s="82"/>
    </row>
    <row r="22" spans="1:9" s="95" customFormat="1" ht="15.75">
      <c r="A22" s="93"/>
      <c r="B22" s="94">
        <f t="shared" si="0"/>
        <v>9</v>
      </c>
      <c r="C22" s="80" t="s">
        <v>1067</v>
      </c>
      <c r="D22" s="80" t="s">
        <v>623</v>
      </c>
      <c r="E22" s="81" t="s">
        <v>296</v>
      </c>
      <c r="F22" s="81">
        <v>20</v>
      </c>
      <c r="G22" s="82" t="s">
        <v>1068</v>
      </c>
      <c r="H22" s="19" t="s">
        <v>620</v>
      </c>
      <c r="I22" s="82" t="s">
        <v>623</v>
      </c>
    </row>
    <row r="23" spans="1:9" s="24" customFormat="1" ht="15.75">
      <c r="A23" s="22"/>
      <c r="B23" s="94">
        <f t="shared" si="0"/>
        <v>10</v>
      </c>
      <c r="C23" s="71" t="s">
        <v>630</v>
      </c>
      <c r="D23" s="71" t="s">
        <v>631</v>
      </c>
      <c r="E23" s="72" t="s">
        <v>456</v>
      </c>
      <c r="F23" s="72">
        <v>20</v>
      </c>
      <c r="G23" s="73"/>
      <c r="H23" s="73"/>
      <c r="I23" s="73"/>
    </row>
    <row r="24" spans="1:9" s="24" customFormat="1" ht="15.75">
      <c r="A24" s="22"/>
      <c r="B24" s="94">
        <f t="shared" si="0"/>
        <v>11</v>
      </c>
      <c r="C24" s="71" t="s">
        <v>632</v>
      </c>
      <c r="D24" s="71" t="s">
        <v>633</v>
      </c>
      <c r="E24" s="74" t="s">
        <v>456</v>
      </c>
      <c r="F24" s="72">
        <v>50</v>
      </c>
      <c r="G24" s="73"/>
      <c r="H24" s="73"/>
      <c r="I24" s="73"/>
    </row>
    <row r="25" spans="1:9" s="24" customFormat="1" ht="15.75">
      <c r="A25" s="22"/>
      <c r="B25" s="94">
        <f t="shared" si="0"/>
        <v>12</v>
      </c>
      <c r="C25" s="71" t="s">
        <v>634</v>
      </c>
      <c r="D25" s="71" t="s">
        <v>635</v>
      </c>
      <c r="E25" s="74" t="s">
        <v>456</v>
      </c>
      <c r="F25" s="72">
        <v>500</v>
      </c>
      <c r="G25" s="73"/>
      <c r="H25" s="73"/>
      <c r="I25" s="73"/>
    </row>
    <row r="26" spans="1:9" s="95" customFormat="1" ht="15.75">
      <c r="A26" s="93"/>
      <c r="B26" s="94">
        <f t="shared" si="0"/>
        <v>13</v>
      </c>
      <c r="C26" s="80" t="s">
        <v>1069</v>
      </c>
      <c r="D26" s="80" t="s">
        <v>1070</v>
      </c>
      <c r="E26" s="81" t="s">
        <v>326</v>
      </c>
      <c r="F26" s="81">
        <v>4</v>
      </c>
      <c r="G26" s="85" t="s">
        <v>1071</v>
      </c>
      <c r="H26" s="19" t="s">
        <v>1072</v>
      </c>
      <c r="I26" s="82"/>
    </row>
    <row r="27" spans="1:9" s="95" customFormat="1" ht="15.75">
      <c r="A27" s="93"/>
      <c r="B27" s="94">
        <f t="shared" si="0"/>
        <v>14</v>
      </c>
      <c r="C27" s="80" t="s">
        <v>1073</v>
      </c>
      <c r="D27" s="80" t="s">
        <v>1074</v>
      </c>
      <c r="E27" s="81" t="s">
        <v>409</v>
      </c>
      <c r="F27" s="81"/>
      <c r="G27" s="82"/>
      <c r="H27" s="19"/>
      <c r="I27" s="82"/>
    </row>
    <row r="28" spans="1:9" s="95" customFormat="1" ht="15.75">
      <c r="A28" s="93"/>
      <c r="B28" s="94">
        <f t="shared" si="0"/>
        <v>15</v>
      </c>
      <c r="C28" s="80" t="s">
        <v>11</v>
      </c>
      <c r="D28" s="64" t="s">
        <v>1075</v>
      </c>
      <c r="E28" s="81" t="s">
        <v>409</v>
      </c>
      <c r="F28" s="81"/>
      <c r="G28" s="82"/>
      <c r="H28" s="82"/>
      <c r="I28" s="82"/>
    </row>
    <row r="29" spans="1:9" s="95" customFormat="1" ht="47.25">
      <c r="A29" s="93"/>
      <c r="B29" s="94">
        <f t="shared" si="0"/>
        <v>16</v>
      </c>
      <c r="C29" s="80" t="s">
        <v>1076</v>
      </c>
      <c r="D29" s="50" t="s">
        <v>1077</v>
      </c>
      <c r="E29" s="81" t="s">
        <v>326</v>
      </c>
      <c r="F29" s="81">
        <v>4</v>
      </c>
      <c r="G29" s="85" t="s">
        <v>1078</v>
      </c>
      <c r="H29" s="82" t="s">
        <v>1079</v>
      </c>
      <c r="I29" s="82"/>
    </row>
    <row r="30" spans="1:9" ht="15">
      <c r="B30" s="117"/>
    </row>
    <row r="31" spans="1:9" ht="15">
      <c r="B31" s="20"/>
    </row>
    <row r="32" spans="1:9" ht="15">
      <c r="B32" s="45"/>
    </row>
  </sheetData>
  <mergeCells count="6">
    <mergeCell ref="B1:E1"/>
    <mergeCell ref="F1:I1"/>
    <mergeCell ref="B2:E2"/>
    <mergeCell ref="F2:I2"/>
    <mergeCell ref="B12:E12"/>
    <mergeCell ref="F12:I12"/>
  </mergeCells>
  <phoneticPr fontId="5" type="noConversion"/>
  <pageMargins left="0.7" right="0.7" top="0.75" bottom="0.75" header="0.3" footer="0.3"/>
  <pageSetup paperSize="9" orientation="portrait" horizontalDpi="0" verticalDpi="0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BAA57F9-FD7D-4660-A08B-C9501F4003C0}">
  <sheetPr codeName="工作表37"/>
  <dimension ref="A1:I27"/>
  <sheetViews>
    <sheetView workbookViewId="0">
      <selection activeCell="C9" sqref="C9"/>
    </sheetView>
  </sheetViews>
  <sheetFormatPr defaultColWidth="6.625" defaultRowHeight="13.5"/>
  <cols>
    <col min="1" max="1" width="3.125" style="4" bestFit="1" customWidth="1"/>
    <col min="2" max="2" width="5.5" style="8" customWidth="1"/>
    <col min="3" max="3" width="25.625" style="4" customWidth="1"/>
    <col min="4" max="4" width="26.125" style="4" customWidth="1"/>
    <col min="5" max="5" width="11.125" style="4" bestFit="1" customWidth="1"/>
    <col min="6" max="6" width="10.375" style="4" customWidth="1"/>
    <col min="7" max="7" width="38" style="4" customWidth="1"/>
    <col min="8" max="8" width="37.125" style="4" customWidth="1"/>
    <col min="9" max="9" width="17.625" style="4" customWidth="1"/>
    <col min="10" max="16384" width="6.625" style="4"/>
  </cols>
  <sheetData>
    <row r="1" spans="1:9" ht="24">
      <c r="A1" s="1" t="e">
        <f ca="1">HYPERLINK("#'介面'!E"&amp;MATCH(VALUE(RIGHT(CELL("filename"),LEN(CELL("filename"))-FIND("]",CELL("filename")))),介面!D:D,"0"),"←")</f>
        <v>#VALUE!</v>
      </c>
      <c r="B1" s="216" t="s">
        <v>1080</v>
      </c>
      <c r="C1" s="217"/>
      <c r="D1" s="217"/>
      <c r="E1" s="218"/>
      <c r="F1" s="216" t="s">
        <v>1081</v>
      </c>
      <c r="G1" s="217"/>
      <c r="H1" s="217"/>
      <c r="I1" s="217"/>
    </row>
    <row r="2" spans="1:9" ht="24">
      <c r="A2" s="1"/>
      <c r="B2" s="210" t="s">
        <v>275</v>
      </c>
      <c r="C2" s="211"/>
      <c r="D2" s="211"/>
      <c r="E2" s="212"/>
      <c r="F2" s="210"/>
      <c r="G2" s="211"/>
      <c r="H2" s="211"/>
      <c r="I2" s="212"/>
    </row>
    <row r="3" spans="1:9" s="8" customFormat="1" ht="15">
      <c r="A3" s="6"/>
      <c r="B3" s="7" t="s">
        <v>276</v>
      </c>
      <c r="C3" s="56" t="s">
        <v>277</v>
      </c>
      <c r="D3" s="56" t="s">
        <v>278</v>
      </c>
      <c r="E3" s="57" t="s">
        <v>279</v>
      </c>
      <c r="F3" s="57" t="s">
        <v>280</v>
      </c>
      <c r="G3" s="56" t="s">
        <v>281</v>
      </c>
      <c r="H3" s="56" t="s">
        <v>11</v>
      </c>
      <c r="I3" s="56" t="s">
        <v>282</v>
      </c>
    </row>
    <row r="4" spans="1:9" s="24" customFormat="1" ht="15.75">
      <c r="A4" s="25"/>
      <c r="B4" s="46">
        <v>1</v>
      </c>
      <c r="C4" s="80" t="s">
        <v>297</v>
      </c>
      <c r="D4" s="80" t="s">
        <v>298</v>
      </c>
      <c r="E4" s="81" t="s">
        <v>285</v>
      </c>
      <c r="F4" s="81">
        <v>500</v>
      </c>
      <c r="G4" s="66" t="s">
        <v>330</v>
      </c>
      <c r="H4" s="142" t="s">
        <v>302</v>
      </c>
      <c r="I4" s="66" t="s">
        <v>287</v>
      </c>
    </row>
    <row r="5" spans="1:9" s="24" customFormat="1" ht="15">
      <c r="A5" s="25"/>
      <c r="B5" s="46">
        <f>B4+1</f>
        <v>2</v>
      </c>
      <c r="C5" s="50" t="s">
        <v>303</v>
      </c>
      <c r="D5" s="76" t="s">
        <v>304</v>
      </c>
      <c r="E5" s="51" t="s">
        <v>296</v>
      </c>
      <c r="F5" s="51">
        <v>20</v>
      </c>
      <c r="G5" s="66" t="s">
        <v>331</v>
      </c>
      <c r="H5" s="66"/>
      <c r="I5" s="66" t="s">
        <v>287</v>
      </c>
    </row>
    <row r="6" spans="1:9" s="95" customFormat="1" ht="15.75">
      <c r="A6" s="93"/>
      <c r="B6" s="94">
        <f>B5+1</f>
        <v>3</v>
      </c>
      <c r="C6" s="80" t="s">
        <v>1082</v>
      </c>
      <c r="D6" s="80" t="s">
        <v>1083</v>
      </c>
      <c r="E6" s="81" t="s">
        <v>316</v>
      </c>
      <c r="F6" s="81"/>
      <c r="G6" s="91" t="s">
        <v>985</v>
      </c>
      <c r="H6" s="66"/>
      <c r="I6" s="66" t="s">
        <v>287</v>
      </c>
    </row>
    <row r="7" spans="1:9" s="95" customFormat="1" ht="15.75">
      <c r="A7" s="93"/>
      <c r="B7" s="94">
        <f>B6+1</f>
        <v>4</v>
      </c>
      <c r="C7" s="80" t="s">
        <v>1084</v>
      </c>
      <c r="D7" s="80" t="s">
        <v>1085</v>
      </c>
      <c r="E7" s="81" t="s">
        <v>316</v>
      </c>
      <c r="F7" s="81"/>
      <c r="G7" s="91" t="s">
        <v>988</v>
      </c>
      <c r="H7" s="66"/>
      <c r="I7" s="66" t="s">
        <v>287</v>
      </c>
    </row>
    <row r="8" spans="1:9" s="24" customFormat="1" ht="15">
      <c r="A8" s="25"/>
      <c r="B8" s="46">
        <v>5</v>
      </c>
      <c r="C8" s="50" t="s">
        <v>637</v>
      </c>
      <c r="D8" s="50" t="s">
        <v>364</v>
      </c>
      <c r="E8" s="51" t="s">
        <v>296</v>
      </c>
      <c r="F8" s="51">
        <v>20</v>
      </c>
      <c r="G8" s="66" t="s">
        <v>331</v>
      </c>
      <c r="H8" s="66" t="s">
        <v>638</v>
      </c>
      <c r="I8" s="66" t="s">
        <v>639</v>
      </c>
    </row>
    <row r="9" spans="1:9" s="24" customFormat="1" ht="15">
      <c r="A9" s="25"/>
      <c r="B9" s="46">
        <v>6</v>
      </c>
      <c r="C9" s="50" t="s">
        <v>640</v>
      </c>
      <c r="D9" s="76" t="s">
        <v>641</v>
      </c>
      <c r="E9" s="51" t="s">
        <v>418</v>
      </c>
      <c r="F9" s="51">
        <v>11</v>
      </c>
      <c r="G9" s="66" t="s">
        <v>642</v>
      </c>
      <c r="H9" s="66" t="s">
        <v>638</v>
      </c>
      <c r="I9" s="66" t="s">
        <v>639</v>
      </c>
    </row>
    <row r="10" spans="1:9" s="24" customFormat="1" ht="15">
      <c r="A10" s="25"/>
      <c r="B10" s="6"/>
      <c r="C10" s="144"/>
      <c r="D10" s="144"/>
      <c r="E10" s="145"/>
      <c r="F10" s="145"/>
      <c r="G10" s="21"/>
      <c r="H10" s="21"/>
      <c r="I10" s="21"/>
    </row>
    <row r="11" spans="1:9" ht="15.75">
      <c r="A11" s="1"/>
      <c r="B11" s="2"/>
      <c r="C11" s="3"/>
      <c r="D11" s="3"/>
      <c r="E11" s="3"/>
      <c r="F11" s="3"/>
      <c r="G11" s="3"/>
      <c r="H11" s="3"/>
      <c r="I11" s="3"/>
    </row>
    <row r="12" spans="1:9" ht="24">
      <c r="A12" s="1"/>
      <c r="B12" s="204" t="s">
        <v>291</v>
      </c>
      <c r="C12" s="205"/>
      <c r="D12" s="205"/>
      <c r="E12" s="206"/>
      <c r="F12" s="204"/>
      <c r="G12" s="205"/>
      <c r="H12" s="205"/>
      <c r="I12" s="206"/>
    </row>
    <row r="13" spans="1:9" s="8" customFormat="1" ht="15">
      <c r="A13" s="6"/>
      <c r="B13" s="7" t="s">
        <v>276</v>
      </c>
      <c r="C13" s="56" t="s">
        <v>277</v>
      </c>
      <c r="D13" s="56" t="s">
        <v>278</v>
      </c>
      <c r="E13" s="57" t="s">
        <v>279</v>
      </c>
      <c r="F13" s="57" t="s">
        <v>280</v>
      </c>
      <c r="G13" s="56" t="s">
        <v>11</v>
      </c>
      <c r="H13" s="56" t="s">
        <v>292</v>
      </c>
      <c r="I13" s="56" t="s">
        <v>293</v>
      </c>
    </row>
    <row r="14" spans="1:9" ht="15.75">
      <c r="A14" s="5"/>
      <c r="B14" s="94">
        <v>1</v>
      </c>
      <c r="C14" s="80" t="s">
        <v>1086</v>
      </c>
      <c r="D14" s="80" t="s">
        <v>1087</v>
      </c>
      <c r="E14" s="81" t="s">
        <v>296</v>
      </c>
      <c r="F14" s="81">
        <v>20</v>
      </c>
      <c r="G14" s="82"/>
      <c r="H14" s="82"/>
      <c r="I14" s="82"/>
    </row>
    <row r="15" spans="1:9" s="95" customFormat="1" ht="15.75">
      <c r="A15" s="93"/>
      <c r="B15" s="94">
        <f>B14+1</f>
        <v>2</v>
      </c>
      <c r="C15" s="80" t="s">
        <v>637</v>
      </c>
      <c r="D15" s="80" t="s">
        <v>364</v>
      </c>
      <c r="E15" s="81" t="s">
        <v>296</v>
      </c>
      <c r="F15" s="81">
        <v>20</v>
      </c>
      <c r="G15" s="91"/>
      <c r="H15" s="19" t="s">
        <v>84</v>
      </c>
      <c r="I15" s="82" t="s">
        <v>364</v>
      </c>
    </row>
    <row r="16" spans="1:9" s="95" customFormat="1" ht="15.75">
      <c r="A16" s="93"/>
      <c r="B16" s="94">
        <f t="shared" ref="B16:B24" si="0">B15+1</f>
        <v>3</v>
      </c>
      <c r="C16" s="80" t="s">
        <v>1088</v>
      </c>
      <c r="D16" s="80" t="s">
        <v>1089</v>
      </c>
      <c r="E16" s="81" t="s">
        <v>316</v>
      </c>
      <c r="F16" s="81"/>
      <c r="G16" s="91"/>
      <c r="H16" s="19"/>
      <c r="I16" s="82"/>
    </row>
    <row r="17" spans="1:9" s="95" customFormat="1" ht="15.75">
      <c r="A17" s="93"/>
      <c r="B17" s="94">
        <f t="shared" si="0"/>
        <v>4</v>
      </c>
      <c r="C17" s="80" t="s">
        <v>1090</v>
      </c>
      <c r="D17" s="80" t="s">
        <v>595</v>
      </c>
      <c r="E17" s="81" t="s">
        <v>296</v>
      </c>
      <c r="F17" s="81">
        <v>20</v>
      </c>
      <c r="G17" s="91"/>
      <c r="H17" s="19" t="s">
        <v>592</v>
      </c>
      <c r="I17" s="80" t="s">
        <v>595</v>
      </c>
    </row>
    <row r="18" spans="1:9" ht="15.75">
      <c r="A18" s="5"/>
      <c r="B18" s="94">
        <f t="shared" si="0"/>
        <v>5</v>
      </c>
      <c r="C18" s="64" t="s">
        <v>596</v>
      </c>
      <c r="D18" s="64" t="s">
        <v>597</v>
      </c>
      <c r="E18" s="62" t="s">
        <v>456</v>
      </c>
      <c r="F18" s="62">
        <v>20</v>
      </c>
      <c r="G18" s="66"/>
      <c r="H18" s="66"/>
      <c r="I18" s="66"/>
    </row>
    <row r="19" spans="1:9" ht="15.75">
      <c r="A19" s="58"/>
      <c r="B19" s="94">
        <f t="shared" si="0"/>
        <v>6</v>
      </c>
      <c r="C19" s="64" t="s">
        <v>598</v>
      </c>
      <c r="D19" s="64" t="s">
        <v>599</v>
      </c>
      <c r="E19" s="68" t="s">
        <v>456</v>
      </c>
      <c r="F19" s="62">
        <v>100</v>
      </c>
      <c r="G19" s="66"/>
      <c r="H19" s="66"/>
      <c r="I19" s="66"/>
    </row>
    <row r="20" spans="1:9" ht="15.75">
      <c r="A20" s="58"/>
      <c r="B20" s="94">
        <f t="shared" si="0"/>
        <v>7</v>
      </c>
      <c r="C20" s="64" t="s">
        <v>600</v>
      </c>
      <c r="D20" s="64" t="s">
        <v>601</v>
      </c>
      <c r="E20" s="68" t="s">
        <v>456</v>
      </c>
      <c r="F20" s="62">
        <v>1000</v>
      </c>
      <c r="G20" s="66"/>
      <c r="H20" s="66"/>
      <c r="I20" s="66"/>
    </row>
    <row r="21" spans="1:9" s="95" customFormat="1" ht="15.75">
      <c r="A21" s="93"/>
      <c r="B21" s="94">
        <f t="shared" si="0"/>
        <v>8</v>
      </c>
      <c r="C21" s="80" t="s">
        <v>1091</v>
      </c>
      <c r="D21" s="82" t="s">
        <v>1092</v>
      </c>
      <c r="E21" s="81" t="s">
        <v>418</v>
      </c>
      <c r="F21" s="81">
        <v>11</v>
      </c>
      <c r="G21" s="91"/>
      <c r="H21" s="19"/>
      <c r="I21" s="82"/>
    </row>
    <row r="22" spans="1:9" s="95" customFormat="1" ht="15.75">
      <c r="A22" s="93"/>
      <c r="B22" s="94">
        <f t="shared" si="0"/>
        <v>9</v>
      </c>
      <c r="C22" s="80" t="s">
        <v>1093</v>
      </c>
      <c r="D22" s="80" t="s">
        <v>1094</v>
      </c>
      <c r="E22" s="81" t="s">
        <v>285</v>
      </c>
      <c r="F22" s="81">
        <v>100</v>
      </c>
      <c r="G22" s="91"/>
      <c r="H22" s="19"/>
      <c r="I22" s="82"/>
    </row>
    <row r="23" spans="1:9" s="95" customFormat="1" ht="15.75">
      <c r="A23" s="93"/>
      <c r="B23" s="94">
        <f t="shared" si="0"/>
        <v>10</v>
      </c>
      <c r="C23" s="80" t="s">
        <v>1095</v>
      </c>
      <c r="D23" s="80" t="s">
        <v>1096</v>
      </c>
      <c r="E23" s="81" t="s">
        <v>285</v>
      </c>
      <c r="F23" s="81">
        <v>500</v>
      </c>
      <c r="G23" s="82"/>
      <c r="H23" s="19"/>
      <c r="I23" s="82"/>
    </row>
    <row r="24" spans="1:9" s="95" customFormat="1" ht="15.75">
      <c r="A24" s="93"/>
      <c r="B24" s="94">
        <f t="shared" si="0"/>
        <v>11</v>
      </c>
      <c r="C24" s="80" t="s">
        <v>11</v>
      </c>
      <c r="D24" s="64" t="s">
        <v>1097</v>
      </c>
      <c r="E24" s="81" t="s">
        <v>285</v>
      </c>
      <c r="F24" s="81">
        <v>500</v>
      </c>
      <c r="G24" s="61"/>
      <c r="H24" s="82"/>
      <c r="I24" s="82"/>
    </row>
    <row r="25" spans="1:9" ht="15">
      <c r="B25" s="117"/>
    </row>
    <row r="26" spans="1:9" ht="15">
      <c r="B26" s="20"/>
    </row>
    <row r="27" spans="1:9" ht="15">
      <c r="B27" s="45"/>
    </row>
  </sheetData>
  <mergeCells count="6">
    <mergeCell ref="B1:E1"/>
    <mergeCell ref="F1:I1"/>
    <mergeCell ref="B2:E2"/>
    <mergeCell ref="F2:I2"/>
    <mergeCell ref="B12:E12"/>
    <mergeCell ref="F12:I12"/>
  </mergeCells>
  <phoneticPr fontId="5" type="noConversion"/>
  <pageMargins left="0.7" right="0.7" top="0.75" bottom="0.75" header="0.3" footer="0.3"/>
  <pageSetup paperSize="9" orientation="portrait" horizontalDpi="0" verticalDpi="0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E408CD6-1952-4C79-ABBE-F005564020CC}">
  <sheetPr codeName="工作表38"/>
  <dimension ref="A1:I79"/>
  <sheetViews>
    <sheetView workbookViewId="0"/>
  </sheetViews>
  <sheetFormatPr defaultColWidth="6.625" defaultRowHeight="13.5"/>
  <cols>
    <col min="1" max="1" width="3.125" style="4" bestFit="1" customWidth="1"/>
    <col min="2" max="2" width="5.5" style="8" customWidth="1"/>
    <col min="3" max="3" width="21" style="4" customWidth="1"/>
    <col min="4" max="4" width="26.125" style="4" customWidth="1"/>
    <col min="5" max="5" width="11.125" style="4" bestFit="1" customWidth="1"/>
    <col min="6" max="6" width="10.375" style="4" customWidth="1"/>
    <col min="7" max="7" width="28.625" style="4" customWidth="1"/>
    <col min="8" max="8" width="33.625" style="4" customWidth="1"/>
    <col min="9" max="9" width="13.625" style="4" customWidth="1"/>
    <col min="10" max="16384" width="6.625" style="4"/>
  </cols>
  <sheetData>
    <row r="1" spans="1:9" ht="24">
      <c r="A1" s="1" t="e">
        <f ca="1">HYPERLINK("#'介面'!E"&amp;MATCH(VALUE(RIGHT(CELL("filename"),LEN(CELL("filename"))-FIND("]",CELL("filename")))),介面!D:D,"0"),"←")</f>
        <v>#VALUE!</v>
      </c>
      <c r="B1" s="207" t="s">
        <v>1098</v>
      </c>
      <c r="C1" s="208"/>
      <c r="D1" s="208"/>
      <c r="E1" s="209"/>
      <c r="F1" s="207" t="s">
        <v>1099</v>
      </c>
      <c r="G1" s="208"/>
      <c r="H1" s="208"/>
      <c r="I1" s="208"/>
    </row>
    <row r="2" spans="1:9" ht="24">
      <c r="A2" s="1"/>
      <c r="B2" s="210" t="s">
        <v>275</v>
      </c>
      <c r="C2" s="211"/>
      <c r="D2" s="211"/>
      <c r="E2" s="212"/>
      <c r="F2" s="210"/>
      <c r="G2" s="211"/>
      <c r="H2" s="211"/>
      <c r="I2" s="212"/>
    </row>
    <row r="3" spans="1:9" s="8" customFormat="1" ht="15">
      <c r="A3" s="6"/>
      <c r="B3" s="7" t="s">
        <v>276</v>
      </c>
      <c r="C3" s="56" t="s">
        <v>277</v>
      </c>
      <c r="D3" s="56" t="s">
        <v>278</v>
      </c>
      <c r="E3" s="57" t="s">
        <v>279</v>
      </c>
      <c r="F3" s="57" t="s">
        <v>280</v>
      </c>
      <c r="G3" s="56" t="s">
        <v>281</v>
      </c>
      <c r="H3" s="56" t="s">
        <v>11</v>
      </c>
      <c r="I3" s="56" t="s">
        <v>282</v>
      </c>
    </row>
    <row r="4" spans="1:9" s="24" customFormat="1" ht="15.75">
      <c r="A4" s="25"/>
      <c r="B4" s="46">
        <v>1</v>
      </c>
      <c r="C4" s="80" t="s">
        <v>297</v>
      </c>
      <c r="D4" s="80" t="s">
        <v>298</v>
      </c>
      <c r="E4" s="81" t="s">
        <v>285</v>
      </c>
      <c r="F4" s="81">
        <v>500</v>
      </c>
      <c r="G4" s="66" t="s">
        <v>330</v>
      </c>
      <c r="H4" s="142" t="s">
        <v>302</v>
      </c>
      <c r="I4" s="66" t="s">
        <v>287</v>
      </c>
    </row>
    <row r="5" spans="1:9" s="24" customFormat="1" ht="15">
      <c r="A5" s="25"/>
      <c r="B5" s="46">
        <f>B4+1</f>
        <v>2</v>
      </c>
      <c r="C5" s="50" t="s">
        <v>303</v>
      </c>
      <c r="D5" s="76" t="s">
        <v>304</v>
      </c>
      <c r="E5" s="51" t="s">
        <v>296</v>
      </c>
      <c r="F5" s="51">
        <v>20</v>
      </c>
      <c r="G5" s="66" t="s">
        <v>331</v>
      </c>
      <c r="H5" s="66"/>
      <c r="I5" s="66" t="s">
        <v>287</v>
      </c>
    </row>
    <row r="6" spans="1:9" s="95" customFormat="1" ht="15.75">
      <c r="A6" s="93"/>
      <c r="B6" s="94">
        <f>B5+1</f>
        <v>3</v>
      </c>
      <c r="C6" s="80" t="s">
        <v>335</v>
      </c>
      <c r="D6" s="80" t="s">
        <v>336</v>
      </c>
      <c r="E6" s="81" t="s">
        <v>316</v>
      </c>
      <c r="F6" s="81"/>
      <c r="G6" s="91" t="s">
        <v>985</v>
      </c>
      <c r="H6" s="66"/>
      <c r="I6" s="66" t="s">
        <v>287</v>
      </c>
    </row>
    <row r="7" spans="1:9" s="24" customFormat="1" ht="15">
      <c r="A7" s="25"/>
      <c r="B7" s="46">
        <v>4</v>
      </c>
      <c r="C7" s="50" t="s">
        <v>637</v>
      </c>
      <c r="D7" s="50" t="s">
        <v>364</v>
      </c>
      <c r="E7" s="51" t="s">
        <v>296</v>
      </c>
      <c r="F7" s="51">
        <v>20</v>
      </c>
      <c r="G7" s="66" t="s">
        <v>331</v>
      </c>
      <c r="H7" s="66"/>
      <c r="I7" s="66" t="s">
        <v>287</v>
      </c>
    </row>
    <row r="8" spans="1:9" s="24" customFormat="1" ht="15">
      <c r="A8" s="25"/>
      <c r="B8" s="6"/>
      <c r="C8" s="144"/>
      <c r="D8" s="144"/>
      <c r="E8" s="145"/>
      <c r="F8" s="145"/>
      <c r="G8" s="21"/>
      <c r="H8" s="21"/>
      <c r="I8" s="21"/>
    </row>
    <row r="9" spans="1:9" ht="15.75">
      <c r="A9" s="1"/>
      <c r="B9" s="2"/>
      <c r="C9" s="3"/>
      <c r="D9" s="3"/>
      <c r="E9" s="3"/>
      <c r="F9" s="3"/>
      <c r="G9" s="3"/>
      <c r="H9" s="3"/>
      <c r="I9" s="3"/>
    </row>
    <row r="10" spans="1:9" ht="24">
      <c r="A10" s="1"/>
      <c r="B10" s="204" t="s">
        <v>291</v>
      </c>
      <c r="C10" s="205"/>
      <c r="D10" s="205"/>
      <c r="E10" s="206"/>
      <c r="F10" s="204"/>
      <c r="G10" s="205"/>
      <c r="H10" s="205"/>
      <c r="I10" s="206"/>
    </row>
    <row r="11" spans="1:9" s="8" customFormat="1" ht="15">
      <c r="A11" s="6"/>
      <c r="B11" s="7" t="s">
        <v>276</v>
      </c>
      <c r="C11" s="56" t="s">
        <v>277</v>
      </c>
      <c r="D11" s="56" t="s">
        <v>278</v>
      </c>
      <c r="E11" s="57" t="s">
        <v>279</v>
      </c>
      <c r="F11" s="57" t="s">
        <v>280</v>
      </c>
      <c r="G11" s="56" t="s">
        <v>11</v>
      </c>
      <c r="H11" s="56" t="s">
        <v>292</v>
      </c>
      <c r="I11" s="56" t="s">
        <v>293</v>
      </c>
    </row>
    <row r="12" spans="1:9" ht="15.75">
      <c r="A12" s="5"/>
      <c r="B12" s="46">
        <v>1</v>
      </c>
      <c r="C12" s="80" t="s">
        <v>637</v>
      </c>
      <c r="D12" s="80" t="s">
        <v>364</v>
      </c>
      <c r="E12" s="81" t="s">
        <v>296</v>
      </c>
      <c r="F12" s="81">
        <v>20</v>
      </c>
      <c r="G12" s="85"/>
      <c r="H12" s="82" t="s">
        <v>84</v>
      </c>
      <c r="I12" s="82" t="s">
        <v>364</v>
      </c>
    </row>
    <row r="13" spans="1:9" ht="15.75">
      <c r="A13" s="5"/>
      <c r="B13" s="46">
        <f>B12+1</f>
        <v>2</v>
      </c>
      <c r="C13" s="80" t="s">
        <v>653</v>
      </c>
      <c r="D13" s="80" t="s">
        <v>654</v>
      </c>
      <c r="E13" s="81" t="s">
        <v>285</v>
      </c>
      <c r="F13" s="81">
        <v>256</v>
      </c>
      <c r="G13" s="82" t="s">
        <v>1100</v>
      </c>
      <c r="H13" s="83"/>
      <c r="I13" s="83"/>
    </row>
    <row r="14" spans="1:9" ht="15.75">
      <c r="A14" s="5"/>
      <c r="B14" s="46">
        <f t="shared" ref="B14:B74" si="0">B13+1</f>
        <v>3</v>
      </c>
      <c r="C14" s="92" t="s">
        <v>1101</v>
      </c>
      <c r="D14" s="80" t="s">
        <v>1102</v>
      </c>
      <c r="E14" s="81" t="s">
        <v>316</v>
      </c>
      <c r="F14" s="81"/>
      <c r="G14" s="85"/>
      <c r="H14" s="82"/>
      <c r="I14" s="82"/>
    </row>
    <row r="15" spans="1:9" ht="15.75">
      <c r="A15" s="5"/>
      <c r="B15" s="46">
        <f t="shared" si="0"/>
        <v>4</v>
      </c>
      <c r="C15" s="92" t="s">
        <v>1103</v>
      </c>
      <c r="D15" s="80" t="s">
        <v>1104</v>
      </c>
      <c r="E15" s="81" t="s">
        <v>316</v>
      </c>
      <c r="F15" s="81"/>
      <c r="G15" s="85"/>
      <c r="H15" s="82"/>
      <c r="I15" s="82"/>
    </row>
    <row r="16" spans="1:9" s="98" customFormat="1" ht="15">
      <c r="A16" s="96"/>
      <c r="B16" s="46">
        <f t="shared" si="0"/>
        <v>5</v>
      </c>
      <c r="C16" s="50" t="s">
        <v>823</v>
      </c>
      <c r="D16" s="50" t="s">
        <v>439</v>
      </c>
      <c r="E16" s="51" t="s">
        <v>296</v>
      </c>
      <c r="F16" s="51">
        <v>20</v>
      </c>
      <c r="G16" s="52"/>
      <c r="H16" s="19" t="s">
        <v>47</v>
      </c>
      <c r="I16" s="19" t="s">
        <v>439</v>
      </c>
    </row>
    <row r="17" spans="1:9" s="98" customFormat="1" ht="15">
      <c r="A17" s="96"/>
      <c r="B17" s="46">
        <f t="shared" si="0"/>
        <v>6</v>
      </c>
      <c r="C17" s="50" t="s">
        <v>824</v>
      </c>
      <c r="D17" s="53" t="s">
        <v>825</v>
      </c>
      <c r="E17" s="62" t="s">
        <v>285</v>
      </c>
      <c r="F17" s="62">
        <v>20</v>
      </c>
      <c r="G17" s="52"/>
      <c r="H17" s="19"/>
      <c r="I17" s="19"/>
    </row>
    <row r="18" spans="1:9" s="98" customFormat="1" ht="15">
      <c r="A18" s="96"/>
      <c r="B18" s="46">
        <f t="shared" si="0"/>
        <v>7</v>
      </c>
      <c r="C18" s="50" t="s">
        <v>826</v>
      </c>
      <c r="D18" s="53" t="s">
        <v>827</v>
      </c>
      <c r="E18" s="62" t="s">
        <v>285</v>
      </c>
      <c r="F18" s="62">
        <v>100</v>
      </c>
      <c r="G18" s="52"/>
      <c r="H18" s="19"/>
      <c r="I18" s="19"/>
    </row>
    <row r="19" spans="1:9" s="101" customFormat="1" ht="15">
      <c r="A19" s="100"/>
      <c r="B19" s="46">
        <f t="shared" si="0"/>
        <v>8</v>
      </c>
      <c r="C19" s="104" t="s">
        <v>828</v>
      </c>
      <c r="D19" s="53" t="s">
        <v>829</v>
      </c>
      <c r="E19" s="27" t="s">
        <v>296</v>
      </c>
      <c r="F19" s="27">
        <v>20</v>
      </c>
      <c r="G19" s="29" t="s">
        <v>830</v>
      </c>
      <c r="H19" s="28" t="s">
        <v>43</v>
      </c>
      <c r="I19" s="28" t="s">
        <v>339</v>
      </c>
    </row>
    <row r="20" spans="1:9" s="98" customFormat="1" ht="15">
      <c r="A20" s="96"/>
      <c r="B20" s="46">
        <f t="shared" si="0"/>
        <v>9</v>
      </c>
      <c r="C20" s="104" t="s">
        <v>831</v>
      </c>
      <c r="D20" s="53" t="s">
        <v>832</v>
      </c>
      <c r="E20" s="62" t="s">
        <v>285</v>
      </c>
      <c r="F20" s="62">
        <v>50</v>
      </c>
      <c r="G20" s="52"/>
      <c r="H20" s="19"/>
      <c r="I20" s="19"/>
    </row>
    <row r="21" spans="1:9" s="98" customFormat="1" ht="15">
      <c r="A21" s="96"/>
      <c r="B21" s="46">
        <f t="shared" si="0"/>
        <v>10</v>
      </c>
      <c r="C21" s="104" t="s">
        <v>833</v>
      </c>
      <c r="D21" s="53" t="s">
        <v>834</v>
      </c>
      <c r="E21" s="62" t="s">
        <v>285</v>
      </c>
      <c r="F21" s="62">
        <v>100</v>
      </c>
      <c r="G21" s="19"/>
      <c r="H21" s="19"/>
      <c r="I21" s="19"/>
    </row>
    <row r="22" spans="1:9" s="101" customFormat="1" ht="15">
      <c r="A22" s="100"/>
      <c r="B22" s="46">
        <f t="shared" si="0"/>
        <v>11</v>
      </c>
      <c r="C22" s="104" t="s">
        <v>835</v>
      </c>
      <c r="D22" s="53" t="s">
        <v>836</v>
      </c>
      <c r="E22" s="27" t="s">
        <v>296</v>
      </c>
      <c r="F22" s="27">
        <v>20</v>
      </c>
      <c r="G22" s="29" t="s">
        <v>837</v>
      </c>
      <c r="H22" s="28" t="s">
        <v>43</v>
      </c>
      <c r="I22" s="28" t="s">
        <v>339</v>
      </c>
    </row>
    <row r="23" spans="1:9" s="98" customFormat="1" ht="15">
      <c r="A23" s="96"/>
      <c r="B23" s="46">
        <f t="shared" si="0"/>
        <v>12</v>
      </c>
      <c r="C23" s="104" t="s">
        <v>839</v>
      </c>
      <c r="D23" s="53" t="s">
        <v>840</v>
      </c>
      <c r="E23" s="62" t="s">
        <v>285</v>
      </c>
      <c r="F23" s="62">
        <v>50</v>
      </c>
      <c r="G23" s="52"/>
      <c r="H23" s="19"/>
      <c r="I23" s="19"/>
    </row>
    <row r="24" spans="1:9" s="98" customFormat="1" ht="15">
      <c r="A24" s="96"/>
      <c r="B24" s="46">
        <f t="shared" si="0"/>
        <v>13</v>
      </c>
      <c r="C24" s="104" t="s">
        <v>841</v>
      </c>
      <c r="D24" s="53" t="s">
        <v>842</v>
      </c>
      <c r="E24" s="62" t="s">
        <v>285</v>
      </c>
      <c r="F24" s="62">
        <v>100</v>
      </c>
      <c r="G24" s="19"/>
      <c r="H24" s="19"/>
      <c r="I24" s="19"/>
    </row>
    <row r="25" spans="1:9" s="101" customFormat="1" ht="15">
      <c r="A25" s="100"/>
      <c r="B25" s="46">
        <f t="shared" si="0"/>
        <v>14</v>
      </c>
      <c r="C25" s="104" t="s">
        <v>843</v>
      </c>
      <c r="D25" s="53" t="s">
        <v>844</v>
      </c>
      <c r="E25" s="27" t="s">
        <v>296</v>
      </c>
      <c r="F25" s="27">
        <v>20</v>
      </c>
      <c r="G25" s="29" t="s">
        <v>845</v>
      </c>
      <c r="H25" s="28" t="s">
        <v>43</v>
      </c>
      <c r="I25" s="28" t="s">
        <v>339</v>
      </c>
    </row>
    <row r="26" spans="1:9" s="98" customFormat="1" ht="15">
      <c r="A26" s="96"/>
      <c r="B26" s="46">
        <f t="shared" si="0"/>
        <v>15</v>
      </c>
      <c r="C26" s="104" t="s">
        <v>846</v>
      </c>
      <c r="D26" s="53" t="s">
        <v>847</v>
      </c>
      <c r="E26" s="62" t="s">
        <v>285</v>
      </c>
      <c r="F26" s="62">
        <v>50</v>
      </c>
      <c r="G26" s="52"/>
      <c r="H26" s="19"/>
      <c r="I26" s="19"/>
    </row>
    <row r="27" spans="1:9" s="98" customFormat="1" ht="15">
      <c r="A27" s="96"/>
      <c r="B27" s="46">
        <f t="shared" si="0"/>
        <v>16</v>
      </c>
      <c r="C27" s="104" t="s">
        <v>848</v>
      </c>
      <c r="D27" s="53" t="s">
        <v>849</v>
      </c>
      <c r="E27" s="62" t="s">
        <v>285</v>
      </c>
      <c r="F27" s="62">
        <v>100</v>
      </c>
      <c r="G27" s="19"/>
      <c r="H27" s="19"/>
      <c r="I27" s="19"/>
    </row>
    <row r="28" spans="1:9" s="101" customFormat="1" ht="15">
      <c r="A28" s="100"/>
      <c r="B28" s="46">
        <f t="shared" si="0"/>
        <v>17</v>
      </c>
      <c r="C28" s="104" t="s">
        <v>850</v>
      </c>
      <c r="D28" s="53" t="s">
        <v>851</v>
      </c>
      <c r="E28" s="27" t="s">
        <v>296</v>
      </c>
      <c r="F28" s="27">
        <v>20</v>
      </c>
      <c r="G28" s="29" t="s">
        <v>852</v>
      </c>
      <c r="H28" s="28" t="s">
        <v>43</v>
      </c>
      <c r="I28" s="28" t="s">
        <v>339</v>
      </c>
    </row>
    <row r="29" spans="1:9" s="98" customFormat="1" ht="15">
      <c r="A29" s="96"/>
      <c r="B29" s="46">
        <f t="shared" si="0"/>
        <v>18</v>
      </c>
      <c r="C29" s="104" t="s">
        <v>853</v>
      </c>
      <c r="D29" s="53" t="s">
        <v>854</v>
      </c>
      <c r="E29" s="62" t="s">
        <v>285</v>
      </c>
      <c r="F29" s="62">
        <v>50</v>
      </c>
      <c r="G29" s="52"/>
      <c r="H29" s="19"/>
      <c r="I29" s="19"/>
    </row>
    <row r="30" spans="1:9" s="98" customFormat="1" ht="15">
      <c r="A30" s="96"/>
      <c r="B30" s="46">
        <f t="shared" si="0"/>
        <v>19</v>
      </c>
      <c r="C30" s="104" t="s">
        <v>855</v>
      </c>
      <c r="D30" s="53" t="s">
        <v>856</v>
      </c>
      <c r="E30" s="62" t="s">
        <v>285</v>
      </c>
      <c r="F30" s="62">
        <v>100</v>
      </c>
      <c r="G30" s="19"/>
      <c r="H30" s="19"/>
      <c r="I30" s="19"/>
    </row>
    <row r="31" spans="1:9" s="101" customFormat="1" ht="15">
      <c r="A31" s="100"/>
      <c r="B31" s="46">
        <f t="shared" si="0"/>
        <v>20</v>
      </c>
      <c r="C31" s="104" t="s">
        <v>857</v>
      </c>
      <c r="D31" s="53" t="s">
        <v>858</v>
      </c>
      <c r="E31" s="27" t="s">
        <v>296</v>
      </c>
      <c r="F31" s="27">
        <v>20</v>
      </c>
      <c r="G31" s="29" t="s">
        <v>859</v>
      </c>
      <c r="H31" s="28" t="s">
        <v>43</v>
      </c>
      <c r="I31" s="28" t="s">
        <v>339</v>
      </c>
    </row>
    <row r="32" spans="1:9" s="98" customFormat="1" ht="15">
      <c r="A32" s="96"/>
      <c r="B32" s="46">
        <f t="shared" si="0"/>
        <v>21</v>
      </c>
      <c r="C32" s="104" t="s">
        <v>860</v>
      </c>
      <c r="D32" s="53" t="s">
        <v>861</v>
      </c>
      <c r="E32" s="62" t="s">
        <v>285</v>
      </c>
      <c r="F32" s="62">
        <v>50</v>
      </c>
      <c r="G32" s="52"/>
      <c r="H32" s="19"/>
      <c r="I32" s="19"/>
    </row>
    <row r="33" spans="1:9" s="98" customFormat="1" ht="15">
      <c r="A33" s="96"/>
      <c r="B33" s="46">
        <f t="shared" si="0"/>
        <v>22</v>
      </c>
      <c r="C33" s="104" t="s">
        <v>862</v>
      </c>
      <c r="D33" s="53" t="s">
        <v>863</v>
      </c>
      <c r="E33" s="62" t="s">
        <v>285</v>
      </c>
      <c r="F33" s="62">
        <v>100</v>
      </c>
      <c r="G33" s="19"/>
      <c r="H33" s="19"/>
      <c r="I33" s="19"/>
    </row>
    <row r="34" spans="1:9" s="101" customFormat="1" ht="15">
      <c r="A34" s="100"/>
      <c r="B34" s="46">
        <f t="shared" si="0"/>
        <v>23</v>
      </c>
      <c r="C34" s="102" t="s">
        <v>474</v>
      </c>
      <c r="D34" s="53" t="s">
        <v>864</v>
      </c>
      <c r="E34" s="27" t="s">
        <v>296</v>
      </c>
      <c r="F34" s="27">
        <v>20</v>
      </c>
      <c r="G34" s="102"/>
      <c r="H34" s="28" t="s">
        <v>472</v>
      </c>
      <c r="I34" s="28" t="s">
        <v>475</v>
      </c>
    </row>
    <row r="35" spans="1:9" s="98" customFormat="1" ht="15">
      <c r="A35" s="96"/>
      <c r="B35" s="46">
        <f t="shared" si="0"/>
        <v>24</v>
      </c>
      <c r="C35" s="102" t="s">
        <v>865</v>
      </c>
      <c r="D35" s="76" t="s">
        <v>477</v>
      </c>
      <c r="E35" s="62" t="s">
        <v>285</v>
      </c>
      <c r="F35" s="62">
        <v>20</v>
      </c>
      <c r="G35" s="52"/>
      <c r="H35" s="19"/>
      <c r="I35" s="19"/>
    </row>
    <row r="36" spans="1:9" s="98" customFormat="1" ht="15">
      <c r="A36" s="96"/>
      <c r="B36" s="46">
        <f t="shared" si="0"/>
        <v>25</v>
      </c>
      <c r="C36" s="102" t="s">
        <v>478</v>
      </c>
      <c r="D36" s="76" t="s">
        <v>479</v>
      </c>
      <c r="E36" s="62" t="s">
        <v>285</v>
      </c>
      <c r="F36" s="62">
        <v>100</v>
      </c>
      <c r="G36" s="19"/>
      <c r="H36" s="19"/>
      <c r="I36" s="19"/>
    </row>
    <row r="37" spans="1:9" s="101" customFormat="1" ht="15">
      <c r="A37" s="100"/>
      <c r="B37" s="46">
        <f t="shared" si="0"/>
        <v>26</v>
      </c>
      <c r="C37" s="102" t="s">
        <v>465</v>
      </c>
      <c r="D37" s="53" t="s">
        <v>451</v>
      </c>
      <c r="E37" s="27" t="s">
        <v>296</v>
      </c>
      <c r="F37" s="27">
        <v>20</v>
      </c>
      <c r="G37" s="102"/>
      <c r="H37" s="28" t="s">
        <v>50</v>
      </c>
      <c r="I37" s="28" t="s">
        <v>466</v>
      </c>
    </row>
    <row r="38" spans="1:9" s="98" customFormat="1" ht="15">
      <c r="A38" s="96"/>
      <c r="B38" s="46">
        <f t="shared" si="0"/>
        <v>27</v>
      </c>
      <c r="C38" s="102" t="s">
        <v>866</v>
      </c>
      <c r="D38" s="53" t="s">
        <v>455</v>
      </c>
      <c r="E38" s="62" t="s">
        <v>456</v>
      </c>
      <c r="F38" s="51">
        <v>20</v>
      </c>
      <c r="G38" s="52"/>
      <c r="H38" s="19"/>
      <c r="I38" s="19"/>
    </row>
    <row r="39" spans="1:9" s="98" customFormat="1" ht="15">
      <c r="A39" s="96"/>
      <c r="B39" s="46">
        <f t="shared" si="0"/>
        <v>28</v>
      </c>
      <c r="C39" s="102" t="s">
        <v>457</v>
      </c>
      <c r="D39" s="53" t="s">
        <v>868</v>
      </c>
      <c r="E39" s="68" t="s">
        <v>456</v>
      </c>
      <c r="F39" s="51">
        <v>50</v>
      </c>
      <c r="G39" s="19"/>
      <c r="H39" s="19"/>
      <c r="I39" s="19"/>
    </row>
    <row r="40" spans="1:9" s="101" customFormat="1" ht="15">
      <c r="A40" s="100"/>
      <c r="B40" s="46">
        <f t="shared" si="0"/>
        <v>29</v>
      </c>
      <c r="C40" s="102" t="s">
        <v>463</v>
      </c>
      <c r="D40" s="53" t="s">
        <v>869</v>
      </c>
      <c r="E40" s="27" t="s">
        <v>296</v>
      </c>
      <c r="F40" s="27">
        <v>20</v>
      </c>
      <c r="G40" s="102"/>
      <c r="H40" s="28" t="s">
        <v>461</v>
      </c>
      <c r="I40" s="26" t="s">
        <v>464</v>
      </c>
    </row>
    <row r="41" spans="1:9" s="98" customFormat="1" ht="15">
      <c r="A41" s="96"/>
      <c r="B41" s="46">
        <f t="shared" si="0"/>
        <v>30</v>
      </c>
      <c r="C41" s="102" t="s">
        <v>870</v>
      </c>
      <c r="D41" s="53" t="s">
        <v>468</v>
      </c>
      <c r="E41" s="62" t="s">
        <v>456</v>
      </c>
      <c r="F41" s="51">
        <v>20</v>
      </c>
      <c r="G41" s="52"/>
      <c r="H41" s="19"/>
      <c r="I41" s="19"/>
    </row>
    <row r="42" spans="1:9" s="98" customFormat="1" ht="15">
      <c r="A42" s="96"/>
      <c r="B42" s="46">
        <f t="shared" si="0"/>
        <v>31</v>
      </c>
      <c r="C42" s="102" t="s">
        <v>469</v>
      </c>
      <c r="D42" s="53" t="s">
        <v>871</v>
      </c>
      <c r="E42" s="68" t="s">
        <v>456</v>
      </c>
      <c r="F42" s="51">
        <v>50</v>
      </c>
      <c r="G42" s="19"/>
      <c r="H42" s="19"/>
      <c r="I42" s="19"/>
    </row>
    <row r="43" spans="1:9" s="101" customFormat="1" ht="15">
      <c r="A43" s="100"/>
      <c r="B43" s="46">
        <f t="shared" si="0"/>
        <v>32</v>
      </c>
      <c r="C43" s="102" t="s">
        <v>872</v>
      </c>
      <c r="D43" s="53" t="s">
        <v>873</v>
      </c>
      <c r="E43" s="27" t="s">
        <v>296</v>
      </c>
      <c r="F43" s="27">
        <v>20</v>
      </c>
      <c r="G43" s="102"/>
      <c r="H43" s="28" t="s">
        <v>483</v>
      </c>
      <c r="I43" s="28" t="s">
        <v>486</v>
      </c>
    </row>
    <row r="44" spans="1:9" s="98" customFormat="1" ht="15">
      <c r="A44" s="96"/>
      <c r="B44" s="46">
        <f t="shared" si="0"/>
        <v>33</v>
      </c>
      <c r="C44" s="102" t="s">
        <v>874</v>
      </c>
      <c r="D44" s="53" t="s">
        <v>488</v>
      </c>
      <c r="E44" s="62" t="s">
        <v>456</v>
      </c>
      <c r="F44" s="62">
        <v>20</v>
      </c>
      <c r="G44" s="52"/>
      <c r="H44" s="19"/>
      <c r="I44" s="19"/>
    </row>
    <row r="45" spans="1:9" s="98" customFormat="1" ht="15">
      <c r="A45" s="96"/>
      <c r="B45" s="46">
        <f t="shared" si="0"/>
        <v>34</v>
      </c>
      <c r="C45" s="102" t="s">
        <v>489</v>
      </c>
      <c r="D45" s="53" t="s">
        <v>875</v>
      </c>
      <c r="E45" s="68" t="s">
        <v>456</v>
      </c>
      <c r="F45" s="62">
        <v>100</v>
      </c>
      <c r="G45" s="19"/>
      <c r="H45" s="19"/>
      <c r="I45" s="19"/>
    </row>
    <row r="46" spans="1:9" s="101" customFormat="1" ht="15">
      <c r="A46" s="100"/>
      <c r="B46" s="46">
        <f t="shared" si="0"/>
        <v>35</v>
      </c>
      <c r="C46" s="102" t="s">
        <v>876</v>
      </c>
      <c r="D46" s="53" t="s">
        <v>497</v>
      </c>
      <c r="E46" s="27" t="s">
        <v>296</v>
      </c>
      <c r="F46" s="27">
        <v>20</v>
      </c>
      <c r="G46" s="102"/>
      <c r="H46" s="28" t="s">
        <v>58</v>
      </c>
      <c r="I46" s="28" t="s">
        <v>877</v>
      </c>
    </row>
    <row r="47" spans="1:9" s="98" customFormat="1" ht="15">
      <c r="A47" s="96"/>
      <c r="B47" s="46">
        <f t="shared" si="0"/>
        <v>36</v>
      </c>
      <c r="C47" s="102" t="s">
        <v>878</v>
      </c>
      <c r="D47" s="53" t="s">
        <v>879</v>
      </c>
      <c r="E47" s="62" t="s">
        <v>456</v>
      </c>
      <c r="F47" s="62">
        <v>20</v>
      </c>
      <c r="G47" s="52"/>
      <c r="H47" s="19"/>
      <c r="I47" s="19"/>
    </row>
    <row r="48" spans="1:9" s="98" customFormat="1" ht="15">
      <c r="A48" s="96"/>
      <c r="B48" s="46">
        <f t="shared" si="0"/>
        <v>37</v>
      </c>
      <c r="C48" s="102" t="s">
        <v>500</v>
      </c>
      <c r="D48" s="53" t="s">
        <v>880</v>
      </c>
      <c r="E48" s="68" t="s">
        <v>456</v>
      </c>
      <c r="F48" s="62">
        <v>100</v>
      </c>
      <c r="G48" s="19"/>
      <c r="H48" s="19"/>
      <c r="I48" s="19"/>
    </row>
    <row r="49" spans="1:9" s="101" customFormat="1" ht="15">
      <c r="A49" s="100"/>
      <c r="B49" s="46">
        <f t="shared" si="0"/>
        <v>38</v>
      </c>
      <c r="C49" s="102" t="s">
        <v>881</v>
      </c>
      <c r="D49" s="53" t="s">
        <v>882</v>
      </c>
      <c r="E49" s="27" t="s">
        <v>296</v>
      </c>
      <c r="F49" s="27">
        <v>20</v>
      </c>
      <c r="G49" s="102"/>
      <c r="H49" s="28" t="s">
        <v>504</v>
      </c>
      <c r="I49" s="26" t="s">
        <v>507</v>
      </c>
    </row>
    <row r="50" spans="1:9" s="98" customFormat="1" ht="15">
      <c r="A50" s="96"/>
      <c r="B50" s="46">
        <f t="shared" si="0"/>
        <v>39</v>
      </c>
      <c r="C50" s="102" t="s">
        <v>883</v>
      </c>
      <c r="D50" s="53" t="s">
        <v>884</v>
      </c>
      <c r="E50" s="62" t="s">
        <v>456</v>
      </c>
      <c r="F50" s="62">
        <v>50</v>
      </c>
      <c r="G50" s="52"/>
      <c r="H50" s="19"/>
      <c r="I50" s="19"/>
    </row>
    <row r="51" spans="1:9" s="98" customFormat="1" ht="15">
      <c r="A51" s="96"/>
      <c r="B51" s="46">
        <f t="shared" si="0"/>
        <v>40</v>
      </c>
      <c r="C51" s="102" t="s">
        <v>885</v>
      </c>
      <c r="D51" s="53" t="s">
        <v>886</v>
      </c>
      <c r="E51" s="68" t="s">
        <v>456</v>
      </c>
      <c r="F51" s="62">
        <v>100</v>
      </c>
      <c r="G51" s="19"/>
      <c r="H51" s="19"/>
      <c r="I51" s="19"/>
    </row>
    <row r="52" spans="1:9" s="101" customFormat="1" ht="15">
      <c r="A52" s="100"/>
      <c r="B52" s="46">
        <f t="shared" si="0"/>
        <v>41</v>
      </c>
      <c r="C52" s="102" t="s">
        <v>887</v>
      </c>
      <c r="D52" s="53" t="s">
        <v>888</v>
      </c>
      <c r="E52" s="27" t="s">
        <v>296</v>
      </c>
      <c r="F52" s="27">
        <v>20</v>
      </c>
      <c r="G52" s="102"/>
      <c r="H52" s="28" t="s">
        <v>514</v>
      </c>
      <c r="I52" s="28" t="s">
        <v>517</v>
      </c>
    </row>
    <row r="53" spans="1:9" s="98" customFormat="1" ht="15">
      <c r="A53" s="96"/>
      <c r="B53" s="46">
        <f t="shared" si="0"/>
        <v>42</v>
      </c>
      <c r="C53" s="102" t="s">
        <v>889</v>
      </c>
      <c r="D53" s="53" t="s">
        <v>890</v>
      </c>
      <c r="E53" s="62" t="s">
        <v>456</v>
      </c>
      <c r="F53" s="62">
        <v>20</v>
      </c>
      <c r="G53" s="52"/>
      <c r="H53" s="19"/>
      <c r="I53" s="19"/>
    </row>
    <row r="54" spans="1:9" s="98" customFormat="1" ht="15">
      <c r="A54" s="96"/>
      <c r="B54" s="46">
        <f t="shared" si="0"/>
        <v>43</v>
      </c>
      <c r="C54" s="102" t="s">
        <v>520</v>
      </c>
      <c r="D54" s="53" t="s">
        <v>891</v>
      </c>
      <c r="E54" s="68" t="s">
        <v>456</v>
      </c>
      <c r="F54" s="62">
        <v>100</v>
      </c>
      <c r="G54" s="19"/>
      <c r="H54" s="19"/>
      <c r="I54" s="19"/>
    </row>
    <row r="55" spans="1:9" s="101" customFormat="1" ht="15">
      <c r="A55" s="100"/>
      <c r="B55" s="46">
        <f t="shared" si="0"/>
        <v>44</v>
      </c>
      <c r="C55" s="102" t="s">
        <v>892</v>
      </c>
      <c r="D55" s="53" t="s">
        <v>893</v>
      </c>
      <c r="E55" s="27" t="s">
        <v>296</v>
      </c>
      <c r="F55" s="27">
        <v>20</v>
      </c>
      <c r="G55" s="102"/>
      <c r="H55" s="28" t="s">
        <v>524</v>
      </c>
      <c r="I55" s="28" t="s">
        <v>527</v>
      </c>
    </row>
    <row r="56" spans="1:9" s="98" customFormat="1" ht="15">
      <c r="A56" s="96"/>
      <c r="B56" s="46">
        <f t="shared" si="0"/>
        <v>45</v>
      </c>
      <c r="C56" s="102" t="s">
        <v>894</v>
      </c>
      <c r="D56" s="53" t="s">
        <v>529</v>
      </c>
      <c r="E56" s="62" t="s">
        <v>456</v>
      </c>
      <c r="F56" s="62">
        <v>20</v>
      </c>
      <c r="G56" s="52"/>
      <c r="H56" s="19"/>
      <c r="I56" s="19"/>
    </row>
    <row r="57" spans="1:9" s="98" customFormat="1" ht="15">
      <c r="A57" s="96"/>
      <c r="B57" s="46">
        <f t="shared" si="0"/>
        <v>46</v>
      </c>
      <c r="C57" s="102" t="s">
        <v>895</v>
      </c>
      <c r="D57" s="53" t="s">
        <v>896</v>
      </c>
      <c r="E57" s="68" t="s">
        <v>456</v>
      </c>
      <c r="F57" s="62">
        <v>100</v>
      </c>
      <c r="G57" s="19"/>
      <c r="H57" s="19"/>
      <c r="I57" s="19"/>
    </row>
    <row r="58" spans="1:9" s="101" customFormat="1" ht="15">
      <c r="A58" s="100"/>
      <c r="B58" s="46">
        <f t="shared" si="0"/>
        <v>47</v>
      </c>
      <c r="C58" s="102" t="s">
        <v>897</v>
      </c>
      <c r="D58" s="53" t="s">
        <v>898</v>
      </c>
      <c r="E58" s="27" t="s">
        <v>326</v>
      </c>
      <c r="F58" s="27">
        <v>4</v>
      </c>
      <c r="G58" s="102"/>
      <c r="H58" s="28" t="s">
        <v>899</v>
      </c>
      <c r="I58" s="28"/>
    </row>
    <row r="59" spans="1:9" s="98" customFormat="1" ht="15">
      <c r="A59" s="96"/>
      <c r="B59" s="46">
        <f t="shared" si="0"/>
        <v>48</v>
      </c>
      <c r="C59" s="102" t="s">
        <v>900</v>
      </c>
      <c r="D59" s="53" t="s">
        <v>901</v>
      </c>
      <c r="E59" s="62" t="s">
        <v>456</v>
      </c>
      <c r="F59" s="62">
        <v>20</v>
      </c>
      <c r="G59" s="52"/>
      <c r="H59" s="19"/>
      <c r="I59" s="19"/>
    </row>
    <row r="60" spans="1:9" s="98" customFormat="1" ht="15">
      <c r="A60" s="96"/>
      <c r="B60" s="46">
        <f t="shared" si="0"/>
        <v>49</v>
      </c>
      <c r="C60" s="102" t="s">
        <v>902</v>
      </c>
      <c r="D60" s="53" t="s">
        <v>903</v>
      </c>
      <c r="E60" s="27" t="s">
        <v>326</v>
      </c>
      <c r="F60" s="27">
        <v>4</v>
      </c>
      <c r="G60" s="19"/>
      <c r="H60" s="28" t="s">
        <v>904</v>
      </c>
      <c r="I60" s="19"/>
    </row>
    <row r="61" spans="1:9" s="101" customFormat="1" ht="15">
      <c r="A61" s="100"/>
      <c r="B61" s="46">
        <f t="shared" si="0"/>
        <v>50</v>
      </c>
      <c r="C61" s="102" t="s">
        <v>905</v>
      </c>
      <c r="D61" s="53" t="s">
        <v>906</v>
      </c>
      <c r="E61" s="62" t="s">
        <v>456</v>
      </c>
      <c r="F61" s="62">
        <v>20</v>
      </c>
      <c r="G61" s="102"/>
      <c r="H61" s="28"/>
      <c r="I61" s="28"/>
    </row>
    <row r="62" spans="1:9" s="101" customFormat="1" ht="15">
      <c r="A62" s="100"/>
      <c r="B62" s="46">
        <f t="shared" si="0"/>
        <v>51</v>
      </c>
      <c r="C62" s="102" t="s">
        <v>907</v>
      </c>
      <c r="D62" s="53" t="s">
        <v>908</v>
      </c>
      <c r="E62" s="27" t="s">
        <v>326</v>
      </c>
      <c r="F62" s="27">
        <v>4</v>
      </c>
      <c r="G62" s="102"/>
      <c r="H62" s="28" t="s">
        <v>909</v>
      </c>
      <c r="I62" s="28"/>
    </row>
    <row r="63" spans="1:9" s="98" customFormat="1" ht="15">
      <c r="A63" s="96"/>
      <c r="B63" s="46">
        <f t="shared" si="0"/>
        <v>52</v>
      </c>
      <c r="C63" s="102" t="s">
        <v>910</v>
      </c>
      <c r="D63" s="53" t="s">
        <v>911</v>
      </c>
      <c r="E63" s="62" t="s">
        <v>456</v>
      </c>
      <c r="F63" s="62">
        <v>20</v>
      </c>
      <c r="G63" s="52"/>
      <c r="H63" s="19"/>
      <c r="I63" s="19"/>
    </row>
    <row r="64" spans="1:9" s="101" customFormat="1" ht="15">
      <c r="A64" s="100"/>
      <c r="B64" s="46">
        <f t="shared" si="0"/>
        <v>53</v>
      </c>
      <c r="C64" s="102" t="s">
        <v>547</v>
      </c>
      <c r="D64" s="53" t="s">
        <v>912</v>
      </c>
      <c r="E64" s="27" t="s">
        <v>296</v>
      </c>
      <c r="F64" s="27">
        <v>20</v>
      </c>
      <c r="G64" s="102"/>
      <c r="H64" s="28" t="s">
        <v>66</v>
      </c>
      <c r="I64" s="26" t="s">
        <v>536</v>
      </c>
    </row>
    <row r="65" spans="1:9" s="98" customFormat="1" ht="15">
      <c r="A65" s="96"/>
      <c r="B65" s="46">
        <f t="shared" si="0"/>
        <v>54</v>
      </c>
      <c r="C65" s="102" t="s">
        <v>913</v>
      </c>
      <c r="D65" s="53" t="s">
        <v>538</v>
      </c>
      <c r="E65" s="62" t="s">
        <v>456</v>
      </c>
      <c r="F65" s="62">
        <v>20</v>
      </c>
      <c r="G65" s="52"/>
      <c r="H65" s="19"/>
      <c r="I65" s="19"/>
    </row>
    <row r="66" spans="1:9" s="98" customFormat="1" ht="15">
      <c r="A66" s="96"/>
      <c r="B66" s="46">
        <f t="shared" si="0"/>
        <v>55</v>
      </c>
      <c r="C66" s="102" t="s">
        <v>539</v>
      </c>
      <c r="D66" s="53" t="s">
        <v>914</v>
      </c>
      <c r="E66" s="68" t="s">
        <v>456</v>
      </c>
      <c r="F66" s="62">
        <v>100</v>
      </c>
      <c r="G66" s="19"/>
      <c r="H66" s="19"/>
      <c r="I66" s="19"/>
    </row>
    <row r="67" spans="1:9" s="101" customFormat="1" ht="15">
      <c r="A67" s="100"/>
      <c r="B67" s="46">
        <f t="shared" si="0"/>
        <v>56</v>
      </c>
      <c r="C67" s="102" t="s">
        <v>915</v>
      </c>
      <c r="D67" s="53" t="s">
        <v>546</v>
      </c>
      <c r="E67" s="27" t="s">
        <v>296</v>
      </c>
      <c r="F67" s="27">
        <v>20</v>
      </c>
      <c r="G67" s="102"/>
      <c r="H67" s="28" t="s">
        <v>543</v>
      </c>
      <c r="I67" s="26" t="s">
        <v>916</v>
      </c>
    </row>
    <row r="68" spans="1:9" s="98" customFormat="1" ht="15">
      <c r="A68" s="96"/>
      <c r="B68" s="46">
        <f t="shared" si="0"/>
        <v>57</v>
      </c>
      <c r="C68" s="102" t="s">
        <v>917</v>
      </c>
      <c r="D68" s="53" t="s">
        <v>549</v>
      </c>
      <c r="E68" s="62" t="s">
        <v>456</v>
      </c>
      <c r="F68" s="62">
        <v>20</v>
      </c>
      <c r="G68" s="52"/>
      <c r="H68" s="19"/>
      <c r="I68" s="19"/>
    </row>
    <row r="69" spans="1:9" s="98" customFormat="1" ht="15">
      <c r="A69" s="96"/>
      <c r="B69" s="46">
        <f t="shared" si="0"/>
        <v>58</v>
      </c>
      <c r="C69" s="102" t="s">
        <v>550</v>
      </c>
      <c r="D69" s="53" t="s">
        <v>918</v>
      </c>
      <c r="E69" s="68" t="s">
        <v>456</v>
      </c>
      <c r="F69" s="62">
        <v>100</v>
      </c>
      <c r="G69" s="19"/>
      <c r="H69" s="19"/>
      <c r="I69" s="19"/>
    </row>
    <row r="70" spans="1:9" s="101" customFormat="1" ht="15">
      <c r="A70" s="100"/>
      <c r="B70" s="46">
        <f t="shared" si="0"/>
        <v>59</v>
      </c>
      <c r="C70" s="102" t="s">
        <v>919</v>
      </c>
      <c r="D70" s="53" t="s">
        <v>920</v>
      </c>
      <c r="E70" s="27" t="s">
        <v>285</v>
      </c>
      <c r="F70" s="27">
        <v>20</v>
      </c>
      <c r="G70" s="102"/>
      <c r="H70" s="28" t="s">
        <v>554</v>
      </c>
      <c r="I70" s="28" t="s">
        <v>557</v>
      </c>
    </row>
    <row r="71" spans="1:9" s="98" customFormat="1" ht="15">
      <c r="A71" s="96"/>
      <c r="B71" s="46">
        <f t="shared" si="0"/>
        <v>60</v>
      </c>
      <c r="C71" s="102" t="s">
        <v>921</v>
      </c>
      <c r="D71" s="53" t="s">
        <v>559</v>
      </c>
      <c r="E71" s="62" t="s">
        <v>456</v>
      </c>
      <c r="F71" s="62">
        <v>20</v>
      </c>
      <c r="G71" s="52"/>
      <c r="H71" s="19"/>
      <c r="I71" s="19"/>
    </row>
    <row r="72" spans="1:9" s="98" customFormat="1" ht="15">
      <c r="A72" s="96"/>
      <c r="B72" s="46">
        <f t="shared" si="0"/>
        <v>61</v>
      </c>
      <c r="C72" s="102" t="s">
        <v>560</v>
      </c>
      <c r="D72" s="53" t="s">
        <v>922</v>
      </c>
      <c r="E72" s="68" t="s">
        <v>456</v>
      </c>
      <c r="F72" s="62">
        <v>100</v>
      </c>
      <c r="G72" s="19"/>
      <c r="H72" s="19"/>
      <c r="I72" s="19"/>
    </row>
    <row r="73" spans="1:9" s="98" customFormat="1" ht="30">
      <c r="A73" s="96"/>
      <c r="B73" s="46">
        <f t="shared" si="0"/>
        <v>62</v>
      </c>
      <c r="C73" s="53" t="s">
        <v>933</v>
      </c>
      <c r="D73" s="53" t="s">
        <v>1105</v>
      </c>
      <c r="E73" s="51" t="s">
        <v>326</v>
      </c>
      <c r="F73" s="51">
        <v>4</v>
      </c>
      <c r="G73" s="52" t="s">
        <v>935</v>
      </c>
      <c r="H73" s="19" t="s">
        <v>936</v>
      </c>
      <c r="I73" s="19"/>
    </row>
    <row r="74" spans="1:9" s="98" customFormat="1" ht="15">
      <c r="A74" s="96"/>
      <c r="B74" s="46">
        <f t="shared" si="0"/>
        <v>63</v>
      </c>
      <c r="C74" s="53" t="s">
        <v>937</v>
      </c>
      <c r="D74" s="53" t="s">
        <v>1106</v>
      </c>
      <c r="E74" s="62" t="s">
        <v>456</v>
      </c>
      <c r="F74" s="62">
        <v>20</v>
      </c>
      <c r="G74" s="52"/>
      <c r="H74" s="19"/>
      <c r="I74" s="19"/>
    </row>
    <row r="75" spans="1:9" ht="15">
      <c r="B75" s="21"/>
    </row>
    <row r="76" spans="1:9" ht="15">
      <c r="B76" s="45"/>
    </row>
    <row r="77" spans="1:9" ht="15">
      <c r="B77" s="45"/>
    </row>
    <row r="78" spans="1:9" ht="15">
      <c r="B78" s="45"/>
    </row>
    <row r="79" spans="1:9" ht="15">
      <c r="B79" s="45"/>
    </row>
  </sheetData>
  <mergeCells count="6">
    <mergeCell ref="B10:E10"/>
    <mergeCell ref="F10:I10"/>
    <mergeCell ref="B1:E1"/>
    <mergeCell ref="F1:I1"/>
    <mergeCell ref="B2:E2"/>
    <mergeCell ref="F2:I2"/>
  </mergeCells>
  <phoneticPr fontId="5" type="noConversion"/>
  <pageMargins left="0.7" right="0.7" top="0.75" bottom="0.75" header="0.3" footer="0.3"/>
  <pageSetup paperSize="9" orientation="portrait" horizontalDpi="0" verticalDpi="0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A52D6FC-C52E-402C-8899-D333B40E87E7}">
  <sheetPr codeName="工作表112"/>
  <dimension ref="A1:I39"/>
  <sheetViews>
    <sheetView zoomScale="120" zoomScaleNormal="120" workbookViewId="0">
      <selection activeCell="C7" sqref="C7"/>
    </sheetView>
  </sheetViews>
  <sheetFormatPr defaultColWidth="6.625" defaultRowHeight="13.5"/>
  <cols>
    <col min="1" max="1" width="3.125" style="4" bestFit="1" customWidth="1"/>
    <col min="2" max="2" width="5.5" style="8" customWidth="1"/>
    <col min="3" max="3" width="21" style="4" customWidth="1"/>
    <col min="4" max="4" width="26.125" style="4" customWidth="1"/>
    <col min="5" max="5" width="11.125" style="4" bestFit="1" customWidth="1"/>
    <col min="6" max="6" width="10.375" style="4" customWidth="1"/>
    <col min="7" max="7" width="28.625" style="4" customWidth="1"/>
    <col min="8" max="8" width="33.625" style="4" customWidth="1"/>
    <col min="9" max="9" width="13.625" style="4" customWidth="1"/>
    <col min="10" max="16384" width="6.625" style="4"/>
  </cols>
  <sheetData>
    <row r="1" spans="1:9" ht="24">
      <c r="A1" s="1" t="e">
        <f ca="1">HYPERLINK("#'介面'!E"&amp;MATCH(VALUE(RIGHT(CELL("filename"),LEN(CELL("filename"))-FIND("]",CELL("filename")))),介面!D:D,"0"),"←")</f>
        <v>#VALUE!</v>
      </c>
      <c r="B1" s="207" t="s">
        <v>98</v>
      </c>
      <c r="C1" s="208"/>
      <c r="D1" s="208"/>
      <c r="E1" s="209"/>
      <c r="F1" s="207" t="s">
        <v>1107</v>
      </c>
      <c r="G1" s="208"/>
      <c r="H1" s="208"/>
      <c r="I1" s="208"/>
    </row>
    <row r="2" spans="1:9" ht="24">
      <c r="A2" s="1"/>
      <c r="B2" s="210" t="s">
        <v>275</v>
      </c>
      <c r="C2" s="211"/>
      <c r="D2" s="211"/>
      <c r="E2" s="212"/>
      <c r="F2" s="210"/>
      <c r="G2" s="211"/>
      <c r="H2" s="211"/>
      <c r="I2" s="212"/>
    </row>
    <row r="3" spans="1:9" s="8" customFormat="1" ht="15">
      <c r="A3" s="6"/>
      <c r="B3" s="7" t="s">
        <v>276</v>
      </c>
      <c r="C3" s="56" t="s">
        <v>277</v>
      </c>
      <c r="D3" s="56" t="s">
        <v>278</v>
      </c>
      <c r="E3" s="57" t="s">
        <v>279</v>
      </c>
      <c r="F3" s="57" t="s">
        <v>280</v>
      </c>
      <c r="G3" s="56" t="s">
        <v>281</v>
      </c>
      <c r="H3" s="56" t="s">
        <v>11</v>
      </c>
      <c r="I3" s="56" t="s">
        <v>282</v>
      </c>
    </row>
    <row r="4" spans="1:9" s="24" customFormat="1" ht="15.75">
      <c r="A4" s="25"/>
      <c r="B4" s="46">
        <v>1</v>
      </c>
      <c r="C4" s="80" t="s">
        <v>297</v>
      </c>
      <c r="D4" s="80" t="s">
        <v>298</v>
      </c>
      <c r="E4" s="81" t="s">
        <v>285</v>
      </c>
      <c r="F4" s="81">
        <v>500</v>
      </c>
      <c r="G4" s="66" t="s">
        <v>330</v>
      </c>
      <c r="H4" s="142" t="s">
        <v>302</v>
      </c>
      <c r="I4" s="66" t="s">
        <v>287</v>
      </c>
    </row>
    <row r="5" spans="1:9" s="24" customFormat="1" ht="15">
      <c r="A5" s="25"/>
      <c r="B5" s="46">
        <f>B4+1</f>
        <v>2</v>
      </c>
      <c r="C5" s="50" t="s">
        <v>303</v>
      </c>
      <c r="D5" s="76" t="s">
        <v>304</v>
      </c>
      <c r="E5" s="51" t="s">
        <v>296</v>
      </c>
      <c r="F5" s="51">
        <v>20</v>
      </c>
      <c r="G5" s="66" t="s">
        <v>331</v>
      </c>
      <c r="H5" s="66"/>
      <c r="I5" s="66" t="s">
        <v>287</v>
      </c>
    </row>
    <row r="6" spans="1:9" s="24" customFormat="1" ht="15">
      <c r="A6" s="25"/>
      <c r="B6" s="46">
        <v>3</v>
      </c>
      <c r="C6" s="50" t="s">
        <v>637</v>
      </c>
      <c r="D6" s="50" t="s">
        <v>364</v>
      </c>
      <c r="E6" s="51" t="s">
        <v>296</v>
      </c>
      <c r="F6" s="51">
        <v>20</v>
      </c>
      <c r="G6" s="66" t="s">
        <v>331</v>
      </c>
      <c r="H6" s="66"/>
      <c r="I6" s="66" t="s">
        <v>639</v>
      </c>
    </row>
    <row r="7" spans="1:9" s="24" customFormat="1" ht="15">
      <c r="A7" s="25"/>
      <c r="B7" s="46">
        <v>4</v>
      </c>
      <c r="C7" s="50" t="s">
        <v>640</v>
      </c>
      <c r="D7" s="76" t="s">
        <v>641</v>
      </c>
      <c r="E7" s="51" t="s">
        <v>418</v>
      </c>
      <c r="F7" s="51">
        <v>11</v>
      </c>
      <c r="G7" s="66" t="s">
        <v>642</v>
      </c>
      <c r="H7" s="66"/>
      <c r="I7" s="66" t="s">
        <v>639</v>
      </c>
    </row>
    <row r="8" spans="1:9" ht="15.75">
      <c r="A8" s="1"/>
      <c r="B8" s="2"/>
      <c r="C8" s="3"/>
      <c r="D8" s="3"/>
      <c r="E8" s="3"/>
      <c r="F8" s="3"/>
      <c r="G8" s="3"/>
      <c r="H8" s="3"/>
      <c r="I8" s="3"/>
    </row>
    <row r="9" spans="1:9" ht="24">
      <c r="A9" s="1"/>
      <c r="B9" s="204" t="s">
        <v>291</v>
      </c>
      <c r="C9" s="205"/>
      <c r="D9" s="205"/>
      <c r="E9" s="206"/>
      <c r="F9" s="204"/>
      <c r="G9" s="205"/>
      <c r="H9" s="205"/>
      <c r="I9" s="206"/>
    </row>
    <row r="10" spans="1:9" s="8" customFormat="1" ht="15">
      <c r="A10" s="6"/>
      <c r="B10" s="7" t="s">
        <v>276</v>
      </c>
      <c r="C10" s="56" t="s">
        <v>277</v>
      </c>
      <c r="D10" s="56" t="s">
        <v>278</v>
      </c>
      <c r="E10" s="57" t="s">
        <v>279</v>
      </c>
      <c r="F10" s="57" t="s">
        <v>280</v>
      </c>
      <c r="G10" s="56" t="s">
        <v>11</v>
      </c>
      <c r="H10" s="56" t="s">
        <v>292</v>
      </c>
      <c r="I10" s="56" t="s">
        <v>293</v>
      </c>
    </row>
    <row r="11" spans="1:9" ht="15.75">
      <c r="A11" s="5"/>
      <c r="B11" s="46">
        <v>1</v>
      </c>
      <c r="C11" s="80" t="s">
        <v>1108</v>
      </c>
      <c r="D11" s="80" t="s">
        <v>1109</v>
      </c>
      <c r="E11" s="81" t="s">
        <v>296</v>
      </c>
      <c r="F11" s="81">
        <v>20</v>
      </c>
      <c r="G11" s="91"/>
      <c r="H11" s="19"/>
      <c r="I11" s="82"/>
    </row>
    <row r="12" spans="1:9" ht="15.75">
      <c r="A12" s="5"/>
      <c r="B12" s="46">
        <f>B11+1</f>
        <v>2</v>
      </c>
      <c r="C12" s="80" t="s">
        <v>637</v>
      </c>
      <c r="D12" s="80" t="s">
        <v>364</v>
      </c>
      <c r="E12" s="81" t="s">
        <v>296</v>
      </c>
      <c r="F12" s="81">
        <v>20</v>
      </c>
      <c r="G12" s="91"/>
      <c r="H12" s="19" t="s">
        <v>84</v>
      </c>
      <c r="I12" s="82" t="s">
        <v>364</v>
      </c>
    </row>
    <row r="13" spans="1:9" ht="15.75">
      <c r="A13" s="5"/>
      <c r="B13" s="46">
        <f>B12+1</f>
        <v>3</v>
      </c>
      <c r="C13" s="80" t="s">
        <v>653</v>
      </c>
      <c r="D13" s="80" t="s">
        <v>654</v>
      </c>
      <c r="E13" s="81" t="s">
        <v>285</v>
      </c>
      <c r="F13" s="81">
        <v>20</v>
      </c>
      <c r="G13" s="91" t="s">
        <v>655</v>
      </c>
      <c r="H13" s="19"/>
      <c r="I13" s="82"/>
    </row>
    <row r="14" spans="1:9" ht="15.75">
      <c r="A14" s="5"/>
      <c r="B14" s="46">
        <f t="shared" ref="B14:B34" si="0">B13+1</f>
        <v>4</v>
      </c>
      <c r="C14" s="92" t="s">
        <v>1110</v>
      </c>
      <c r="D14" s="80" t="s">
        <v>1111</v>
      </c>
      <c r="E14" s="81" t="s">
        <v>326</v>
      </c>
      <c r="F14" s="81">
        <v>4</v>
      </c>
      <c r="G14" s="91" t="s">
        <v>1112</v>
      </c>
      <c r="H14" s="19"/>
      <c r="I14" s="82"/>
    </row>
    <row r="15" spans="1:9" ht="15.75">
      <c r="A15" s="5"/>
      <c r="B15" s="46">
        <f t="shared" si="0"/>
        <v>5</v>
      </c>
      <c r="C15" s="92" t="s">
        <v>1113</v>
      </c>
      <c r="D15" s="80" t="s">
        <v>1102</v>
      </c>
      <c r="E15" s="81" t="s">
        <v>316</v>
      </c>
      <c r="F15" s="81"/>
      <c r="G15" s="91"/>
      <c r="H15" s="19"/>
      <c r="I15" s="82"/>
    </row>
    <row r="16" spans="1:9" s="98" customFormat="1" ht="15.75">
      <c r="A16" s="96"/>
      <c r="B16" s="46">
        <f t="shared" si="0"/>
        <v>6</v>
      </c>
      <c r="C16" s="92" t="s">
        <v>1114</v>
      </c>
      <c r="D16" s="80" t="s">
        <v>1104</v>
      </c>
      <c r="E16" s="81" t="s">
        <v>316</v>
      </c>
      <c r="F16" s="51"/>
      <c r="G16" s="91"/>
      <c r="H16" s="19"/>
      <c r="I16" s="82"/>
    </row>
    <row r="17" spans="1:9" s="98" customFormat="1" ht="15.75">
      <c r="A17" s="96"/>
      <c r="B17" s="46">
        <f t="shared" si="0"/>
        <v>7</v>
      </c>
      <c r="C17" s="92" t="s">
        <v>303</v>
      </c>
      <c r="D17" s="80" t="s">
        <v>304</v>
      </c>
      <c r="E17" s="81" t="s">
        <v>296</v>
      </c>
      <c r="F17" s="81">
        <v>20</v>
      </c>
      <c r="G17" s="91"/>
      <c r="H17" s="19" t="s">
        <v>41</v>
      </c>
      <c r="I17" s="82" t="s">
        <v>304</v>
      </c>
    </row>
    <row r="18" spans="1:9" s="98" customFormat="1" ht="30">
      <c r="A18" s="96"/>
      <c r="B18" s="46">
        <f t="shared" si="0"/>
        <v>8</v>
      </c>
      <c r="C18" s="92" t="s">
        <v>332</v>
      </c>
      <c r="D18" s="80" t="s">
        <v>333</v>
      </c>
      <c r="E18" s="81" t="s">
        <v>285</v>
      </c>
      <c r="F18" s="81">
        <v>1</v>
      </c>
      <c r="G18" s="91" t="s">
        <v>1115</v>
      </c>
      <c r="H18" s="19"/>
      <c r="I18" s="82"/>
    </row>
    <row r="19" spans="1:9" s="101" customFormat="1" ht="16.350000000000001" customHeight="1">
      <c r="A19" s="100"/>
      <c r="B19" s="46">
        <f t="shared" si="0"/>
        <v>9</v>
      </c>
      <c r="C19" s="104" t="s">
        <v>338</v>
      </c>
      <c r="D19" s="53" t="s">
        <v>339</v>
      </c>
      <c r="E19" s="27" t="s">
        <v>296</v>
      </c>
      <c r="F19" s="27">
        <v>20</v>
      </c>
      <c r="G19" s="91" t="s">
        <v>1116</v>
      </c>
      <c r="H19" s="19" t="s">
        <v>43</v>
      </c>
      <c r="I19" s="82" t="s">
        <v>339</v>
      </c>
    </row>
    <row r="20" spans="1:9" s="98" customFormat="1" ht="15.75">
      <c r="A20" s="96"/>
      <c r="B20" s="46">
        <f t="shared" si="0"/>
        <v>10</v>
      </c>
      <c r="C20" s="104" t="s">
        <v>1117</v>
      </c>
      <c r="D20" s="53" t="s">
        <v>344</v>
      </c>
      <c r="E20" s="62" t="s">
        <v>285</v>
      </c>
      <c r="F20" s="62">
        <v>50</v>
      </c>
      <c r="G20" s="91"/>
      <c r="H20" s="19"/>
      <c r="I20" s="82"/>
    </row>
    <row r="21" spans="1:9" s="98" customFormat="1" ht="15.75">
      <c r="A21" s="96"/>
      <c r="B21" s="46">
        <f t="shared" si="0"/>
        <v>11</v>
      </c>
      <c r="C21" s="104" t="s">
        <v>345</v>
      </c>
      <c r="D21" s="53" t="s">
        <v>346</v>
      </c>
      <c r="E21" s="62" t="s">
        <v>285</v>
      </c>
      <c r="F21" s="62">
        <v>100</v>
      </c>
      <c r="G21" s="91"/>
      <c r="H21" s="19"/>
      <c r="I21" s="82"/>
    </row>
    <row r="22" spans="1:9" s="101" customFormat="1" ht="15.75">
      <c r="A22" s="100"/>
      <c r="B22" s="46">
        <f t="shared" si="0"/>
        <v>12</v>
      </c>
      <c r="C22" s="80" t="s">
        <v>474</v>
      </c>
      <c r="D22" s="80" t="s">
        <v>475</v>
      </c>
      <c r="E22" s="87" t="s">
        <v>296</v>
      </c>
      <c r="F22" s="87">
        <v>20</v>
      </c>
      <c r="G22" s="91" t="s">
        <v>1118</v>
      </c>
      <c r="H22" s="19" t="s">
        <v>472</v>
      </c>
      <c r="I22" s="82" t="s">
        <v>475</v>
      </c>
    </row>
    <row r="23" spans="1:9" s="98" customFormat="1" ht="15.75">
      <c r="A23" s="96"/>
      <c r="B23" s="46">
        <f t="shared" si="0"/>
        <v>13</v>
      </c>
      <c r="C23" s="102" t="s">
        <v>865</v>
      </c>
      <c r="D23" s="76" t="s">
        <v>477</v>
      </c>
      <c r="E23" s="62" t="s">
        <v>285</v>
      </c>
      <c r="F23" s="62">
        <v>20</v>
      </c>
      <c r="G23" s="91"/>
      <c r="H23" s="19"/>
      <c r="I23" s="82"/>
    </row>
    <row r="24" spans="1:9" s="98" customFormat="1" ht="15.75">
      <c r="A24" s="96"/>
      <c r="B24" s="46">
        <f t="shared" si="0"/>
        <v>14</v>
      </c>
      <c r="C24" s="102" t="s">
        <v>478</v>
      </c>
      <c r="D24" s="76" t="s">
        <v>479</v>
      </c>
      <c r="E24" s="62" t="s">
        <v>285</v>
      </c>
      <c r="F24" s="62">
        <v>100</v>
      </c>
      <c r="G24" s="91"/>
      <c r="H24" s="19"/>
      <c r="I24" s="82"/>
    </row>
    <row r="25" spans="1:9" s="101" customFormat="1" ht="15.75">
      <c r="A25" s="100"/>
      <c r="B25" s="46">
        <f t="shared" si="0"/>
        <v>15</v>
      </c>
      <c r="C25" s="102" t="s">
        <v>872</v>
      </c>
      <c r="D25" s="53" t="s">
        <v>873</v>
      </c>
      <c r="E25" s="27" t="s">
        <v>296</v>
      </c>
      <c r="F25" s="27">
        <v>20</v>
      </c>
      <c r="G25" s="91"/>
      <c r="H25" s="19" t="s">
        <v>483</v>
      </c>
      <c r="I25" s="82" t="s">
        <v>486</v>
      </c>
    </row>
    <row r="26" spans="1:9" s="98" customFormat="1" ht="15.75">
      <c r="A26" s="96"/>
      <c r="B26" s="46">
        <f t="shared" si="0"/>
        <v>16</v>
      </c>
      <c r="C26" s="102" t="s">
        <v>874</v>
      </c>
      <c r="D26" s="53" t="s">
        <v>488</v>
      </c>
      <c r="E26" s="62" t="s">
        <v>456</v>
      </c>
      <c r="F26" s="62">
        <v>20</v>
      </c>
      <c r="G26" s="91"/>
      <c r="H26" s="19"/>
      <c r="I26" s="82"/>
    </row>
    <row r="27" spans="1:9" s="98" customFormat="1" ht="15.75">
      <c r="A27" s="96"/>
      <c r="B27" s="46">
        <f t="shared" si="0"/>
        <v>17</v>
      </c>
      <c r="C27" s="102" t="s">
        <v>489</v>
      </c>
      <c r="D27" s="53" t="s">
        <v>875</v>
      </c>
      <c r="E27" s="68" t="s">
        <v>456</v>
      </c>
      <c r="F27" s="62">
        <v>100</v>
      </c>
      <c r="G27" s="91"/>
      <c r="H27" s="19"/>
      <c r="I27" s="82"/>
    </row>
    <row r="28" spans="1:9" s="101" customFormat="1" ht="15.75">
      <c r="A28" s="100"/>
      <c r="B28" s="46">
        <f t="shared" si="0"/>
        <v>18</v>
      </c>
      <c r="C28" s="102" t="s">
        <v>465</v>
      </c>
      <c r="D28" s="53" t="s">
        <v>451</v>
      </c>
      <c r="E28" s="27" t="s">
        <v>296</v>
      </c>
      <c r="F28" s="27">
        <v>20</v>
      </c>
      <c r="G28" s="91"/>
      <c r="H28" s="19" t="s">
        <v>50</v>
      </c>
      <c r="I28" s="82" t="s">
        <v>466</v>
      </c>
    </row>
    <row r="29" spans="1:9" s="98" customFormat="1" ht="15.75">
      <c r="A29" s="96"/>
      <c r="B29" s="46">
        <f t="shared" si="0"/>
        <v>19</v>
      </c>
      <c r="C29" s="102" t="s">
        <v>866</v>
      </c>
      <c r="D29" s="53" t="s">
        <v>455</v>
      </c>
      <c r="E29" s="62" t="s">
        <v>456</v>
      </c>
      <c r="F29" s="51">
        <v>20</v>
      </c>
      <c r="G29" s="91" t="s">
        <v>655</v>
      </c>
      <c r="H29" s="19"/>
      <c r="I29" s="82"/>
    </row>
    <row r="30" spans="1:9" s="98" customFormat="1" ht="15.75">
      <c r="A30" s="96"/>
      <c r="B30" s="46">
        <f t="shared" si="0"/>
        <v>20</v>
      </c>
      <c r="C30" s="102" t="s">
        <v>457</v>
      </c>
      <c r="D30" s="53" t="s">
        <v>868</v>
      </c>
      <c r="E30" s="68" t="s">
        <v>456</v>
      </c>
      <c r="F30" s="51">
        <v>50</v>
      </c>
      <c r="G30" s="91" t="s">
        <v>655</v>
      </c>
      <c r="H30" s="19"/>
      <c r="I30" s="82"/>
    </row>
    <row r="31" spans="1:9" s="101" customFormat="1" ht="15.75">
      <c r="A31" s="100"/>
      <c r="B31" s="46">
        <f t="shared" si="0"/>
        <v>21</v>
      </c>
      <c r="C31" s="102" t="s">
        <v>463</v>
      </c>
      <c r="D31" s="53" t="s">
        <v>869</v>
      </c>
      <c r="E31" s="27" t="s">
        <v>296</v>
      </c>
      <c r="F31" s="27">
        <v>20</v>
      </c>
      <c r="G31" s="91"/>
      <c r="H31" s="19" t="s">
        <v>461</v>
      </c>
      <c r="I31" s="82" t="s">
        <v>464</v>
      </c>
    </row>
    <row r="32" spans="1:9" s="98" customFormat="1" ht="15.75">
      <c r="A32" s="96"/>
      <c r="B32" s="46">
        <f t="shared" si="0"/>
        <v>22</v>
      </c>
      <c r="C32" s="102" t="s">
        <v>870</v>
      </c>
      <c r="D32" s="53" t="s">
        <v>468</v>
      </c>
      <c r="E32" s="62" t="s">
        <v>456</v>
      </c>
      <c r="F32" s="51">
        <v>20</v>
      </c>
      <c r="G32" s="91" t="s">
        <v>655</v>
      </c>
      <c r="H32" s="19"/>
      <c r="I32" s="82"/>
    </row>
    <row r="33" spans="1:9" s="98" customFormat="1" ht="15.75">
      <c r="A33" s="96"/>
      <c r="B33" s="46">
        <f t="shared" si="0"/>
        <v>23</v>
      </c>
      <c r="C33" s="102" t="s">
        <v>469</v>
      </c>
      <c r="D33" s="53" t="s">
        <v>871</v>
      </c>
      <c r="E33" s="68" t="s">
        <v>456</v>
      </c>
      <c r="F33" s="51">
        <v>50</v>
      </c>
      <c r="G33" s="91" t="s">
        <v>655</v>
      </c>
      <c r="H33" s="19"/>
      <c r="I33" s="82"/>
    </row>
    <row r="34" spans="1:9" s="101" customFormat="1" ht="15.75">
      <c r="A34" s="100"/>
      <c r="B34" s="46">
        <f t="shared" si="0"/>
        <v>24</v>
      </c>
      <c r="C34" s="102" t="s">
        <v>11</v>
      </c>
      <c r="D34" s="53" t="s">
        <v>397</v>
      </c>
      <c r="E34" s="68" t="s">
        <v>456</v>
      </c>
      <c r="F34" s="62">
        <v>200</v>
      </c>
      <c r="G34" s="91"/>
      <c r="H34" s="19"/>
      <c r="I34" s="82"/>
    </row>
    <row r="35" spans="1:9" ht="15">
      <c r="B35" s="21"/>
    </row>
    <row r="36" spans="1:9" ht="15">
      <c r="B36" s="45"/>
    </row>
    <row r="37" spans="1:9" ht="15">
      <c r="B37" s="45"/>
    </row>
    <row r="38" spans="1:9" ht="15">
      <c r="B38" s="45"/>
    </row>
    <row r="39" spans="1:9" ht="15">
      <c r="B39" s="45"/>
    </row>
  </sheetData>
  <mergeCells count="6">
    <mergeCell ref="B1:E1"/>
    <mergeCell ref="F1:I1"/>
    <mergeCell ref="B2:E2"/>
    <mergeCell ref="F2:I2"/>
    <mergeCell ref="B9:E9"/>
    <mergeCell ref="F9:I9"/>
  </mergeCells>
  <phoneticPr fontId="5" type="noConversion"/>
  <pageMargins left="0.7" right="0.7" top="0.75" bottom="0.75" header="0.3" footer="0.3"/>
  <pageSetup paperSize="9" orientation="portrait" horizontalDpi="0" verticalDpi="0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FABF686-B72E-43B2-9DCF-727208A1B926}">
  <sheetPr codeName="工作表39"/>
  <dimension ref="A1:I285"/>
  <sheetViews>
    <sheetView workbookViewId="0"/>
  </sheetViews>
  <sheetFormatPr defaultColWidth="6.625" defaultRowHeight="13.5"/>
  <cols>
    <col min="1" max="1" width="3.125" style="4" bestFit="1" customWidth="1"/>
    <col min="2" max="2" width="5.5" style="8" customWidth="1"/>
    <col min="3" max="3" width="27.375" style="4" customWidth="1"/>
    <col min="4" max="4" width="30.625" style="4" customWidth="1"/>
    <col min="5" max="5" width="13.375" style="4" customWidth="1"/>
    <col min="6" max="6" width="12.625" style="4" customWidth="1"/>
    <col min="7" max="7" width="48.625" style="4" customWidth="1"/>
    <col min="8" max="8" width="33.625" style="4" customWidth="1"/>
    <col min="9" max="9" width="13.625" style="4" customWidth="1"/>
    <col min="10" max="16384" width="6.625" style="4"/>
  </cols>
  <sheetData>
    <row r="1" spans="1:9" ht="24">
      <c r="A1" s="1" t="e">
        <f ca="1">HYPERLINK("#'介面'!E"&amp;MATCH(VALUE(RIGHT(CELL("filename"),LEN(CELL("filename"))-FIND("]",CELL("filename")))),介面!D:D,"0"),"←")</f>
        <v>#VALUE!</v>
      </c>
      <c r="B1" s="207" t="s">
        <v>101</v>
      </c>
      <c r="C1" s="208"/>
      <c r="D1" s="208"/>
      <c r="E1" s="209"/>
      <c r="F1" s="207" t="s">
        <v>1119</v>
      </c>
      <c r="G1" s="208"/>
      <c r="H1" s="208"/>
      <c r="I1" s="208"/>
    </row>
    <row r="2" spans="1:9" ht="24">
      <c r="A2" s="1"/>
      <c r="B2" s="210" t="s">
        <v>275</v>
      </c>
      <c r="C2" s="211"/>
      <c r="D2" s="211"/>
      <c r="E2" s="212"/>
      <c r="F2" s="210"/>
      <c r="G2" s="211"/>
      <c r="H2" s="211"/>
      <c r="I2" s="212"/>
    </row>
    <row r="3" spans="1:9" s="8" customFormat="1" ht="15">
      <c r="A3" s="6"/>
      <c r="B3" s="7" t="s">
        <v>276</v>
      </c>
      <c r="C3" s="56" t="s">
        <v>277</v>
      </c>
      <c r="D3" s="56" t="s">
        <v>278</v>
      </c>
      <c r="E3" s="57" t="s">
        <v>279</v>
      </c>
      <c r="F3" s="57" t="s">
        <v>280</v>
      </c>
      <c r="G3" s="56" t="s">
        <v>281</v>
      </c>
      <c r="H3" s="56" t="s">
        <v>11</v>
      </c>
      <c r="I3" s="56" t="s">
        <v>282</v>
      </c>
    </row>
    <row r="4" spans="1:9" s="24" customFormat="1" ht="15.75">
      <c r="A4" s="25"/>
      <c r="B4" s="46">
        <v>1</v>
      </c>
      <c r="C4" s="80" t="s">
        <v>297</v>
      </c>
      <c r="D4" s="80" t="s">
        <v>298</v>
      </c>
      <c r="E4" s="81" t="s">
        <v>285</v>
      </c>
      <c r="F4" s="81">
        <v>500</v>
      </c>
      <c r="G4" s="66" t="s">
        <v>330</v>
      </c>
      <c r="H4" s="142" t="s">
        <v>302</v>
      </c>
      <c r="I4" s="66" t="s">
        <v>287</v>
      </c>
    </row>
    <row r="5" spans="1:9" s="24" customFormat="1" ht="15">
      <c r="A5" s="25"/>
      <c r="B5" s="46">
        <f>B4+1</f>
        <v>2</v>
      </c>
      <c r="C5" s="50" t="s">
        <v>303</v>
      </c>
      <c r="D5" s="76" t="s">
        <v>304</v>
      </c>
      <c r="E5" s="51" t="s">
        <v>296</v>
      </c>
      <c r="F5" s="51">
        <v>20</v>
      </c>
      <c r="G5" s="66" t="s">
        <v>331</v>
      </c>
      <c r="H5" s="66"/>
      <c r="I5" s="66" t="s">
        <v>287</v>
      </c>
    </row>
    <row r="6" spans="1:9" ht="15.75">
      <c r="A6" s="1"/>
      <c r="B6" s="2"/>
      <c r="C6" s="3"/>
      <c r="D6" s="3"/>
      <c r="E6" s="3"/>
      <c r="F6" s="3"/>
      <c r="G6" s="3"/>
      <c r="H6" s="3"/>
      <c r="I6" s="3"/>
    </row>
    <row r="7" spans="1:9" ht="24">
      <c r="A7" s="1"/>
      <c r="B7" s="204" t="s">
        <v>291</v>
      </c>
      <c r="C7" s="205"/>
      <c r="D7" s="205"/>
      <c r="E7" s="206"/>
      <c r="F7" s="204"/>
      <c r="G7" s="205"/>
      <c r="H7" s="205"/>
      <c r="I7" s="206"/>
    </row>
    <row r="8" spans="1:9" s="8" customFormat="1" ht="15">
      <c r="A8" s="6"/>
      <c r="B8" s="7" t="s">
        <v>276</v>
      </c>
      <c r="C8" s="56" t="s">
        <v>277</v>
      </c>
      <c r="D8" s="56" t="s">
        <v>278</v>
      </c>
      <c r="E8" s="57" t="s">
        <v>279</v>
      </c>
      <c r="F8" s="57" t="s">
        <v>280</v>
      </c>
      <c r="G8" s="56" t="s">
        <v>11</v>
      </c>
      <c r="H8" s="56" t="s">
        <v>292</v>
      </c>
      <c r="I8" s="56" t="s">
        <v>293</v>
      </c>
    </row>
    <row r="9" spans="1:9" ht="15">
      <c r="A9" s="5"/>
      <c r="B9" s="23">
        <v>1</v>
      </c>
      <c r="C9" s="71" t="s">
        <v>1120</v>
      </c>
      <c r="D9" s="71" t="s">
        <v>1121</v>
      </c>
      <c r="E9" s="72" t="s">
        <v>296</v>
      </c>
      <c r="F9" s="72">
        <v>20</v>
      </c>
      <c r="G9" s="73"/>
      <c r="H9" s="73"/>
      <c r="I9" s="73"/>
    </row>
    <row r="10" spans="1:9" ht="15">
      <c r="A10" s="5"/>
      <c r="B10" s="23">
        <f>B9+1</f>
        <v>2</v>
      </c>
      <c r="C10" s="67" t="s">
        <v>453</v>
      </c>
      <c r="D10" s="67" t="s">
        <v>304</v>
      </c>
      <c r="E10" s="68" t="s">
        <v>452</v>
      </c>
      <c r="F10" s="68">
        <v>20</v>
      </c>
      <c r="G10" s="69"/>
      <c r="H10" s="66" t="s">
        <v>41</v>
      </c>
      <c r="I10" s="66" t="s">
        <v>304</v>
      </c>
    </row>
    <row r="11" spans="1:9" ht="15">
      <c r="A11" s="5"/>
      <c r="B11" s="23">
        <f t="shared" ref="B11:B20" si="0">B10+1</f>
        <v>3</v>
      </c>
      <c r="C11" s="71" t="s">
        <v>1122</v>
      </c>
      <c r="D11" s="71" t="s">
        <v>1123</v>
      </c>
      <c r="E11" s="74" t="s">
        <v>456</v>
      </c>
      <c r="F11" s="72">
        <v>20</v>
      </c>
      <c r="G11" s="73"/>
      <c r="H11" s="73"/>
      <c r="I11" s="73"/>
    </row>
    <row r="12" spans="1:9" ht="15">
      <c r="A12" s="5"/>
      <c r="B12" s="23">
        <f t="shared" si="0"/>
        <v>4</v>
      </c>
      <c r="C12" s="71" t="s">
        <v>1124</v>
      </c>
      <c r="D12" s="71" t="s">
        <v>1125</v>
      </c>
      <c r="E12" s="74" t="s">
        <v>456</v>
      </c>
      <c r="F12" s="72">
        <v>100</v>
      </c>
      <c r="G12" s="73"/>
      <c r="H12" s="73"/>
      <c r="I12" s="73"/>
    </row>
    <row r="13" spans="1:9" ht="15">
      <c r="A13" s="5"/>
      <c r="B13" s="23">
        <f t="shared" si="0"/>
        <v>5</v>
      </c>
      <c r="C13" s="71" t="s">
        <v>1126</v>
      </c>
      <c r="D13" s="71" t="s">
        <v>1127</v>
      </c>
      <c r="E13" s="74" t="s">
        <v>456</v>
      </c>
      <c r="F13" s="72">
        <v>1000</v>
      </c>
      <c r="G13" s="73"/>
      <c r="H13" s="73"/>
      <c r="I13" s="73"/>
    </row>
    <row r="14" spans="1:9" s="98" customFormat="1" ht="15">
      <c r="A14" s="96"/>
      <c r="B14" s="23">
        <f t="shared" si="0"/>
        <v>6</v>
      </c>
      <c r="C14" s="71" t="s">
        <v>1128</v>
      </c>
      <c r="D14" s="71" t="s">
        <v>1129</v>
      </c>
      <c r="E14" s="74" t="s">
        <v>456</v>
      </c>
      <c r="F14" s="72">
        <v>10</v>
      </c>
      <c r="G14" s="73" t="s">
        <v>1130</v>
      </c>
      <c r="H14" s="73"/>
      <c r="I14" s="73"/>
    </row>
    <row r="15" spans="1:9" s="98" customFormat="1" ht="15">
      <c r="A15" s="96"/>
      <c r="B15" s="23">
        <f t="shared" si="0"/>
        <v>7</v>
      </c>
      <c r="C15" s="71" t="s">
        <v>1131</v>
      </c>
      <c r="D15" s="71" t="s">
        <v>1132</v>
      </c>
      <c r="E15" s="74" t="s">
        <v>456</v>
      </c>
      <c r="F15" s="72">
        <v>100</v>
      </c>
      <c r="G15" s="73" t="s">
        <v>1133</v>
      </c>
      <c r="H15" s="73"/>
      <c r="I15" s="73"/>
    </row>
    <row r="16" spans="1:9" s="98" customFormat="1" ht="15.75">
      <c r="A16" s="96"/>
      <c r="B16" s="23">
        <f t="shared" si="0"/>
        <v>8</v>
      </c>
      <c r="C16" s="71" t="s">
        <v>1134</v>
      </c>
      <c r="D16" s="71" t="s">
        <v>1135</v>
      </c>
      <c r="E16" s="87" t="s">
        <v>326</v>
      </c>
      <c r="F16" s="87">
        <v>4</v>
      </c>
      <c r="G16" s="59" t="s">
        <v>448</v>
      </c>
      <c r="H16" s="28" t="s">
        <v>435</v>
      </c>
      <c r="I16" s="79"/>
    </row>
    <row r="17" spans="1:9" s="101" customFormat="1" ht="15.75">
      <c r="A17" s="100"/>
      <c r="B17" s="23">
        <f t="shared" si="0"/>
        <v>9</v>
      </c>
      <c r="C17" s="71" t="s">
        <v>1136</v>
      </c>
      <c r="D17" s="71" t="s">
        <v>1137</v>
      </c>
      <c r="E17" s="87" t="s">
        <v>326</v>
      </c>
      <c r="F17" s="87">
        <v>4</v>
      </c>
      <c r="G17" s="59" t="s">
        <v>448</v>
      </c>
      <c r="H17" s="28" t="s">
        <v>435</v>
      </c>
      <c r="I17" s="79"/>
    </row>
    <row r="18" spans="1:9" s="98" customFormat="1" ht="15">
      <c r="A18" s="96"/>
      <c r="B18" s="23">
        <f t="shared" si="0"/>
        <v>10</v>
      </c>
      <c r="C18" s="71" t="s">
        <v>1138</v>
      </c>
      <c r="D18" s="71" t="s">
        <v>1139</v>
      </c>
      <c r="E18" s="74" t="s">
        <v>608</v>
      </c>
      <c r="F18" s="72" t="s">
        <v>1140</v>
      </c>
      <c r="G18" s="28" t="s">
        <v>1141</v>
      </c>
      <c r="H18" s="79"/>
      <c r="I18" s="79"/>
    </row>
    <row r="19" spans="1:9" s="98" customFormat="1" ht="15">
      <c r="A19" s="96"/>
      <c r="B19" s="23">
        <f t="shared" si="0"/>
        <v>11</v>
      </c>
      <c r="C19" s="70" t="s">
        <v>398</v>
      </c>
      <c r="D19" s="71" t="s">
        <v>325</v>
      </c>
      <c r="E19" s="72" t="s">
        <v>326</v>
      </c>
      <c r="F19" s="72">
        <v>4</v>
      </c>
      <c r="G19" s="28" t="s">
        <v>327</v>
      </c>
      <c r="H19" s="28" t="s">
        <v>328</v>
      </c>
      <c r="I19" s="73"/>
    </row>
    <row r="20" spans="1:9" s="101" customFormat="1" ht="15.75">
      <c r="A20" s="100"/>
      <c r="B20" s="23">
        <f t="shared" si="0"/>
        <v>12</v>
      </c>
      <c r="C20" s="70" t="s">
        <v>311</v>
      </c>
      <c r="D20" s="71" t="s">
        <v>312</v>
      </c>
      <c r="E20" s="72" t="s">
        <v>313</v>
      </c>
      <c r="F20" s="72"/>
      <c r="G20" s="60"/>
      <c r="H20" s="60"/>
      <c r="I20" s="60"/>
    </row>
    <row r="21" spans="1:9" s="98" customFormat="1" ht="15">
      <c r="A21" s="96"/>
      <c r="B21" s="21"/>
      <c r="C21" s="4"/>
      <c r="D21" s="4"/>
      <c r="E21" s="4"/>
      <c r="F21" s="4"/>
      <c r="G21" s="4"/>
      <c r="H21" s="4"/>
      <c r="I21" s="4"/>
    </row>
    <row r="22" spans="1:9" s="101" customFormat="1" ht="15">
      <c r="A22" s="100"/>
      <c r="B22" s="45"/>
      <c r="C22" s="4"/>
      <c r="D22" s="4"/>
      <c r="E22" s="4"/>
      <c r="F22" s="4"/>
      <c r="G22" s="4"/>
      <c r="H22" s="4"/>
      <c r="I22" s="4"/>
    </row>
    <row r="23" spans="1:9" s="98" customFormat="1" ht="15">
      <c r="A23" s="96"/>
      <c r="B23" s="45"/>
      <c r="C23" s="4"/>
      <c r="D23" s="4"/>
      <c r="E23" s="4"/>
      <c r="F23" s="4"/>
      <c r="G23" s="4"/>
      <c r="H23" s="4"/>
      <c r="I23" s="4"/>
    </row>
    <row r="24" spans="1:9" s="98" customFormat="1" ht="15">
      <c r="A24" s="96"/>
      <c r="B24" s="45"/>
      <c r="C24" s="4"/>
      <c r="D24" s="4"/>
      <c r="E24" s="4"/>
      <c r="F24" s="4"/>
      <c r="G24" s="4"/>
      <c r="H24" s="4"/>
      <c r="I24" s="4"/>
    </row>
    <row r="25" spans="1:9" s="101" customFormat="1" ht="15">
      <c r="A25" s="100"/>
      <c r="B25" s="8"/>
      <c r="C25" s="4"/>
      <c r="D25" s="4"/>
      <c r="E25" s="4"/>
      <c r="F25" s="4"/>
      <c r="G25" s="4"/>
      <c r="H25" s="4"/>
      <c r="I25" s="4"/>
    </row>
    <row r="26" spans="1:9" s="98" customFormat="1" ht="15">
      <c r="A26" s="96"/>
      <c r="B26" s="8"/>
      <c r="C26" s="4"/>
      <c r="D26" s="4"/>
      <c r="E26" s="4"/>
      <c r="F26" s="4"/>
      <c r="G26" s="4"/>
      <c r="H26" s="4"/>
      <c r="I26" s="4"/>
    </row>
    <row r="27" spans="1:9" s="98" customFormat="1" ht="15">
      <c r="A27" s="96"/>
      <c r="B27" s="8"/>
      <c r="C27" s="4"/>
      <c r="D27" s="4"/>
      <c r="E27" s="4"/>
      <c r="F27" s="4"/>
      <c r="G27" s="4"/>
      <c r="H27" s="4"/>
      <c r="I27" s="4"/>
    </row>
    <row r="28" spans="1:9" s="101" customFormat="1" ht="15">
      <c r="A28" s="100"/>
      <c r="B28" s="8"/>
      <c r="C28" s="4"/>
      <c r="D28" s="4"/>
      <c r="E28" s="4"/>
      <c r="F28" s="4"/>
      <c r="G28" s="4"/>
      <c r="H28" s="4"/>
      <c r="I28" s="4"/>
    </row>
    <row r="29" spans="1:9" s="98" customFormat="1" ht="15">
      <c r="A29" s="96"/>
      <c r="B29" s="8"/>
      <c r="C29" s="4"/>
      <c r="D29" s="4"/>
      <c r="E29" s="4"/>
      <c r="F29" s="4"/>
      <c r="G29" s="4"/>
      <c r="H29" s="4"/>
      <c r="I29" s="4"/>
    </row>
    <row r="30" spans="1:9" s="98" customFormat="1" ht="15">
      <c r="A30" s="96"/>
      <c r="B30" s="8"/>
      <c r="C30" s="4"/>
      <c r="D30" s="4"/>
      <c r="E30" s="4"/>
      <c r="F30" s="4"/>
      <c r="G30" s="4"/>
      <c r="H30" s="4"/>
      <c r="I30" s="4"/>
    </row>
    <row r="31" spans="1:9" s="101" customFormat="1" ht="15">
      <c r="A31" s="100"/>
      <c r="B31" s="8"/>
      <c r="C31" s="4"/>
      <c r="D31" s="4"/>
      <c r="E31" s="4"/>
      <c r="F31" s="4"/>
      <c r="G31" s="4"/>
      <c r="H31" s="4"/>
      <c r="I31" s="4"/>
    </row>
    <row r="32" spans="1:9" s="98" customFormat="1" ht="15">
      <c r="A32" s="96"/>
      <c r="B32" s="8"/>
      <c r="C32" s="4"/>
      <c r="D32" s="4"/>
      <c r="E32" s="4"/>
      <c r="F32" s="4"/>
      <c r="G32" s="4"/>
      <c r="H32" s="4"/>
      <c r="I32" s="4"/>
    </row>
    <row r="33" spans="1:9" s="98" customFormat="1" ht="15">
      <c r="A33" s="96"/>
      <c r="B33" s="8"/>
      <c r="C33" s="4"/>
      <c r="D33" s="4"/>
      <c r="E33" s="4"/>
      <c r="F33" s="4"/>
      <c r="G33" s="4"/>
      <c r="H33" s="4"/>
      <c r="I33" s="4"/>
    </row>
    <row r="34" spans="1:9" s="101" customFormat="1" ht="15">
      <c r="A34" s="100"/>
      <c r="B34" s="8"/>
      <c r="C34" s="4"/>
      <c r="D34" s="4"/>
      <c r="E34" s="4"/>
      <c r="F34" s="4"/>
      <c r="G34" s="4"/>
      <c r="H34" s="4"/>
      <c r="I34" s="4"/>
    </row>
    <row r="35" spans="1:9" s="98" customFormat="1" ht="15">
      <c r="A35" s="96"/>
      <c r="B35" s="8"/>
      <c r="C35" s="4"/>
      <c r="D35" s="4"/>
      <c r="E35" s="4"/>
      <c r="F35" s="4"/>
      <c r="G35" s="4"/>
      <c r="H35" s="4"/>
      <c r="I35" s="4"/>
    </row>
    <row r="36" spans="1:9" s="98" customFormat="1" ht="15">
      <c r="A36" s="96"/>
      <c r="B36" s="8"/>
      <c r="C36" s="4"/>
      <c r="D36" s="4"/>
      <c r="E36" s="4"/>
      <c r="F36" s="4"/>
      <c r="G36" s="4"/>
      <c r="H36" s="4"/>
      <c r="I36" s="4"/>
    </row>
    <row r="37" spans="1:9" s="101" customFormat="1" ht="15">
      <c r="A37" s="100"/>
      <c r="B37" s="8"/>
      <c r="C37" s="4"/>
      <c r="D37" s="4"/>
      <c r="E37" s="4"/>
      <c r="F37" s="4"/>
      <c r="G37" s="4"/>
      <c r="H37" s="4"/>
      <c r="I37" s="4"/>
    </row>
    <row r="38" spans="1:9" s="98" customFormat="1" ht="15">
      <c r="A38" s="96"/>
      <c r="B38" s="8"/>
      <c r="C38" s="4"/>
      <c r="D38" s="4"/>
      <c r="E38" s="4"/>
      <c r="F38" s="4"/>
      <c r="G38" s="4"/>
      <c r="H38" s="4"/>
      <c r="I38" s="4"/>
    </row>
    <row r="39" spans="1:9" s="98" customFormat="1" ht="15">
      <c r="A39" s="96"/>
      <c r="B39" s="8"/>
      <c r="C39" s="4"/>
      <c r="D39" s="4"/>
      <c r="E39" s="4"/>
      <c r="F39" s="4"/>
      <c r="G39" s="4"/>
      <c r="H39" s="4"/>
      <c r="I39" s="4"/>
    </row>
    <row r="40" spans="1:9" s="101" customFormat="1" ht="15">
      <c r="A40" s="100"/>
      <c r="B40" s="8"/>
      <c r="C40" s="4"/>
      <c r="D40" s="4"/>
      <c r="E40" s="4"/>
      <c r="F40" s="4"/>
      <c r="G40" s="4"/>
      <c r="H40" s="4"/>
      <c r="I40" s="4"/>
    </row>
    <row r="41" spans="1:9" s="101" customFormat="1" ht="15">
      <c r="A41" s="100"/>
      <c r="B41" s="8"/>
      <c r="C41" s="4"/>
      <c r="D41" s="4"/>
      <c r="E41" s="4"/>
      <c r="F41" s="4"/>
      <c r="G41" s="4"/>
      <c r="H41" s="4"/>
      <c r="I41" s="4"/>
    </row>
    <row r="42" spans="1:9" s="98" customFormat="1" ht="15">
      <c r="A42" s="96"/>
      <c r="B42" s="8"/>
      <c r="C42" s="4"/>
      <c r="D42" s="4"/>
      <c r="E42" s="4"/>
      <c r="F42" s="4"/>
      <c r="G42" s="4"/>
      <c r="H42" s="4"/>
      <c r="I42" s="4"/>
    </row>
    <row r="43" spans="1:9" s="101" customFormat="1" ht="15">
      <c r="A43" s="100"/>
      <c r="B43" s="8"/>
      <c r="C43" s="4"/>
      <c r="D43" s="4"/>
      <c r="E43" s="4"/>
      <c r="F43" s="4"/>
      <c r="G43" s="4"/>
      <c r="H43" s="4"/>
      <c r="I43" s="4"/>
    </row>
    <row r="44" spans="1:9" s="98" customFormat="1" ht="15">
      <c r="A44" s="96"/>
      <c r="B44" s="8"/>
      <c r="C44" s="4"/>
      <c r="D44" s="4"/>
      <c r="E44" s="4"/>
      <c r="F44" s="4"/>
      <c r="G44" s="4"/>
      <c r="H44" s="4"/>
      <c r="I44" s="4"/>
    </row>
    <row r="45" spans="1:9" s="98" customFormat="1" ht="15">
      <c r="A45" s="96"/>
      <c r="B45" s="8"/>
      <c r="C45" s="4"/>
      <c r="D45" s="4"/>
      <c r="E45" s="4"/>
      <c r="F45" s="4"/>
      <c r="G45" s="4"/>
      <c r="H45" s="4"/>
      <c r="I45" s="4"/>
    </row>
    <row r="46" spans="1:9" s="101" customFormat="1" ht="15">
      <c r="A46" s="100"/>
      <c r="B46" s="8"/>
      <c r="C46" s="4"/>
      <c r="D46" s="4"/>
      <c r="E46" s="4"/>
      <c r="F46" s="4"/>
      <c r="G46" s="4"/>
      <c r="H46" s="4"/>
      <c r="I46" s="4"/>
    </row>
    <row r="47" spans="1:9" s="98" customFormat="1" ht="15">
      <c r="A47" s="96"/>
      <c r="B47" s="8"/>
      <c r="C47" s="4"/>
      <c r="D47" s="4"/>
      <c r="E47" s="4"/>
      <c r="F47" s="4"/>
      <c r="G47" s="4"/>
      <c r="H47" s="4"/>
      <c r="I47" s="4"/>
    </row>
    <row r="48" spans="1:9" s="98" customFormat="1" ht="15">
      <c r="A48" s="96"/>
      <c r="B48" s="8"/>
      <c r="C48" s="4"/>
      <c r="D48" s="4"/>
      <c r="E48" s="4"/>
      <c r="F48" s="4"/>
      <c r="G48" s="4"/>
      <c r="H48" s="4"/>
      <c r="I48" s="4"/>
    </row>
    <row r="49" spans="1:9" s="101" customFormat="1" ht="15">
      <c r="A49" s="100"/>
      <c r="B49" s="8"/>
      <c r="C49" s="4"/>
      <c r="D49" s="4"/>
      <c r="E49" s="4"/>
      <c r="F49" s="4"/>
      <c r="G49" s="4"/>
      <c r="H49" s="4"/>
      <c r="I49" s="4"/>
    </row>
    <row r="50" spans="1:9" s="98" customFormat="1" ht="15">
      <c r="A50" s="96"/>
      <c r="B50" s="8"/>
      <c r="C50" s="4"/>
      <c r="D50" s="4"/>
      <c r="E50" s="4"/>
      <c r="F50" s="4"/>
      <c r="G50" s="4"/>
      <c r="H50" s="4"/>
      <c r="I50" s="4"/>
    </row>
    <row r="51" spans="1:9" s="98" customFormat="1" ht="15">
      <c r="A51" s="96"/>
      <c r="B51" s="8"/>
      <c r="C51" s="4"/>
      <c r="D51" s="4"/>
      <c r="E51" s="4"/>
      <c r="F51" s="4"/>
      <c r="G51" s="4"/>
      <c r="H51" s="4"/>
      <c r="I51" s="4"/>
    </row>
    <row r="52" spans="1:9" s="98" customFormat="1" ht="15">
      <c r="A52" s="96"/>
      <c r="B52" s="8"/>
      <c r="C52" s="4"/>
      <c r="D52" s="4"/>
      <c r="E52" s="4"/>
      <c r="F52" s="4"/>
      <c r="G52" s="4"/>
      <c r="H52" s="4"/>
      <c r="I52" s="4"/>
    </row>
    <row r="53" spans="1:9" s="98" customFormat="1" ht="15">
      <c r="A53" s="96"/>
      <c r="B53" s="8"/>
      <c r="C53" s="4"/>
      <c r="D53" s="4"/>
      <c r="E53" s="4"/>
      <c r="F53" s="4"/>
      <c r="G53" s="4"/>
      <c r="H53" s="4"/>
      <c r="I53" s="4"/>
    </row>
    <row r="59" spans="1:9" ht="16.5" customHeight="1"/>
    <row r="60" spans="1:9" ht="16.5" customHeight="1"/>
    <row r="61" spans="1:9" ht="16.5" customHeight="1"/>
    <row r="62" spans="1:9" ht="16.5" customHeight="1"/>
    <row r="63" spans="1:9" ht="16.5" customHeight="1"/>
    <row r="64" spans="1:9" ht="16.5" customHeight="1"/>
    <row r="65" ht="16.5" customHeight="1"/>
    <row r="66" ht="16.5" customHeight="1"/>
    <row r="67" ht="16.5" customHeight="1"/>
    <row r="68" ht="16.5" customHeight="1"/>
    <row r="69" ht="16.5" customHeight="1"/>
    <row r="70" ht="16.5" customHeight="1"/>
    <row r="71" ht="16.5" customHeight="1"/>
    <row r="72" ht="16.5" customHeight="1"/>
    <row r="73" ht="16.5" customHeight="1"/>
    <row r="74" ht="16.5" customHeight="1"/>
    <row r="75" ht="16.5" customHeight="1"/>
    <row r="76" ht="16.5" customHeight="1"/>
    <row r="77" ht="16.5" customHeight="1"/>
    <row r="78" ht="16.5" customHeight="1"/>
    <row r="79" ht="16.5" customHeight="1"/>
    <row r="80" ht="16.5" customHeight="1"/>
    <row r="81" ht="16.5" customHeight="1"/>
    <row r="82" ht="16.5" customHeight="1"/>
    <row r="83" ht="16.5" customHeight="1"/>
    <row r="84" ht="16.5" customHeight="1"/>
    <row r="85" ht="16.5" customHeight="1"/>
    <row r="86" ht="16.5" customHeight="1"/>
    <row r="87" ht="16.5" customHeight="1"/>
    <row r="88" ht="16.5" customHeight="1"/>
    <row r="89" ht="16.5" customHeight="1"/>
    <row r="90" ht="16.5" customHeight="1"/>
    <row r="91" ht="16.5" customHeight="1"/>
    <row r="92" ht="16.5" customHeight="1"/>
    <row r="93" ht="16.5" customHeight="1"/>
    <row r="94" ht="16.5" customHeight="1"/>
    <row r="95" ht="16.5" customHeight="1"/>
    <row r="96" ht="16.5" customHeight="1"/>
    <row r="97" ht="16.5" customHeight="1"/>
    <row r="98" ht="16.5" customHeight="1"/>
    <row r="99" ht="16.5" customHeight="1"/>
    <row r="100" ht="16.5" customHeight="1"/>
    <row r="101" ht="16.5" customHeight="1"/>
    <row r="102" ht="16.5" customHeight="1"/>
    <row r="103" ht="16.5" customHeight="1"/>
    <row r="104" ht="16.5" customHeight="1"/>
    <row r="105" ht="16.5" customHeight="1"/>
    <row r="106" ht="16.5" customHeight="1"/>
    <row r="107" ht="16.5" customHeight="1"/>
    <row r="108" ht="16.5" customHeight="1"/>
    <row r="109" ht="16.5" customHeight="1"/>
    <row r="110" ht="16.5" customHeight="1"/>
    <row r="111" ht="16.5" customHeight="1"/>
    <row r="112" ht="16.5" customHeight="1"/>
    <row r="113" ht="16.5" customHeight="1"/>
    <row r="114" ht="16.5" customHeight="1"/>
    <row r="115" ht="16.5" customHeight="1"/>
    <row r="116" ht="16.5" customHeight="1"/>
    <row r="117" ht="16.5" customHeight="1"/>
    <row r="118" ht="16.5" customHeight="1"/>
    <row r="119" ht="16.5" customHeight="1"/>
    <row r="120" ht="16.5" customHeight="1"/>
    <row r="121" ht="16.5" customHeight="1"/>
    <row r="122" ht="16.5" customHeight="1"/>
    <row r="123" ht="16.5" customHeight="1"/>
    <row r="124" ht="16.5" customHeight="1"/>
    <row r="125" ht="16.5" customHeight="1"/>
    <row r="126" ht="16.5" customHeight="1"/>
    <row r="127" ht="16.5" customHeight="1"/>
    <row r="128" ht="16.5" customHeight="1"/>
    <row r="129" ht="16.5" customHeight="1"/>
    <row r="130" ht="16.5" customHeight="1"/>
    <row r="131" ht="16.5" customHeight="1"/>
    <row r="132" ht="16.5" customHeight="1"/>
    <row r="133" ht="16.5" customHeight="1"/>
    <row r="134" ht="16.5" customHeight="1"/>
    <row r="135" ht="16.5" customHeight="1"/>
    <row r="136" ht="16.5" customHeight="1"/>
    <row r="137" ht="16.5" customHeight="1"/>
    <row r="138" ht="16.5" customHeight="1"/>
    <row r="139" ht="16.5" customHeight="1"/>
    <row r="140" ht="16.5" customHeight="1"/>
    <row r="141" ht="16.5" customHeight="1"/>
    <row r="142" ht="16.5" customHeight="1"/>
    <row r="143" ht="16.5" customHeight="1"/>
    <row r="144" ht="16.5" customHeight="1"/>
    <row r="145" ht="16.5" customHeight="1"/>
    <row r="146" ht="16.5" customHeight="1"/>
    <row r="147" ht="16.5" customHeight="1"/>
    <row r="148" ht="16.5" customHeight="1"/>
    <row r="149" ht="16.5" customHeight="1"/>
    <row r="150" ht="16.5" customHeight="1"/>
    <row r="151" ht="16.5" customHeight="1"/>
    <row r="152" ht="16.5" customHeight="1"/>
    <row r="153" ht="16.5" customHeight="1"/>
    <row r="154" ht="16.5" customHeight="1"/>
    <row r="155" ht="16.5" customHeight="1"/>
    <row r="156" ht="16.5" customHeight="1"/>
    <row r="157" ht="16.5" customHeight="1"/>
    <row r="158" ht="16.5" customHeight="1"/>
    <row r="159" ht="16.5" customHeight="1"/>
    <row r="160" ht="16.5" customHeight="1"/>
    <row r="161" ht="16.5" customHeight="1"/>
    <row r="162" ht="16.5" customHeight="1"/>
    <row r="163" ht="16.5" customHeight="1"/>
    <row r="164" ht="16.5" customHeight="1"/>
    <row r="165" ht="16.5" customHeight="1"/>
    <row r="166" ht="16.5" customHeight="1"/>
    <row r="167" ht="16.5" customHeight="1"/>
    <row r="168" ht="16.5" customHeight="1"/>
    <row r="169" ht="16.5" customHeight="1"/>
    <row r="170" ht="16.5" customHeight="1"/>
    <row r="171" ht="16.5" customHeight="1"/>
    <row r="172" ht="16.5" customHeight="1"/>
    <row r="173" ht="16.5" customHeight="1"/>
    <row r="174" ht="16.5" customHeight="1"/>
    <row r="175" ht="16.5" customHeight="1"/>
    <row r="176" ht="16.5" customHeight="1"/>
    <row r="177" ht="16.5" customHeight="1"/>
    <row r="178" ht="16.5" customHeight="1"/>
    <row r="179" ht="16.5" customHeight="1"/>
    <row r="180" ht="16.5" customHeight="1"/>
    <row r="181" ht="16.5" customHeight="1"/>
    <row r="182" ht="16.5" customHeight="1"/>
    <row r="183" ht="16.5" customHeight="1"/>
    <row r="184" ht="16.5" customHeight="1"/>
    <row r="185" ht="16.5" customHeight="1"/>
    <row r="186" ht="16.5" customHeight="1"/>
    <row r="187" ht="16.5" customHeight="1"/>
    <row r="188" ht="16.5" customHeight="1"/>
    <row r="189" ht="16.5" customHeight="1"/>
    <row r="190" ht="16.5" customHeight="1"/>
    <row r="191" ht="16.5" customHeight="1"/>
    <row r="192" ht="16.5" customHeight="1"/>
    <row r="193" ht="16.5" customHeight="1"/>
    <row r="194" ht="16.5" customHeight="1"/>
    <row r="195" ht="16.5" customHeight="1"/>
    <row r="196" ht="16.5" customHeight="1"/>
    <row r="197" ht="16.5" customHeight="1"/>
    <row r="198" ht="16.5" customHeight="1"/>
    <row r="199" ht="16.5" customHeight="1"/>
    <row r="200" ht="16.5" customHeight="1"/>
    <row r="201" ht="16.5" customHeight="1"/>
    <row r="202" ht="16.5" customHeight="1"/>
    <row r="203" ht="16.5" customHeight="1"/>
    <row r="204" ht="16.5" customHeight="1"/>
    <row r="205" ht="16.5" customHeight="1"/>
    <row r="206" ht="16.5" customHeight="1"/>
    <row r="207" ht="16.5" customHeight="1"/>
    <row r="208" ht="16.5" customHeight="1"/>
    <row r="209" ht="16.5" customHeight="1"/>
    <row r="210" ht="16.5" customHeight="1"/>
    <row r="211" ht="16.5" customHeight="1"/>
    <row r="212" ht="16.5" customHeight="1"/>
    <row r="213" ht="16.5" customHeight="1"/>
    <row r="214" ht="16.5" customHeight="1"/>
    <row r="215" ht="16.5" customHeight="1"/>
    <row r="216" ht="16.5" customHeight="1"/>
    <row r="217" ht="16.5" customHeight="1"/>
    <row r="218" ht="16.5" customHeight="1"/>
    <row r="219" ht="16.5" customHeight="1"/>
    <row r="220" ht="16.5" customHeight="1"/>
    <row r="221" ht="16.5" customHeight="1"/>
    <row r="222" ht="16.5" customHeight="1"/>
    <row r="223" ht="16.5" customHeight="1"/>
    <row r="224" ht="16.5" customHeight="1"/>
    <row r="225" ht="16.5" customHeight="1"/>
    <row r="226" ht="16.5" customHeight="1"/>
    <row r="227" ht="16.5" customHeight="1"/>
    <row r="228" ht="16.5" customHeight="1"/>
    <row r="229" ht="16.5" customHeight="1"/>
    <row r="230" ht="16.5" customHeight="1"/>
    <row r="231" ht="16.5" customHeight="1"/>
    <row r="232" ht="16.5" customHeight="1"/>
    <row r="233" ht="16.5" customHeight="1"/>
    <row r="234" ht="16.5" customHeight="1"/>
    <row r="235" ht="16.5" customHeight="1"/>
    <row r="236" ht="16.5" customHeight="1"/>
    <row r="237" ht="16.5" customHeight="1"/>
    <row r="238" ht="16.5" customHeight="1"/>
    <row r="239" ht="16.5" customHeight="1"/>
    <row r="240" ht="16.5" customHeight="1"/>
    <row r="241" ht="16.5" customHeight="1"/>
    <row r="242" ht="16.5" customHeight="1"/>
    <row r="243" ht="16.5" customHeight="1"/>
    <row r="244" ht="16.5" customHeight="1"/>
    <row r="245" ht="16.5" customHeight="1"/>
    <row r="246" ht="16.5" customHeight="1"/>
    <row r="247" ht="16.5" customHeight="1"/>
    <row r="248" ht="16.5" customHeight="1"/>
    <row r="249" ht="16.5" customHeight="1"/>
    <row r="250" ht="16.5" customHeight="1"/>
    <row r="251" ht="16.5" customHeight="1"/>
    <row r="252" ht="16.5" customHeight="1"/>
    <row r="253" ht="16.5" customHeight="1"/>
    <row r="254" ht="16.5" customHeight="1"/>
    <row r="255" ht="16.5" customHeight="1"/>
    <row r="256" ht="16.5" customHeight="1"/>
    <row r="257" ht="16.5" customHeight="1"/>
    <row r="258" ht="16.5" customHeight="1"/>
    <row r="259" ht="16.5" customHeight="1"/>
    <row r="260" ht="16.5" customHeight="1"/>
    <row r="261" ht="16.5" customHeight="1"/>
    <row r="262" ht="16.5" customHeight="1"/>
    <row r="263" ht="16.5" customHeight="1"/>
    <row r="264" ht="16.5" customHeight="1"/>
    <row r="265" ht="16.5" customHeight="1"/>
    <row r="266" ht="16.5" customHeight="1"/>
    <row r="267" ht="16.5" customHeight="1"/>
    <row r="268" ht="16.5" customHeight="1"/>
    <row r="269" ht="16.5" customHeight="1"/>
    <row r="270" ht="16.5" customHeight="1"/>
    <row r="271" ht="16.5" customHeight="1"/>
    <row r="272" ht="16.5" customHeight="1"/>
    <row r="273" ht="16.5" customHeight="1"/>
    <row r="274" ht="16.5" customHeight="1"/>
    <row r="275" ht="16.5" customHeight="1"/>
    <row r="276" ht="16.5" customHeight="1"/>
    <row r="277" ht="16.5" customHeight="1"/>
    <row r="278" ht="16.5" customHeight="1"/>
    <row r="279" ht="16.5" customHeight="1"/>
    <row r="280" ht="16.5" customHeight="1"/>
    <row r="281" ht="16.5" customHeight="1"/>
    <row r="282" ht="16.5" customHeight="1"/>
    <row r="283" ht="16.5" customHeight="1"/>
    <row r="284" ht="16.5" customHeight="1"/>
    <row r="285" ht="16.5" customHeight="1"/>
  </sheetData>
  <mergeCells count="6">
    <mergeCell ref="B7:E7"/>
    <mergeCell ref="F7:I7"/>
    <mergeCell ref="B1:E1"/>
    <mergeCell ref="F1:I1"/>
    <mergeCell ref="B2:E2"/>
    <mergeCell ref="F2:I2"/>
  </mergeCells>
  <phoneticPr fontId="5" type="noConversion"/>
  <pageMargins left="0.7" right="0.7" top="0.75" bottom="0.75" header="0.3" footer="0.3"/>
  <pageSetup paperSize="9" orientation="portrait" horizontalDpi="0" verticalDpi="0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701D7B6-E395-499B-842F-4E519CF35AA8}">
  <sheetPr codeName="工作表40"/>
  <dimension ref="A1:I19"/>
  <sheetViews>
    <sheetView workbookViewId="0"/>
  </sheetViews>
  <sheetFormatPr defaultColWidth="6.625" defaultRowHeight="13.5"/>
  <cols>
    <col min="1" max="1" width="3.125" style="4" bestFit="1" customWidth="1"/>
    <col min="2" max="2" width="5.5" style="8" customWidth="1"/>
    <col min="3" max="3" width="30.125" style="4" customWidth="1"/>
    <col min="4" max="4" width="30.625" style="4" customWidth="1"/>
    <col min="5" max="5" width="13.375" style="4" customWidth="1"/>
    <col min="6" max="6" width="12.625" style="4" customWidth="1"/>
    <col min="7" max="7" width="33.125" style="4" customWidth="1"/>
    <col min="8" max="8" width="33.625" style="4" customWidth="1"/>
    <col min="9" max="9" width="13.625" style="4" customWidth="1"/>
    <col min="10" max="16384" width="6.625" style="4"/>
  </cols>
  <sheetData>
    <row r="1" spans="1:9" ht="24">
      <c r="A1" s="1" t="e">
        <f ca="1">HYPERLINK("#'介面'!E"&amp;MATCH(VALUE(RIGHT(CELL("filename"),LEN(CELL("filename"))-FIND("]",CELL("filename")))),介面!D:D,"0"),"←")</f>
        <v>#VALUE!</v>
      </c>
      <c r="B1" s="207" t="s">
        <v>1142</v>
      </c>
      <c r="C1" s="208"/>
      <c r="D1" s="208"/>
      <c r="E1" s="209"/>
      <c r="F1" s="207" t="s">
        <v>1143</v>
      </c>
      <c r="G1" s="208"/>
      <c r="H1" s="208"/>
      <c r="I1" s="208"/>
    </row>
    <row r="2" spans="1:9" ht="24">
      <c r="A2" s="1"/>
      <c r="B2" s="210" t="s">
        <v>275</v>
      </c>
      <c r="C2" s="211"/>
      <c r="D2" s="211"/>
      <c r="E2" s="212"/>
      <c r="F2" s="210"/>
      <c r="G2" s="211"/>
      <c r="H2" s="211"/>
      <c r="I2" s="212"/>
    </row>
    <row r="3" spans="1:9" s="8" customFormat="1" ht="15">
      <c r="A3" s="6"/>
      <c r="B3" s="7" t="s">
        <v>276</v>
      </c>
      <c r="C3" s="56" t="s">
        <v>277</v>
      </c>
      <c r="D3" s="56" t="s">
        <v>278</v>
      </c>
      <c r="E3" s="57" t="s">
        <v>279</v>
      </c>
      <c r="F3" s="57" t="s">
        <v>280</v>
      </c>
      <c r="G3" s="56" t="s">
        <v>281</v>
      </c>
      <c r="H3" s="56" t="s">
        <v>11</v>
      </c>
      <c r="I3" s="56" t="s">
        <v>282</v>
      </c>
    </row>
    <row r="4" spans="1:9" s="24" customFormat="1" ht="15.75">
      <c r="A4" s="25"/>
      <c r="B4" s="46">
        <v>1</v>
      </c>
      <c r="C4" s="80" t="s">
        <v>297</v>
      </c>
      <c r="D4" s="80" t="s">
        <v>298</v>
      </c>
      <c r="E4" s="81" t="s">
        <v>285</v>
      </c>
      <c r="F4" s="81">
        <v>500</v>
      </c>
      <c r="G4" s="66" t="s">
        <v>330</v>
      </c>
      <c r="H4" s="142" t="s">
        <v>302</v>
      </c>
      <c r="I4" s="66" t="s">
        <v>287</v>
      </c>
    </row>
    <row r="5" spans="1:9" s="24" customFormat="1" ht="15">
      <c r="A5" s="25"/>
      <c r="B5" s="46">
        <f>B4+1</f>
        <v>2</v>
      </c>
      <c r="C5" s="50" t="s">
        <v>303</v>
      </c>
      <c r="D5" s="76" t="s">
        <v>304</v>
      </c>
      <c r="E5" s="51" t="s">
        <v>296</v>
      </c>
      <c r="F5" s="51">
        <v>20</v>
      </c>
      <c r="G5" s="66" t="s">
        <v>331</v>
      </c>
      <c r="H5" s="66"/>
      <c r="I5" s="66" t="s">
        <v>287</v>
      </c>
    </row>
    <row r="6" spans="1:9" s="24" customFormat="1" ht="15">
      <c r="A6" s="25"/>
      <c r="B6" s="46">
        <f>B5+1</f>
        <v>3</v>
      </c>
      <c r="C6" s="26" t="s">
        <v>1120</v>
      </c>
      <c r="D6" s="26" t="s">
        <v>1121</v>
      </c>
      <c r="E6" s="27" t="s">
        <v>296</v>
      </c>
      <c r="F6" s="27">
        <v>20</v>
      </c>
      <c r="G6" s="66" t="s">
        <v>331</v>
      </c>
      <c r="H6" s="66"/>
      <c r="I6" s="66" t="s">
        <v>287</v>
      </c>
    </row>
    <row r="7" spans="1:9" ht="15.75">
      <c r="A7" s="1"/>
      <c r="B7" s="2"/>
      <c r="C7" s="3"/>
      <c r="D7" s="3"/>
      <c r="E7" s="3"/>
      <c r="F7" s="3"/>
      <c r="G7" s="3"/>
      <c r="H7" s="3"/>
      <c r="I7" s="3"/>
    </row>
    <row r="8" spans="1:9" ht="24">
      <c r="A8" s="1"/>
      <c r="B8" s="204" t="s">
        <v>291</v>
      </c>
      <c r="C8" s="205"/>
      <c r="D8" s="205"/>
      <c r="E8" s="206"/>
      <c r="F8" s="204"/>
      <c r="G8" s="205"/>
      <c r="H8" s="205"/>
      <c r="I8" s="206"/>
    </row>
    <row r="9" spans="1:9" s="8" customFormat="1" ht="15">
      <c r="A9" s="6"/>
      <c r="B9" s="7" t="s">
        <v>276</v>
      </c>
      <c r="C9" s="56" t="s">
        <v>277</v>
      </c>
      <c r="D9" s="56" t="s">
        <v>278</v>
      </c>
      <c r="E9" s="57" t="s">
        <v>279</v>
      </c>
      <c r="F9" s="57" t="s">
        <v>280</v>
      </c>
      <c r="G9" s="56" t="s">
        <v>11</v>
      </c>
      <c r="H9" s="56" t="s">
        <v>292</v>
      </c>
      <c r="I9" s="56" t="s">
        <v>293</v>
      </c>
    </row>
    <row r="10" spans="1:9" s="24" customFormat="1" ht="15">
      <c r="A10" s="25"/>
      <c r="B10" s="23">
        <v>1</v>
      </c>
      <c r="C10" s="120" t="s">
        <v>453</v>
      </c>
      <c r="D10" s="120" t="s">
        <v>304</v>
      </c>
      <c r="E10" s="74" t="s">
        <v>452</v>
      </c>
      <c r="F10" s="74">
        <v>20</v>
      </c>
      <c r="G10" s="119"/>
      <c r="H10" s="73" t="s">
        <v>41</v>
      </c>
      <c r="I10" s="73" t="s">
        <v>304</v>
      </c>
    </row>
    <row r="11" spans="1:9" s="24" customFormat="1" ht="15">
      <c r="A11" s="25"/>
      <c r="B11" s="23">
        <f>B10+1</f>
        <v>2</v>
      </c>
      <c r="C11" s="26" t="s">
        <v>1120</v>
      </c>
      <c r="D11" s="26" t="s">
        <v>1121</v>
      </c>
      <c r="E11" s="27" t="s">
        <v>296</v>
      </c>
      <c r="F11" s="27">
        <v>20</v>
      </c>
      <c r="G11" s="28"/>
      <c r="H11" s="28" t="s">
        <v>101</v>
      </c>
      <c r="I11" s="28" t="s">
        <v>1121</v>
      </c>
    </row>
    <row r="12" spans="1:9" s="24" customFormat="1" ht="79.5" customHeight="1">
      <c r="A12" s="22"/>
      <c r="B12" s="23">
        <f>B11+1</f>
        <v>3</v>
      </c>
      <c r="C12" s="26" t="s">
        <v>1144</v>
      </c>
      <c r="D12" s="26" t="s">
        <v>1145</v>
      </c>
      <c r="E12" s="27" t="s">
        <v>326</v>
      </c>
      <c r="F12" s="27">
        <v>4</v>
      </c>
      <c r="G12" s="121" t="s">
        <v>1146</v>
      </c>
      <c r="H12" s="28" t="s">
        <v>1147</v>
      </c>
      <c r="I12" s="28"/>
    </row>
    <row r="13" spans="1:9" s="24" customFormat="1" ht="30">
      <c r="A13" s="22"/>
      <c r="B13" s="23">
        <f>B12+1</f>
        <v>4</v>
      </c>
      <c r="C13" s="26" t="s">
        <v>1148</v>
      </c>
      <c r="D13" s="26" t="s">
        <v>1149</v>
      </c>
      <c r="E13" s="27" t="s">
        <v>285</v>
      </c>
      <c r="F13" s="27">
        <v>16</v>
      </c>
      <c r="G13" s="29" t="s">
        <v>1150</v>
      </c>
      <c r="H13" s="28"/>
      <c r="I13" s="28"/>
    </row>
    <row r="14" spans="1:9" s="24" customFormat="1" ht="60">
      <c r="A14" s="25"/>
      <c r="B14" s="23">
        <f>B13+1</f>
        <v>5</v>
      </c>
      <c r="C14" s="26" t="s">
        <v>1151</v>
      </c>
      <c r="D14" s="26" t="s">
        <v>1152</v>
      </c>
      <c r="E14" s="27" t="s">
        <v>969</v>
      </c>
      <c r="F14" s="27"/>
      <c r="G14" s="29" t="s">
        <v>1153</v>
      </c>
      <c r="H14" s="28"/>
      <c r="I14" s="29"/>
    </row>
    <row r="15" spans="1:9" s="24" customFormat="1" ht="30">
      <c r="A15" s="25"/>
      <c r="B15" s="23">
        <f>B14+1</f>
        <v>6</v>
      </c>
      <c r="C15" s="26" t="s">
        <v>1154</v>
      </c>
      <c r="D15" s="26" t="s">
        <v>1155</v>
      </c>
      <c r="E15" s="27" t="s">
        <v>969</v>
      </c>
      <c r="F15" s="27"/>
      <c r="G15" s="29" t="s">
        <v>1156</v>
      </c>
      <c r="H15" s="28"/>
      <c r="I15" s="29"/>
    </row>
    <row r="16" spans="1:9" ht="15">
      <c r="B16" s="21"/>
    </row>
    <row r="17" spans="2:2" ht="15">
      <c r="B17" s="45"/>
    </row>
    <row r="18" spans="2:2" ht="15">
      <c r="B18" s="45"/>
    </row>
    <row r="19" spans="2:2" ht="15">
      <c r="B19" s="45"/>
    </row>
  </sheetData>
  <mergeCells count="6">
    <mergeCell ref="B8:E8"/>
    <mergeCell ref="F8:I8"/>
    <mergeCell ref="B1:E1"/>
    <mergeCell ref="F1:I1"/>
    <mergeCell ref="B2:E2"/>
    <mergeCell ref="F2:I2"/>
  </mergeCells>
  <phoneticPr fontId="5" type="noConversion"/>
  <pageMargins left="0.7" right="0.7" top="0.75" bottom="0.75" header="0.3" footer="0.3"/>
  <pageSetup paperSize="9" orientation="portrait" horizontalDpi="0" verticalDpi="0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366A708-A0F7-47BF-964D-125C9B4C01DB}">
  <sheetPr codeName="工作表41"/>
  <dimension ref="A1:I16"/>
  <sheetViews>
    <sheetView workbookViewId="0"/>
  </sheetViews>
  <sheetFormatPr defaultColWidth="6.625" defaultRowHeight="13.5"/>
  <cols>
    <col min="1" max="1" width="3.125" style="4" bestFit="1" customWidth="1"/>
    <col min="2" max="2" width="5.5" style="8" customWidth="1"/>
    <col min="3" max="3" width="23.125" style="4" customWidth="1"/>
    <col min="4" max="4" width="31.125" style="4" customWidth="1"/>
    <col min="5" max="5" width="11.125" style="4" bestFit="1" customWidth="1"/>
    <col min="6" max="6" width="12.625" style="4" customWidth="1"/>
    <col min="7" max="7" width="28.625" style="4" customWidth="1"/>
    <col min="8" max="8" width="15.5" style="4" customWidth="1"/>
    <col min="9" max="9" width="13.625" style="4" customWidth="1"/>
    <col min="10" max="16384" width="6.625" style="4"/>
  </cols>
  <sheetData>
    <row r="1" spans="1:9" ht="24">
      <c r="A1" s="1" t="e">
        <f ca="1">HYPERLINK("#'介面'!E"&amp;MATCH(VALUE(RIGHT(CELL("filename"),LEN(CELL("filename"))-FIND("]",CELL("filename")))),介面!D:D,"0"),"←")</f>
        <v>#VALUE!</v>
      </c>
      <c r="B1" s="207" t="s">
        <v>1157</v>
      </c>
      <c r="C1" s="208"/>
      <c r="D1" s="208"/>
      <c r="E1" s="209"/>
      <c r="F1" s="207" t="s">
        <v>1158</v>
      </c>
      <c r="G1" s="208"/>
      <c r="H1" s="208"/>
      <c r="I1" s="208"/>
    </row>
    <row r="2" spans="1:9" ht="24">
      <c r="A2" s="1"/>
      <c r="B2" s="210" t="s">
        <v>275</v>
      </c>
      <c r="C2" s="211"/>
      <c r="D2" s="211"/>
      <c r="E2" s="212"/>
      <c r="F2" s="210"/>
      <c r="G2" s="211"/>
      <c r="H2" s="211"/>
      <c r="I2" s="212"/>
    </row>
    <row r="3" spans="1:9" s="8" customFormat="1" ht="15">
      <c r="A3" s="6"/>
      <c r="B3" s="7" t="s">
        <v>276</v>
      </c>
      <c r="C3" s="56" t="s">
        <v>277</v>
      </c>
      <c r="D3" s="56" t="s">
        <v>278</v>
      </c>
      <c r="E3" s="57" t="s">
        <v>279</v>
      </c>
      <c r="F3" s="57" t="s">
        <v>280</v>
      </c>
      <c r="G3" s="56" t="s">
        <v>281</v>
      </c>
      <c r="H3" s="56" t="s">
        <v>11</v>
      </c>
      <c r="I3" s="56" t="s">
        <v>282</v>
      </c>
    </row>
    <row r="4" spans="1:9" s="24" customFormat="1" ht="15.75">
      <c r="A4" s="25"/>
      <c r="B4" s="46">
        <v>1</v>
      </c>
      <c r="C4" s="80" t="s">
        <v>297</v>
      </c>
      <c r="D4" s="80" t="s">
        <v>298</v>
      </c>
      <c r="E4" s="81" t="s">
        <v>285</v>
      </c>
      <c r="F4" s="81">
        <v>500</v>
      </c>
      <c r="G4" s="66" t="s">
        <v>330</v>
      </c>
      <c r="H4" s="142" t="s">
        <v>302</v>
      </c>
      <c r="I4" s="66" t="s">
        <v>287</v>
      </c>
    </row>
    <row r="5" spans="1:9" ht="15.75">
      <c r="A5" s="1"/>
      <c r="B5" s="2"/>
      <c r="C5" s="3"/>
      <c r="D5" s="3"/>
      <c r="E5" s="3"/>
      <c r="F5" s="3"/>
      <c r="G5" s="3"/>
      <c r="H5" s="3"/>
      <c r="I5" s="3"/>
    </row>
    <row r="6" spans="1:9" ht="24">
      <c r="A6" s="1"/>
      <c r="B6" s="204" t="s">
        <v>291</v>
      </c>
      <c r="C6" s="205"/>
      <c r="D6" s="205"/>
      <c r="E6" s="206"/>
      <c r="F6" s="204"/>
      <c r="G6" s="205"/>
      <c r="H6" s="205"/>
      <c r="I6" s="206"/>
    </row>
    <row r="7" spans="1:9" s="8" customFormat="1" ht="15">
      <c r="A7" s="6"/>
      <c r="B7" s="7" t="s">
        <v>276</v>
      </c>
      <c r="C7" s="56" t="s">
        <v>277</v>
      </c>
      <c r="D7" s="56" t="s">
        <v>278</v>
      </c>
      <c r="E7" s="57" t="s">
        <v>279</v>
      </c>
      <c r="F7" s="57" t="s">
        <v>280</v>
      </c>
      <c r="G7" s="56" t="s">
        <v>11</v>
      </c>
      <c r="H7" s="56" t="s">
        <v>292</v>
      </c>
      <c r="I7" s="56" t="s">
        <v>293</v>
      </c>
    </row>
    <row r="8" spans="1:9" s="24" customFormat="1" ht="15">
      <c r="A8" s="25"/>
      <c r="B8" s="46">
        <v>1</v>
      </c>
      <c r="C8" s="50" t="s">
        <v>1159</v>
      </c>
      <c r="D8" s="50" t="s">
        <v>1160</v>
      </c>
      <c r="E8" s="51" t="s">
        <v>452</v>
      </c>
      <c r="F8" s="51">
        <v>20</v>
      </c>
      <c r="G8" s="19"/>
      <c r="H8" s="19"/>
      <c r="I8" s="19"/>
    </row>
    <row r="9" spans="1:9" s="24" customFormat="1" ht="15">
      <c r="A9" s="25"/>
      <c r="B9" s="46">
        <f>B8+1</f>
        <v>2</v>
      </c>
      <c r="C9" s="50" t="s">
        <v>1161</v>
      </c>
      <c r="D9" s="50" t="s">
        <v>1162</v>
      </c>
      <c r="E9" s="51" t="s">
        <v>456</v>
      </c>
      <c r="F9" s="51">
        <v>50</v>
      </c>
      <c r="G9" s="52" t="s">
        <v>1163</v>
      </c>
      <c r="H9" s="19"/>
      <c r="I9" s="19"/>
    </row>
    <row r="10" spans="1:9" s="24" customFormat="1" ht="58.5" customHeight="1">
      <c r="A10" s="22"/>
      <c r="B10" s="46">
        <f>B9+1</f>
        <v>3</v>
      </c>
      <c r="C10" s="50" t="s">
        <v>1164</v>
      </c>
      <c r="D10" s="50" t="s">
        <v>1165</v>
      </c>
      <c r="E10" s="51" t="s">
        <v>456</v>
      </c>
      <c r="F10" s="51">
        <v>500</v>
      </c>
      <c r="G10" s="19"/>
      <c r="H10" s="19"/>
      <c r="I10" s="19"/>
    </row>
    <row r="11" spans="1:9" s="24" customFormat="1" ht="15">
      <c r="A11" s="22"/>
      <c r="B11" s="46">
        <f>B10+1</f>
        <v>4</v>
      </c>
      <c r="C11" s="50" t="s">
        <v>1166</v>
      </c>
      <c r="D11" s="50" t="s">
        <v>1167</v>
      </c>
      <c r="E11" s="51" t="s">
        <v>285</v>
      </c>
      <c r="F11" s="51">
        <v>10</v>
      </c>
      <c r="G11" s="19"/>
      <c r="H11" s="19"/>
      <c r="I11" s="19"/>
    </row>
    <row r="12" spans="1:9" s="24" customFormat="1" ht="15">
      <c r="A12" s="25"/>
      <c r="B12" s="46">
        <f>B11+1</f>
        <v>5</v>
      </c>
      <c r="C12" s="50" t="s">
        <v>1168</v>
      </c>
      <c r="D12" s="50" t="s">
        <v>1169</v>
      </c>
      <c r="E12" s="51" t="s">
        <v>285</v>
      </c>
      <c r="F12" s="51">
        <v>10</v>
      </c>
      <c r="G12" s="19"/>
      <c r="H12" s="19"/>
      <c r="I12" s="19"/>
    </row>
    <row r="13" spans="1:9" ht="15">
      <c r="B13" s="46">
        <f>B12+1</f>
        <v>6</v>
      </c>
      <c r="C13" s="50" t="s">
        <v>311</v>
      </c>
      <c r="D13" s="50" t="s">
        <v>312</v>
      </c>
      <c r="E13" s="27" t="s">
        <v>313</v>
      </c>
      <c r="F13" s="27"/>
      <c r="G13" s="52"/>
      <c r="H13" s="19"/>
      <c r="I13" s="19"/>
    </row>
    <row r="14" spans="1:9" ht="15">
      <c r="B14" s="21"/>
    </row>
    <row r="15" spans="1:9" ht="15">
      <c r="B15" s="45"/>
    </row>
    <row r="16" spans="1:9" ht="15">
      <c r="B16" s="45"/>
    </row>
  </sheetData>
  <mergeCells count="6">
    <mergeCell ref="B6:E6"/>
    <mergeCell ref="F6:I6"/>
    <mergeCell ref="B1:E1"/>
    <mergeCell ref="F1:I1"/>
    <mergeCell ref="B2:E2"/>
    <mergeCell ref="F2:I2"/>
  </mergeCells>
  <phoneticPr fontId="5" type="noConversion"/>
  <pageMargins left="0.7" right="0.7" top="0.75" bottom="0.75" header="0.3" footer="0.3"/>
  <pageSetup paperSize="9" orientation="portrait" horizontalDpi="0" verticalDpi="0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1A1376F-BBE8-4179-AEDF-69554BC466F5}">
  <sheetPr codeName="工作表42"/>
  <dimension ref="A1:I18"/>
  <sheetViews>
    <sheetView workbookViewId="0"/>
  </sheetViews>
  <sheetFormatPr defaultColWidth="6.625" defaultRowHeight="13.5"/>
  <cols>
    <col min="1" max="1" width="3.125" style="4" bestFit="1" customWidth="1"/>
    <col min="2" max="2" width="5.5" style="8" customWidth="1"/>
    <col min="3" max="3" width="21" style="4" customWidth="1"/>
    <col min="4" max="4" width="31.125" style="4" customWidth="1"/>
    <col min="5" max="5" width="11.125" style="4" bestFit="1" customWidth="1"/>
    <col min="6" max="6" width="12.625" style="4" customWidth="1"/>
    <col min="7" max="7" width="45.375" style="4" customWidth="1"/>
    <col min="8" max="8" width="15.5" style="4" customWidth="1"/>
    <col min="9" max="9" width="13.625" style="4" customWidth="1"/>
    <col min="10" max="16384" width="6.625" style="4"/>
  </cols>
  <sheetData>
    <row r="1" spans="1:9" ht="24">
      <c r="A1" s="1" t="e">
        <f ca="1">HYPERLINK("#'介面'!E"&amp;MATCH(VALUE(RIGHT(CELL("filename"),LEN(CELL("filename"))-FIND("]",CELL("filename")))),介面!D:D,"0"),"←")</f>
        <v>#VALUE!</v>
      </c>
      <c r="B1" s="207" t="s">
        <v>1170</v>
      </c>
      <c r="C1" s="208"/>
      <c r="D1" s="208"/>
      <c r="E1" s="209"/>
      <c r="F1" s="207" t="s">
        <v>1171</v>
      </c>
      <c r="G1" s="208"/>
      <c r="H1" s="208"/>
      <c r="I1" s="208"/>
    </row>
    <row r="2" spans="1:9" ht="24">
      <c r="A2" s="1"/>
      <c r="B2" s="210" t="s">
        <v>275</v>
      </c>
      <c r="C2" s="211"/>
      <c r="D2" s="211"/>
      <c r="E2" s="212"/>
      <c r="F2" s="210"/>
      <c r="G2" s="211"/>
      <c r="H2" s="211"/>
      <c r="I2" s="212"/>
    </row>
    <row r="3" spans="1:9" s="8" customFormat="1" ht="15">
      <c r="A3" s="6"/>
      <c r="B3" s="7" t="s">
        <v>276</v>
      </c>
      <c r="C3" s="56" t="s">
        <v>277</v>
      </c>
      <c r="D3" s="56" t="s">
        <v>278</v>
      </c>
      <c r="E3" s="57" t="s">
        <v>279</v>
      </c>
      <c r="F3" s="57" t="s">
        <v>280</v>
      </c>
      <c r="G3" s="56" t="s">
        <v>281</v>
      </c>
      <c r="H3" s="56" t="s">
        <v>11</v>
      </c>
      <c r="I3" s="56" t="s">
        <v>282</v>
      </c>
    </row>
    <row r="4" spans="1:9" s="24" customFormat="1" ht="15.75">
      <c r="A4" s="25"/>
      <c r="B4" s="46">
        <v>1</v>
      </c>
      <c r="C4" s="80" t="s">
        <v>297</v>
      </c>
      <c r="D4" s="80" t="s">
        <v>298</v>
      </c>
      <c r="E4" s="81" t="s">
        <v>285</v>
      </c>
      <c r="F4" s="81">
        <v>500</v>
      </c>
      <c r="G4" s="66" t="s">
        <v>330</v>
      </c>
      <c r="H4" s="142" t="s">
        <v>302</v>
      </c>
      <c r="I4" s="66" t="s">
        <v>287</v>
      </c>
    </row>
    <row r="5" spans="1:9" s="24" customFormat="1" ht="15">
      <c r="A5" s="25"/>
      <c r="B5" s="46">
        <f>B4+1</f>
        <v>2</v>
      </c>
      <c r="C5" s="50" t="s">
        <v>303</v>
      </c>
      <c r="D5" s="76" t="s">
        <v>304</v>
      </c>
      <c r="E5" s="51" t="s">
        <v>296</v>
      </c>
      <c r="F5" s="51">
        <v>20</v>
      </c>
      <c r="G5" s="66" t="s">
        <v>331</v>
      </c>
      <c r="H5" s="66"/>
      <c r="I5" s="66" t="s">
        <v>287</v>
      </c>
    </row>
    <row r="6" spans="1:9" ht="15.75">
      <c r="A6" s="1"/>
      <c r="B6" s="2"/>
      <c r="C6" s="3"/>
      <c r="D6" s="3"/>
      <c r="E6" s="3"/>
      <c r="F6" s="3"/>
      <c r="G6" s="3"/>
      <c r="H6" s="3"/>
      <c r="I6" s="3"/>
    </row>
    <row r="7" spans="1:9" ht="24">
      <c r="A7" s="1"/>
      <c r="B7" s="204" t="s">
        <v>291</v>
      </c>
      <c r="C7" s="205"/>
      <c r="D7" s="205"/>
      <c r="E7" s="206"/>
      <c r="F7" s="204"/>
      <c r="G7" s="205"/>
      <c r="H7" s="205"/>
      <c r="I7" s="206"/>
    </row>
    <row r="8" spans="1:9" s="8" customFormat="1" ht="15">
      <c r="A8" s="6"/>
      <c r="B8" s="7" t="s">
        <v>276</v>
      </c>
      <c r="C8" s="56" t="s">
        <v>277</v>
      </c>
      <c r="D8" s="56" t="s">
        <v>278</v>
      </c>
      <c r="E8" s="57" t="s">
        <v>279</v>
      </c>
      <c r="F8" s="57" t="s">
        <v>280</v>
      </c>
      <c r="G8" s="56" t="s">
        <v>11</v>
      </c>
      <c r="H8" s="56" t="s">
        <v>292</v>
      </c>
      <c r="I8" s="56" t="s">
        <v>293</v>
      </c>
    </row>
    <row r="9" spans="1:9" s="24" customFormat="1" ht="15">
      <c r="A9" s="25"/>
      <c r="B9" s="46">
        <v>1</v>
      </c>
      <c r="C9" s="50" t="s">
        <v>1172</v>
      </c>
      <c r="D9" s="50" t="s">
        <v>1173</v>
      </c>
      <c r="E9" s="51" t="s">
        <v>452</v>
      </c>
      <c r="F9" s="51">
        <v>20</v>
      </c>
      <c r="G9" s="19"/>
      <c r="H9" s="19"/>
      <c r="I9" s="19"/>
    </row>
    <row r="10" spans="1:9" s="24" customFormat="1" ht="15">
      <c r="A10" s="25"/>
      <c r="B10" s="46">
        <f t="shared" ref="B10:B15" si="0">B9+1</f>
        <v>2</v>
      </c>
      <c r="C10" s="50" t="s">
        <v>453</v>
      </c>
      <c r="D10" s="50" t="s">
        <v>304</v>
      </c>
      <c r="E10" s="51" t="s">
        <v>452</v>
      </c>
      <c r="F10" s="51">
        <v>20</v>
      </c>
      <c r="G10" s="52"/>
      <c r="H10" s="19" t="s">
        <v>1174</v>
      </c>
      <c r="I10" s="19" t="s">
        <v>304</v>
      </c>
    </row>
    <row r="11" spans="1:9" s="24" customFormat="1" ht="15">
      <c r="A11" s="25"/>
      <c r="B11" s="46">
        <f t="shared" si="0"/>
        <v>3</v>
      </c>
      <c r="C11" s="50" t="s">
        <v>1175</v>
      </c>
      <c r="D11" s="50" t="s">
        <v>1176</v>
      </c>
      <c r="E11" s="51" t="s">
        <v>456</v>
      </c>
      <c r="F11" s="51">
        <v>10</v>
      </c>
      <c r="G11" s="19" t="s">
        <v>1177</v>
      </c>
      <c r="H11" s="19"/>
      <c r="I11" s="19"/>
    </row>
    <row r="12" spans="1:9" s="24" customFormat="1" ht="79.5" customHeight="1">
      <c r="A12" s="22"/>
      <c r="B12" s="46">
        <f t="shared" si="0"/>
        <v>4</v>
      </c>
      <c r="C12" s="50" t="s">
        <v>1178</v>
      </c>
      <c r="D12" s="50" t="s">
        <v>1179</v>
      </c>
      <c r="E12" s="51" t="s">
        <v>456</v>
      </c>
      <c r="F12" s="51">
        <v>50</v>
      </c>
      <c r="G12" s="19"/>
      <c r="H12" s="19"/>
      <c r="I12" s="19"/>
    </row>
    <row r="13" spans="1:9" s="24" customFormat="1" ht="15">
      <c r="A13" s="22"/>
      <c r="B13" s="46">
        <f t="shared" si="0"/>
        <v>5</v>
      </c>
      <c r="C13" s="50" t="s">
        <v>1180</v>
      </c>
      <c r="D13" s="50" t="s">
        <v>1181</v>
      </c>
      <c r="E13" s="51" t="s">
        <v>456</v>
      </c>
      <c r="F13" s="51">
        <v>500</v>
      </c>
      <c r="G13" s="19"/>
      <c r="H13" s="19"/>
      <c r="I13" s="19"/>
    </row>
    <row r="14" spans="1:9" s="24" customFormat="1" ht="15">
      <c r="A14" s="25"/>
      <c r="B14" s="46">
        <f t="shared" si="0"/>
        <v>6</v>
      </c>
      <c r="C14" s="102" t="s">
        <v>324</v>
      </c>
      <c r="D14" s="26" t="s">
        <v>325</v>
      </c>
      <c r="E14" s="27" t="s">
        <v>326</v>
      </c>
      <c r="F14" s="27">
        <v>4</v>
      </c>
      <c r="G14" s="19" t="s">
        <v>327</v>
      </c>
      <c r="H14" s="28" t="s">
        <v>328</v>
      </c>
      <c r="I14" s="28"/>
    </row>
    <row r="15" spans="1:9" ht="15">
      <c r="B15" s="46">
        <f t="shared" si="0"/>
        <v>7</v>
      </c>
      <c r="C15" s="50" t="s">
        <v>311</v>
      </c>
      <c r="D15" s="50" t="s">
        <v>312</v>
      </c>
      <c r="E15" s="27" t="s">
        <v>313</v>
      </c>
      <c r="F15" s="27"/>
      <c r="G15" s="52"/>
      <c r="H15" s="19"/>
      <c r="I15" s="19"/>
    </row>
    <row r="16" spans="1:9" ht="15">
      <c r="B16" s="21"/>
    </row>
    <row r="17" spans="2:2" ht="15">
      <c r="B17" s="45"/>
    </row>
    <row r="18" spans="2:2" ht="15">
      <c r="B18" s="45"/>
    </row>
  </sheetData>
  <mergeCells count="6">
    <mergeCell ref="B7:E7"/>
    <mergeCell ref="F7:I7"/>
    <mergeCell ref="B1:E1"/>
    <mergeCell ref="F1:I1"/>
    <mergeCell ref="B2:E2"/>
    <mergeCell ref="F2:I2"/>
  </mergeCells>
  <phoneticPr fontId="5" type="noConversion"/>
  <pageMargins left="0.7" right="0.7" top="0.75" bottom="0.75" header="0.3" footer="0.3"/>
  <pageSetup paperSize="9" orientation="portrait" horizontalDpi="0" verticalDpi="0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6D3DC9E-071D-415F-87FE-69A7B4F32655}">
  <sheetPr codeName="工作表43"/>
  <dimension ref="A1:I22"/>
  <sheetViews>
    <sheetView workbookViewId="0"/>
  </sheetViews>
  <sheetFormatPr defaultColWidth="6.625" defaultRowHeight="13.5"/>
  <cols>
    <col min="1" max="1" width="3.125" style="4" bestFit="1" customWidth="1"/>
    <col min="2" max="2" width="5.5" style="8" customWidth="1"/>
    <col min="3" max="3" width="21" style="4" customWidth="1"/>
    <col min="4" max="4" width="31.125" style="4" customWidth="1"/>
    <col min="5" max="5" width="11.125" style="4" bestFit="1" customWidth="1"/>
    <col min="6" max="6" width="12.625" style="4" customWidth="1"/>
    <col min="7" max="7" width="37.375" style="4" customWidth="1"/>
    <col min="8" max="8" width="28" style="4" customWidth="1"/>
    <col min="9" max="9" width="18.625" style="4" customWidth="1"/>
    <col min="10" max="16384" width="6.625" style="4"/>
  </cols>
  <sheetData>
    <row r="1" spans="1:9" ht="24">
      <c r="A1" s="1" t="e">
        <f ca="1">HYPERLINK("#'介面'!E"&amp;MATCH(VALUE(RIGHT(CELL("filename"),LEN(CELL("filename"))-FIND("]",CELL("filename")))),介面!D:D,"0"),"←")</f>
        <v>#VALUE!</v>
      </c>
      <c r="B1" s="207" t="s">
        <v>1182</v>
      </c>
      <c r="C1" s="208"/>
      <c r="D1" s="208"/>
      <c r="E1" s="209"/>
      <c r="F1" s="207" t="s">
        <v>1183</v>
      </c>
      <c r="G1" s="208"/>
      <c r="H1" s="208"/>
      <c r="I1" s="208"/>
    </row>
    <row r="2" spans="1:9" ht="24">
      <c r="A2" s="1"/>
      <c r="B2" s="210" t="s">
        <v>275</v>
      </c>
      <c r="C2" s="211"/>
      <c r="D2" s="211"/>
      <c r="E2" s="212"/>
      <c r="F2" s="210"/>
      <c r="G2" s="211"/>
      <c r="H2" s="211"/>
      <c r="I2" s="212"/>
    </row>
    <row r="3" spans="1:9" s="8" customFormat="1" ht="15">
      <c r="A3" s="6"/>
      <c r="B3" s="7" t="s">
        <v>276</v>
      </c>
      <c r="C3" s="56" t="s">
        <v>277</v>
      </c>
      <c r="D3" s="56" t="s">
        <v>278</v>
      </c>
      <c r="E3" s="57" t="s">
        <v>279</v>
      </c>
      <c r="F3" s="57" t="s">
        <v>280</v>
      </c>
      <c r="G3" s="56" t="s">
        <v>281</v>
      </c>
      <c r="H3" s="56" t="s">
        <v>11</v>
      </c>
      <c r="I3" s="56" t="s">
        <v>282</v>
      </c>
    </row>
    <row r="4" spans="1:9" s="24" customFormat="1" ht="15.75">
      <c r="A4" s="25"/>
      <c r="B4" s="46">
        <v>1</v>
      </c>
      <c r="C4" s="80" t="s">
        <v>297</v>
      </c>
      <c r="D4" s="80" t="s">
        <v>298</v>
      </c>
      <c r="E4" s="81" t="s">
        <v>285</v>
      </c>
      <c r="F4" s="81">
        <v>500</v>
      </c>
      <c r="G4" s="66" t="s">
        <v>330</v>
      </c>
      <c r="H4" s="142" t="s">
        <v>302</v>
      </c>
      <c r="I4" s="66" t="s">
        <v>287</v>
      </c>
    </row>
    <row r="5" spans="1:9" s="24" customFormat="1" ht="15">
      <c r="A5" s="25"/>
      <c r="B5" s="46">
        <f>B4+1</f>
        <v>2</v>
      </c>
      <c r="C5" s="50" t="s">
        <v>303</v>
      </c>
      <c r="D5" s="76" t="s">
        <v>304</v>
      </c>
      <c r="E5" s="51" t="s">
        <v>296</v>
      </c>
      <c r="F5" s="51">
        <v>20</v>
      </c>
      <c r="G5" s="66" t="s">
        <v>331</v>
      </c>
      <c r="H5" s="66"/>
      <c r="I5" s="66" t="s">
        <v>287</v>
      </c>
    </row>
    <row r="6" spans="1:9" s="24" customFormat="1" ht="15">
      <c r="A6" s="25"/>
      <c r="B6" s="46">
        <f>B5+1</f>
        <v>3</v>
      </c>
      <c r="C6" s="50" t="s">
        <v>1172</v>
      </c>
      <c r="D6" s="50" t="s">
        <v>1173</v>
      </c>
      <c r="E6" s="51" t="s">
        <v>452</v>
      </c>
      <c r="F6" s="51">
        <v>20</v>
      </c>
      <c r="G6" s="66" t="s">
        <v>331</v>
      </c>
      <c r="H6" s="66"/>
      <c r="I6" s="66" t="s">
        <v>287</v>
      </c>
    </row>
    <row r="7" spans="1:9" s="24" customFormat="1" ht="15">
      <c r="A7" s="25"/>
      <c r="B7" s="46">
        <f>B6+1</f>
        <v>4</v>
      </c>
      <c r="C7" s="50" t="s">
        <v>1184</v>
      </c>
      <c r="D7" s="50" t="s">
        <v>1185</v>
      </c>
      <c r="E7" s="51" t="s">
        <v>418</v>
      </c>
      <c r="F7" s="51">
        <v>11</v>
      </c>
      <c r="G7" s="66" t="s">
        <v>1186</v>
      </c>
      <c r="H7" s="66"/>
      <c r="I7" s="66" t="s">
        <v>287</v>
      </c>
    </row>
    <row r="8" spans="1:9" ht="15.75">
      <c r="A8" s="1"/>
      <c r="B8" s="2"/>
      <c r="C8" s="3"/>
      <c r="D8" s="3"/>
      <c r="E8" s="3"/>
      <c r="F8" s="3"/>
      <c r="G8" s="3"/>
      <c r="H8" s="3"/>
      <c r="I8" s="3"/>
    </row>
    <row r="9" spans="1:9" ht="24">
      <c r="A9" s="1"/>
      <c r="B9" s="204" t="s">
        <v>291</v>
      </c>
      <c r="C9" s="205"/>
      <c r="D9" s="205"/>
      <c r="E9" s="206"/>
      <c r="F9" s="204"/>
      <c r="G9" s="205"/>
      <c r="H9" s="205"/>
      <c r="I9" s="206"/>
    </row>
    <row r="10" spans="1:9" s="8" customFormat="1" ht="15">
      <c r="A10" s="6"/>
      <c r="B10" s="7" t="s">
        <v>276</v>
      </c>
      <c r="C10" s="56" t="s">
        <v>277</v>
      </c>
      <c r="D10" s="56" t="s">
        <v>278</v>
      </c>
      <c r="E10" s="57" t="s">
        <v>279</v>
      </c>
      <c r="F10" s="57" t="s">
        <v>280</v>
      </c>
      <c r="G10" s="56" t="s">
        <v>11</v>
      </c>
      <c r="H10" s="56" t="s">
        <v>292</v>
      </c>
      <c r="I10" s="56" t="s">
        <v>293</v>
      </c>
    </row>
    <row r="11" spans="1:9" s="24" customFormat="1" ht="15">
      <c r="A11" s="25"/>
      <c r="B11" s="46">
        <v>1</v>
      </c>
      <c r="C11" s="50" t="s">
        <v>453</v>
      </c>
      <c r="D11" s="50" t="s">
        <v>304</v>
      </c>
      <c r="E11" s="51" t="s">
        <v>452</v>
      </c>
      <c r="F11" s="51">
        <v>20</v>
      </c>
      <c r="G11" s="52"/>
      <c r="H11" s="19" t="s">
        <v>41</v>
      </c>
      <c r="I11" s="19" t="s">
        <v>304</v>
      </c>
    </row>
    <row r="12" spans="1:9" s="24" customFormat="1" ht="15">
      <c r="A12" s="25"/>
      <c r="B12" s="46">
        <f>B11+1</f>
        <v>2</v>
      </c>
      <c r="C12" s="50" t="s">
        <v>1172</v>
      </c>
      <c r="D12" s="50" t="s">
        <v>1173</v>
      </c>
      <c r="E12" s="51" t="s">
        <v>452</v>
      </c>
      <c r="F12" s="51">
        <v>20</v>
      </c>
      <c r="G12" s="52"/>
      <c r="H12" s="19" t="s">
        <v>1170</v>
      </c>
      <c r="I12" s="19" t="s">
        <v>1173</v>
      </c>
    </row>
    <row r="13" spans="1:9" s="24" customFormat="1" ht="79.5" customHeight="1">
      <c r="A13" s="22"/>
      <c r="B13" s="46">
        <f>B12+1</f>
        <v>3</v>
      </c>
      <c r="C13" s="102" t="s">
        <v>1187</v>
      </c>
      <c r="D13" s="122" t="s">
        <v>1188</v>
      </c>
      <c r="E13" s="127" t="s">
        <v>316</v>
      </c>
      <c r="F13" s="123"/>
      <c r="G13" s="128"/>
      <c r="H13" s="19"/>
      <c r="I13" s="19"/>
    </row>
    <row r="14" spans="1:9" ht="45">
      <c r="B14" s="46">
        <f>B13+1</f>
        <v>4</v>
      </c>
      <c r="C14" s="102" t="s">
        <v>1189</v>
      </c>
      <c r="D14" s="122" t="s">
        <v>1190</v>
      </c>
      <c r="E14" s="123" t="s">
        <v>399</v>
      </c>
      <c r="F14" s="124">
        <v>4</v>
      </c>
      <c r="G14" s="125" t="s">
        <v>1191</v>
      </c>
      <c r="H14" s="28" t="s">
        <v>1147</v>
      </c>
      <c r="I14" s="19"/>
    </row>
    <row r="15" spans="1:9" ht="90">
      <c r="B15" s="46">
        <f>B14+1</f>
        <v>5</v>
      </c>
      <c r="C15" s="50" t="s">
        <v>1159</v>
      </c>
      <c r="D15" s="50" t="s">
        <v>1160</v>
      </c>
      <c r="E15" s="51" t="s">
        <v>452</v>
      </c>
      <c r="F15" s="126">
        <v>20</v>
      </c>
      <c r="G15" s="125" t="s">
        <v>1192</v>
      </c>
      <c r="H15" s="19" t="s">
        <v>1157</v>
      </c>
      <c r="I15" s="19" t="s">
        <v>1160</v>
      </c>
    </row>
    <row r="16" spans="1:9" ht="15">
      <c r="B16" s="21"/>
    </row>
    <row r="17" spans="2:2" ht="15">
      <c r="B17" s="45"/>
    </row>
    <row r="18" spans="2:2" ht="15">
      <c r="B18" s="45"/>
    </row>
    <row r="19" spans="2:2" ht="15">
      <c r="B19" s="45"/>
    </row>
    <row r="20" spans="2:2" ht="15">
      <c r="B20" s="45"/>
    </row>
    <row r="21" spans="2:2" ht="15">
      <c r="B21" s="45"/>
    </row>
    <row r="22" spans="2:2" ht="15">
      <c r="B22" s="45"/>
    </row>
  </sheetData>
  <mergeCells count="6">
    <mergeCell ref="B9:E9"/>
    <mergeCell ref="F9:I9"/>
    <mergeCell ref="B1:E1"/>
    <mergeCell ref="F1:I1"/>
    <mergeCell ref="B2:E2"/>
    <mergeCell ref="F2:I2"/>
  </mergeCells>
  <phoneticPr fontId="5" type="noConversion"/>
  <pageMargins left="0.7" right="0.7" top="0.75" bottom="0.75" header="0.3" footer="0.3"/>
  <pageSetup paperSize="9" orientation="portrait" horizontalDpi="0" verticalDpi="0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29C0E7D-6775-4B17-9153-C15258724171}">
  <sheetPr codeName="工作表44"/>
  <dimension ref="A1:I658"/>
  <sheetViews>
    <sheetView topLeftCell="A22" workbookViewId="0">
      <selection activeCell="F41" sqref="F41"/>
    </sheetView>
  </sheetViews>
  <sheetFormatPr defaultColWidth="6.625" defaultRowHeight="13.5"/>
  <cols>
    <col min="1" max="1" width="3.125" style="4" bestFit="1" customWidth="1"/>
    <col min="2" max="2" width="5.5" style="8" customWidth="1"/>
    <col min="3" max="3" width="31.625" style="4" customWidth="1"/>
    <col min="4" max="4" width="24.5" style="4" customWidth="1"/>
    <col min="5" max="5" width="11.125" style="4" bestFit="1" customWidth="1"/>
    <col min="6" max="6" width="5.5" style="4" bestFit="1" customWidth="1"/>
    <col min="7" max="7" width="62.375" style="4" customWidth="1"/>
    <col min="8" max="8" width="31.125" style="4" bestFit="1" customWidth="1"/>
    <col min="9" max="9" width="19.125" style="4" customWidth="1"/>
    <col min="10" max="16384" width="6.625" style="4"/>
  </cols>
  <sheetData>
    <row r="1" spans="1:9" ht="24">
      <c r="A1" s="1" t="e">
        <f ca="1">HYPERLINK("#'介面'!E"&amp;MATCH(VALUE(RIGHT(CELL("filename"),LEN(CELL("filename"))-FIND("]",CELL("filename")))),介面!D:D,"0"),"←")</f>
        <v>#VALUE!</v>
      </c>
      <c r="B1" s="207" t="s">
        <v>1193</v>
      </c>
      <c r="C1" s="208"/>
      <c r="D1" s="208"/>
      <c r="E1" s="209"/>
      <c r="F1" s="221" t="s">
        <v>1194</v>
      </c>
      <c r="G1" s="222"/>
      <c r="H1" s="222"/>
      <c r="I1" s="223"/>
    </row>
    <row r="2" spans="1:9" ht="24">
      <c r="A2" s="1"/>
      <c r="B2" s="210" t="s">
        <v>275</v>
      </c>
      <c r="C2" s="211"/>
      <c r="D2" s="211"/>
      <c r="E2" s="212"/>
      <c r="F2" s="219"/>
      <c r="G2" s="220"/>
      <c r="H2" s="220"/>
      <c r="I2" s="215"/>
    </row>
    <row r="3" spans="1:9" s="8" customFormat="1" ht="15">
      <c r="A3" s="6"/>
      <c r="B3" s="7" t="s">
        <v>276</v>
      </c>
      <c r="C3" s="56" t="s">
        <v>277</v>
      </c>
      <c r="D3" s="56" t="s">
        <v>278</v>
      </c>
      <c r="E3" s="57" t="s">
        <v>279</v>
      </c>
      <c r="F3" s="57" t="s">
        <v>280</v>
      </c>
      <c r="G3" s="56" t="s">
        <v>281</v>
      </c>
      <c r="H3" s="56" t="s">
        <v>11</v>
      </c>
      <c r="I3" s="56" t="s">
        <v>282</v>
      </c>
    </row>
    <row r="4" spans="1:9" s="24" customFormat="1" ht="15.75">
      <c r="A4" s="25"/>
      <c r="B4" s="46">
        <v>1</v>
      </c>
      <c r="C4" s="80" t="s">
        <v>297</v>
      </c>
      <c r="D4" s="80" t="s">
        <v>298</v>
      </c>
      <c r="E4" s="81" t="s">
        <v>285</v>
      </c>
      <c r="F4" s="81">
        <v>500</v>
      </c>
      <c r="G4" s="66" t="s">
        <v>330</v>
      </c>
      <c r="H4" s="142" t="s">
        <v>302</v>
      </c>
      <c r="I4" s="66" t="s">
        <v>287</v>
      </c>
    </row>
    <row r="5" spans="1:9" s="24" customFormat="1" ht="15">
      <c r="A5" s="25"/>
      <c r="B5" s="46">
        <v>2</v>
      </c>
      <c r="C5" s="50" t="s">
        <v>303</v>
      </c>
      <c r="D5" s="76" t="s">
        <v>304</v>
      </c>
      <c r="E5" s="51" t="s">
        <v>296</v>
      </c>
      <c r="F5" s="51">
        <v>20</v>
      </c>
      <c r="G5" s="66" t="s">
        <v>331</v>
      </c>
      <c r="H5" s="66"/>
      <c r="I5" s="66" t="s">
        <v>287</v>
      </c>
    </row>
    <row r="6" spans="1:9" s="95" customFormat="1" ht="15.75">
      <c r="A6" s="93"/>
      <c r="B6" s="46">
        <v>3</v>
      </c>
      <c r="C6" s="80" t="s">
        <v>1195</v>
      </c>
      <c r="D6" s="80" t="s">
        <v>1196</v>
      </c>
      <c r="E6" s="81" t="s">
        <v>316</v>
      </c>
      <c r="F6" s="81"/>
      <c r="G6" s="91" t="s">
        <v>985</v>
      </c>
      <c r="H6" s="66"/>
      <c r="I6" s="66" t="s">
        <v>287</v>
      </c>
    </row>
    <row r="7" spans="1:9" s="95" customFormat="1" ht="15.75">
      <c r="A7" s="93"/>
      <c r="B7" s="46">
        <v>4</v>
      </c>
      <c r="C7" s="80" t="s">
        <v>1197</v>
      </c>
      <c r="D7" s="80" t="s">
        <v>1198</v>
      </c>
      <c r="E7" s="81" t="s">
        <v>316</v>
      </c>
      <c r="F7" s="81"/>
      <c r="G7" s="91" t="s">
        <v>988</v>
      </c>
      <c r="H7" s="66"/>
      <c r="I7" s="66" t="s">
        <v>287</v>
      </c>
    </row>
    <row r="8" spans="1:9" s="24" customFormat="1" ht="15">
      <c r="A8" s="25"/>
      <c r="B8" s="46">
        <v>5</v>
      </c>
      <c r="C8" s="50" t="s">
        <v>637</v>
      </c>
      <c r="D8" s="50" t="s">
        <v>364</v>
      </c>
      <c r="E8" s="51" t="s">
        <v>296</v>
      </c>
      <c r="F8" s="51">
        <v>20</v>
      </c>
      <c r="G8" s="66" t="s">
        <v>331</v>
      </c>
      <c r="H8" s="66"/>
      <c r="I8" s="66" t="s">
        <v>287</v>
      </c>
    </row>
    <row r="9" spans="1:9" s="24" customFormat="1" ht="15">
      <c r="A9" s="25"/>
      <c r="B9" s="6"/>
      <c r="C9" s="144"/>
      <c r="D9" s="144"/>
      <c r="E9" s="145"/>
      <c r="F9" s="145"/>
      <c r="G9" s="21"/>
      <c r="H9" s="21"/>
    </row>
    <row r="10" spans="1:9" ht="15.75">
      <c r="A10" s="1"/>
      <c r="B10" s="2"/>
      <c r="C10" s="3"/>
      <c r="D10" s="3"/>
      <c r="E10" s="3"/>
      <c r="F10" s="3"/>
      <c r="G10" s="3"/>
      <c r="H10" s="3"/>
    </row>
    <row r="11" spans="1:9" ht="24">
      <c r="A11" s="1"/>
      <c r="B11" s="204" t="s">
        <v>291</v>
      </c>
      <c r="C11" s="205"/>
      <c r="D11" s="205"/>
      <c r="E11" s="206"/>
      <c r="F11" s="204"/>
      <c r="G11" s="205"/>
      <c r="H11" s="205"/>
      <c r="I11" s="164"/>
    </row>
    <row r="12" spans="1:9" s="8" customFormat="1" ht="15">
      <c r="A12" s="6"/>
      <c r="B12" s="7" t="s">
        <v>276</v>
      </c>
      <c r="C12" s="56" t="s">
        <v>277</v>
      </c>
      <c r="D12" s="56" t="s">
        <v>278</v>
      </c>
      <c r="E12" s="57" t="s">
        <v>279</v>
      </c>
      <c r="F12" s="57" t="s">
        <v>280</v>
      </c>
      <c r="G12" s="56" t="s">
        <v>11</v>
      </c>
      <c r="H12" s="56" t="s">
        <v>292</v>
      </c>
      <c r="I12" s="56" t="s">
        <v>293</v>
      </c>
    </row>
    <row r="13" spans="1:9" s="24" customFormat="1" ht="15">
      <c r="A13" s="25"/>
      <c r="B13" s="23">
        <v>1</v>
      </c>
      <c r="C13" s="67" t="s">
        <v>453</v>
      </c>
      <c r="D13" s="67" t="s">
        <v>304</v>
      </c>
      <c r="E13" s="68" t="s">
        <v>452</v>
      </c>
      <c r="F13" s="68">
        <v>20</v>
      </c>
      <c r="G13" s="69"/>
      <c r="H13" s="66" t="s">
        <v>41</v>
      </c>
      <c r="I13" s="19" t="s">
        <v>304</v>
      </c>
    </row>
    <row r="14" spans="1:9" s="24" customFormat="1" ht="15.75">
      <c r="A14" s="25"/>
      <c r="B14" s="23">
        <f t="shared" ref="B14:B34" si="0">B13+1</f>
        <v>2</v>
      </c>
      <c r="C14" s="80" t="s">
        <v>637</v>
      </c>
      <c r="D14" s="80" t="s">
        <v>364</v>
      </c>
      <c r="E14" s="81" t="s">
        <v>296</v>
      </c>
      <c r="F14" s="81">
        <v>20</v>
      </c>
      <c r="G14" s="85"/>
      <c r="H14" s="66" t="s">
        <v>84</v>
      </c>
      <c r="I14" s="19" t="s">
        <v>364</v>
      </c>
    </row>
    <row r="15" spans="1:9" s="24" customFormat="1" ht="34.5" customHeight="1">
      <c r="A15" s="22"/>
      <c r="B15" s="23">
        <f t="shared" si="0"/>
        <v>3</v>
      </c>
      <c r="C15" s="86" t="s">
        <v>1199</v>
      </c>
      <c r="D15" s="86" t="s">
        <v>1200</v>
      </c>
      <c r="E15" s="87" t="s">
        <v>316</v>
      </c>
      <c r="F15" s="87"/>
      <c r="G15" s="89"/>
      <c r="H15" s="89"/>
      <c r="I15" s="19"/>
    </row>
    <row r="16" spans="1:9" ht="15.75">
      <c r="B16" s="23">
        <f t="shared" si="0"/>
        <v>4</v>
      </c>
      <c r="C16" s="129" t="s">
        <v>1201</v>
      </c>
      <c r="D16" s="86" t="s">
        <v>1202</v>
      </c>
      <c r="E16" s="87" t="s">
        <v>326</v>
      </c>
      <c r="F16" s="87">
        <v>4</v>
      </c>
      <c r="G16" s="88" t="s">
        <v>1203</v>
      </c>
      <c r="H16" s="89"/>
      <c r="I16" s="19"/>
    </row>
    <row r="17" spans="2:9" ht="105.75" customHeight="1">
      <c r="B17" s="23">
        <f t="shared" si="0"/>
        <v>5</v>
      </c>
      <c r="C17" s="26" t="s">
        <v>1204</v>
      </c>
      <c r="D17" s="26" t="s">
        <v>1205</v>
      </c>
      <c r="E17" s="27" t="s">
        <v>326</v>
      </c>
      <c r="F17" s="27">
        <v>4</v>
      </c>
      <c r="G17" s="121" t="s">
        <v>1206</v>
      </c>
      <c r="H17" s="28" t="s">
        <v>435</v>
      </c>
      <c r="I17" s="19"/>
    </row>
    <row r="18" spans="2:9" ht="15">
      <c r="B18" s="23">
        <f t="shared" si="0"/>
        <v>6</v>
      </c>
      <c r="C18" s="26" t="s">
        <v>1207</v>
      </c>
      <c r="D18" s="26" t="s">
        <v>1208</v>
      </c>
      <c r="E18" s="27" t="s">
        <v>326</v>
      </c>
      <c r="F18" s="27">
        <v>4</v>
      </c>
      <c r="G18" s="121" t="s">
        <v>448</v>
      </c>
      <c r="H18" s="28" t="s">
        <v>435</v>
      </c>
      <c r="I18" s="19"/>
    </row>
    <row r="19" spans="2:9" ht="45">
      <c r="B19" s="23">
        <f t="shared" si="0"/>
        <v>7</v>
      </c>
      <c r="C19" s="102" t="s">
        <v>1209</v>
      </c>
      <c r="D19" s="122" t="s">
        <v>1210</v>
      </c>
      <c r="E19" s="123" t="s">
        <v>399</v>
      </c>
      <c r="F19" s="123">
        <v>4</v>
      </c>
      <c r="G19" s="125" t="s">
        <v>1191</v>
      </c>
      <c r="H19" s="28" t="s">
        <v>1147</v>
      </c>
      <c r="I19" s="19"/>
    </row>
    <row r="20" spans="2:9" ht="63">
      <c r="B20" s="23">
        <f t="shared" si="0"/>
        <v>8</v>
      </c>
      <c r="C20" s="90" t="s">
        <v>1211</v>
      </c>
      <c r="D20" s="90" t="s">
        <v>1212</v>
      </c>
      <c r="E20" s="87" t="s">
        <v>326</v>
      </c>
      <c r="F20" s="87">
        <v>4</v>
      </c>
      <c r="G20" s="88" t="s">
        <v>1213</v>
      </c>
      <c r="H20" s="28" t="s">
        <v>1214</v>
      </c>
      <c r="I20" s="19"/>
    </row>
    <row r="21" spans="2:9" ht="15.75">
      <c r="B21" s="23">
        <f t="shared" si="0"/>
        <v>9</v>
      </c>
      <c r="C21" s="90" t="s">
        <v>1215</v>
      </c>
      <c r="D21" s="71" t="s">
        <v>1121</v>
      </c>
      <c r="E21" s="72" t="s">
        <v>296</v>
      </c>
      <c r="F21" s="72">
        <v>20</v>
      </c>
      <c r="G21" s="88"/>
      <c r="H21" s="66" t="s">
        <v>101</v>
      </c>
      <c r="I21" s="19" t="s">
        <v>1121</v>
      </c>
    </row>
    <row r="22" spans="2:9" ht="15.75">
      <c r="B22" s="23">
        <f t="shared" si="0"/>
        <v>10</v>
      </c>
      <c r="C22" s="71" t="s">
        <v>1216</v>
      </c>
      <c r="D22" s="71" t="s">
        <v>1173</v>
      </c>
      <c r="E22" s="72" t="s">
        <v>452</v>
      </c>
      <c r="F22" s="72">
        <v>20</v>
      </c>
      <c r="G22" s="88"/>
      <c r="H22" s="66" t="s">
        <v>1170</v>
      </c>
      <c r="I22" s="19" t="s">
        <v>1173</v>
      </c>
    </row>
    <row r="23" spans="2:9" ht="90">
      <c r="B23" s="23">
        <f t="shared" si="0"/>
        <v>11</v>
      </c>
      <c r="C23" s="26" t="s">
        <v>1217</v>
      </c>
      <c r="D23" s="26" t="s">
        <v>1160</v>
      </c>
      <c r="E23" s="27" t="s">
        <v>452</v>
      </c>
      <c r="F23" s="27">
        <v>20</v>
      </c>
      <c r="G23" s="121" t="s">
        <v>1192</v>
      </c>
      <c r="H23" s="28" t="s">
        <v>1157</v>
      </c>
      <c r="I23" s="19" t="s">
        <v>1160</v>
      </c>
    </row>
    <row r="24" spans="2:9" s="24" customFormat="1" ht="15">
      <c r="B24" s="23">
        <f t="shared" si="0"/>
        <v>12</v>
      </c>
      <c r="C24" s="26" t="s">
        <v>1218</v>
      </c>
      <c r="D24" s="26" t="s">
        <v>1219</v>
      </c>
      <c r="E24" s="27" t="s">
        <v>285</v>
      </c>
      <c r="F24" s="27">
        <v>1000</v>
      </c>
      <c r="G24" s="29" t="s">
        <v>1220</v>
      </c>
      <c r="H24" s="28" t="s">
        <v>1221</v>
      </c>
      <c r="I24" s="28"/>
    </row>
    <row r="25" spans="2:9" ht="45">
      <c r="B25" s="23">
        <f t="shared" si="0"/>
        <v>13</v>
      </c>
      <c r="C25" s="26" t="s">
        <v>1222</v>
      </c>
      <c r="D25" s="26" t="s">
        <v>1223</v>
      </c>
      <c r="E25" s="27" t="s">
        <v>326</v>
      </c>
      <c r="F25" s="27">
        <v>4</v>
      </c>
      <c r="G25" s="29" t="s">
        <v>1224</v>
      </c>
      <c r="H25" s="28" t="s">
        <v>435</v>
      </c>
      <c r="I25" s="19"/>
    </row>
    <row r="26" spans="2:9" ht="15">
      <c r="B26" s="23">
        <f t="shared" si="0"/>
        <v>14</v>
      </c>
      <c r="C26" s="26" t="s">
        <v>1225</v>
      </c>
      <c r="D26" s="26" t="s">
        <v>1226</v>
      </c>
      <c r="E26" s="27" t="s">
        <v>969</v>
      </c>
      <c r="F26" s="27"/>
      <c r="G26" s="29" t="s">
        <v>1227</v>
      </c>
      <c r="H26" s="28"/>
      <c r="I26" s="19"/>
    </row>
    <row r="27" spans="2:9" ht="15">
      <c r="B27" s="23">
        <f t="shared" si="0"/>
        <v>15</v>
      </c>
      <c r="C27" s="26" t="s">
        <v>1228</v>
      </c>
      <c r="D27" s="26" t="s">
        <v>1229</v>
      </c>
      <c r="E27" s="27" t="s">
        <v>969</v>
      </c>
      <c r="F27" s="27"/>
      <c r="G27" s="29" t="s">
        <v>1227</v>
      </c>
      <c r="H27" s="28"/>
      <c r="I27" s="19"/>
    </row>
    <row r="28" spans="2:9" ht="15">
      <c r="B28" s="23">
        <f t="shared" si="0"/>
        <v>16</v>
      </c>
      <c r="C28" s="26" t="s">
        <v>1230</v>
      </c>
      <c r="D28" s="26" t="s">
        <v>1231</v>
      </c>
      <c r="E28" s="27" t="s">
        <v>969</v>
      </c>
      <c r="F28" s="27"/>
      <c r="G28" s="29" t="s">
        <v>1227</v>
      </c>
      <c r="H28" s="28"/>
      <c r="I28" s="19"/>
    </row>
    <row r="29" spans="2:9" ht="15">
      <c r="B29" s="23">
        <f t="shared" si="0"/>
        <v>17</v>
      </c>
      <c r="C29" s="26" t="s">
        <v>1232</v>
      </c>
      <c r="D29" s="26" t="s">
        <v>1233</v>
      </c>
      <c r="E29" s="27" t="s">
        <v>969</v>
      </c>
      <c r="F29" s="27"/>
      <c r="G29" s="29" t="s">
        <v>1227</v>
      </c>
      <c r="H29" s="28"/>
      <c r="I29" s="19"/>
    </row>
    <row r="30" spans="2:9" ht="15">
      <c r="B30" s="23">
        <f t="shared" si="0"/>
        <v>18</v>
      </c>
      <c r="C30" s="26" t="s">
        <v>1234</v>
      </c>
      <c r="D30" s="26" t="s">
        <v>1235</v>
      </c>
      <c r="E30" s="27" t="s">
        <v>969</v>
      </c>
      <c r="F30" s="27"/>
      <c r="G30" s="29" t="s">
        <v>1227</v>
      </c>
      <c r="H30" s="28"/>
      <c r="I30" s="19"/>
    </row>
    <row r="31" spans="2:9" ht="15">
      <c r="B31" s="23">
        <f t="shared" si="0"/>
        <v>19</v>
      </c>
      <c r="C31" s="26" t="s">
        <v>1236</v>
      </c>
      <c r="D31" s="26" t="s">
        <v>1237</v>
      </c>
      <c r="E31" s="27" t="s">
        <v>969</v>
      </c>
      <c r="F31" s="27"/>
      <c r="G31" s="29" t="s">
        <v>1227</v>
      </c>
      <c r="H31" s="28"/>
      <c r="I31" s="19"/>
    </row>
    <row r="32" spans="2:9" ht="15">
      <c r="B32" s="23">
        <f t="shared" si="0"/>
        <v>20</v>
      </c>
      <c r="C32" s="26" t="s">
        <v>1238</v>
      </c>
      <c r="D32" s="26" t="s">
        <v>1239</v>
      </c>
      <c r="E32" s="27" t="s">
        <v>608</v>
      </c>
      <c r="F32" s="27" t="s">
        <v>609</v>
      </c>
      <c r="G32" s="29" t="s">
        <v>1240</v>
      </c>
      <c r="H32" s="28"/>
      <c r="I32" s="19"/>
    </row>
    <row r="33" spans="2:9" s="24" customFormat="1" ht="15">
      <c r="B33" s="23">
        <f t="shared" si="0"/>
        <v>21</v>
      </c>
      <c r="C33" s="26" t="s">
        <v>1241</v>
      </c>
      <c r="D33" s="26" t="s">
        <v>1242</v>
      </c>
      <c r="E33" s="27" t="s">
        <v>608</v>
      </c>
      <c r="F33" s="27" t="s">
        <v>609</v>
      </c>
      <c r="G33" s="29" t="s">
        <v>1243</v>
      </c>
      <c r="H33" s="28"/>
      <c r="I33" s="19"/>
    </row>
    <row r="34" spans="2:9" s="24" customFormat="1" ht="75">
      <c r="B34" s="23">
        <f t="shared" si="0"/>
        <v>22</v>
      </c>
      <c r="C34" s="86" t="s">
        <v>1244</v>
      </c>
      <c r="D34" s="86" t="s">
        <v>1245</v>
      </c>
      <c r="E34" s="29" t="s">
        <v>285</v>
      </c>
      <c r="F34" s="29">
        <v>1000</v>
      </c>
      <c r="G34" s="29" t="s">
        <v>1246</v>
      </c>
      <c r="H34" s="28"/>
      <c r="I34" s="28"/>
    </row>
    <row r="35" spans="2:9" ht="15">
      <c r="B35" s="45"/>
    </row>
    <row r="36" spans="2:9" ht="15">
      <c r="B36" s="45"/>
    </row>
    <row r="37" spans="2:9" ht="15">
      <c r="B37" s="45"/>
    </row>
    <row r="38" spans="2:9" ht="15">
      <c r="B38" s="45"/>
    </row>
    <row r="41" spans="2:9" ht="15">
      <c r="C41" s="21"/>
    </row>
    <row r="351" spans="3:3">
      <c r="C351" s="4" t="s">
        <v>1247</v>
      </c>
    </row>
    <row r="352" spans="3:3">
      <c r="C352" s="4" t="s">
        <v>1248</v>
      </c>
    </row>
    <row r="353" spans="3:3">
      <c r="C353" s="4" t="s">
        <v>1249</v>
      </c>
    </row>
    <row r="354" spans="3:3">
      <c r="C354" s="4" t="s">
        <v>1250</v>
      </c>
    </row>
    <row r="355" spans="3:3">
      <c r="C355" s="4" t="s">
        <v>1251</v>
      </c>
    </row>
    <row r="356" spans="3:3">
      <c r="C356" s="4" t="s">
        <v>1252</v>
      </c>
    </row>
    <row r="357" spans="3:3">
      <c r="C357" s="4" t="s">
        <v>1253</v>
      </c>
    </row>
    <row r="358" spans="3:3">
      <c r="C358" s="4" t="s">
        <v>1254</v>
      </c>
    </row>
    <row r="359" spans="3:3">
      <c r="C359" s="4" t="s">
        <v>1255</v>
      </c>
    </row>
    <row r="360" spans="3:3">
      <c r="C360" s="4" t="s">
        <v>1256</v>
      </c>
    </row>
    <row r="361" spans="3:3">
      <c r="C361" s="4" t="s">
        <v>1257</v>
      </c>
    </row>
    <row r="362" spans="3:3">
      <c r="C362" s="4" t="s">
        <v>1258</v>
      </c>
    </row>
    <row r="363" spans="3:3">
      <c r="C363" s="4" t="s">
        <v>1259</v>
      </c>
    </row>
    <row r="364" spans="3:3">
      <c r="C364" s="4" t="s">
        <v>1260</v>
      </c>
    </row>
    <row r="365" spans="3:3">
      <c r="C365" s="4" t="s">
        <v>1261</v>
      </c>
    </row>
    <row r="366" spans="3:3">
      <c r="C366" s="4" t="s">
        <v>1262</v>
      </c>
    </row>
    <row r="367" spans="3:3">
      <c r="C367" s="4" t="s">
        <v>1263</v>
      </c>
    </row>
    <row r="368" spans="3:3">
      <c r="C368" s="4" t="s">
        <v>1264</v>
      </c>
    </row>
    <row r="369" spans="3:3">
      <c r="C369" s="4" t="s">
        <v>1265</v>
      </c>
    </row>
    <row r="370" spans="3:3">
      <c r="C370" s="4" t="s">
        <v>1266</v>
      </c>
    </row>
    <row r="371" spans="3:3">
      <c r="C371" s="4" t="s">
        <v>1267</v>
      </c>
    </row>
    <row r="372" spans="3:3">
      <c r="C372" s="4" t="s">
        <v>1268</v>
      </c>
    </row>
    <row r="373" spans="3:3">
      <c r="C373" s="4" t="s">
        <v>1269</v>
      </c>
    </row>
    <row r="374" spans="3:3">
      <c r="C374" s="4" t="s">
        <v>1270</v>
      </c>
    </row>
    <row r="375" spans="3:3">
      <c r="C375" s="4" t="s">
        <v>1271</v>
      </c>
    </row>
    <row r="376" spans="3:3">
      <c r="C376" s="4" t="s">
        <v>1272</v>
      </c>
    </row>
    <row r="377" spans="3:3">
      <c r="C377" s="4" t="s">
        <v>1273</v>
      </c>
    </row>
    <row r="378" spans="3:3">
      <c r="C378" s="4" t="s">
        <v>1274</v>
      </c>
    </row>
    <row r="379" spans="3:3">
      <c r="C379" s="4" t="s">
        <v>1275</v>
      </c>
    </row>
    <row r="380" spans="3:3">
      <c r="C380" s="4" t="s">
        <v>1276</v>
      </c>
    </row>
    <row r="381" spans="3:3">
      <c r="C381" s="4" t="s">
        <v>1277</v>
      </c>
    </row>
    <row r="382" spans="3:3">
      <c r="C382" s="4" t="s">
        <v>1278</v>
      </c>
    </row>
    <row r="383" spans="3:3">
      <c r="C383" s="4" t="s">
        <v>1279</v>
      </c>
    </row>
    <row r="384" spans="3:3">
      <c r="C384" s="4" t="s">
        <v>1280</v>
      </c>
    </row>
    <row r="385" spans="3:3">
      <c r="C385" s="4" t="s">
        <v>1281</v>
      </c>
    </row>
    <row r="386" spans="3:3">
      <c r="C386" s="4" t="s">
        <v>1282</v>
      </c>
    </row>
    <row r="387" spans="3:3">
      <c r="C387" s="4" t="s">
        <v>1283</v>
      </c>
    </row>
    <row r="388" spans="3:3">
      <c r="C388" s="4" t="s">
        <v>1284</v>
      </c>
    </row>
    <row r="389" spans="3:3">
      <c r="C389" s="4" t="s">
        <v>1285</v>
      </c>
    </row>
    <row r="390" spans="3:3">
      <c r="C390" s="4" t="s">
        <v>1286</v>
      </c>
    </row>
    <row r="391" spans="3:3">
      <c r="C391" s="4" t="s">
        <v>1287</v>
      </c>
    </row>
    <row r="392" spans="3:3">
      <c r="C392" s="4" t="s">
        <v>1288</v>
      </c>
    </row>
    <row r="393" spans="3:3">
      <c r="C393" s="4" t="s">
        <v>1289</v>
      </c>
    </row>
    <row r="394" spans="3:3">
      <c r="C394" s="4" t="s">
        <v>1290</v>
      </c>
    </row>
    <row r="395" spans="3:3">
      <c r="C395" s="4" t="s">
        <v>1291</v>
      </c>
    </row>
    <row r="396" spans="3:3">
      <c r="C396" s="4" t="s">
        <v>1292</v>
      </c>
    </row>
    <row r="397" spans="3:3">
      <c r="C397" s="4" t="s">
        <v>1293</v>
      </c>
    </row>
    <row r="398" spans="3:3">
      <c r="C398" s="4" t="s">
        <v>1294</v>
      </c>
    </row>
    <row r="399" spans="3:3">
      <c r="C399" s="4" t="s">
        <v>1295</v>
      </c>
    </row>
    <row r="400" spans="3:3">
      <c r="C400" s="4" t="s">
        <v>1296</v>
      </c>
    </row>
    <row r="401" spans="3:3">
      <c r="C401" s="4" t="s">
        <v>1297</v>
      </c>
    </row>
    <row r="402" spans="3:3">
      <c r="C402" s="4" t="s">
        <v>1298</v>
      </c>
    </row>
    <row r="403" spans="3:3">
      <c r="C403" s="4" t="s">
        <v>1299</v>
      </c>
    </row>
    <row r="404" spans="3:3">
      <c r="C404" s="4" t="s">
        <v>1300</v>
      </c>
    </row>
    <row r="405" spans="3:3">
      <c r="C405" s="4" t="s">
        <v>1301</v>
      </c>
    </row>
    <row r="406" spans="3:3">
      <c r="C406" s="4" t="s">
        <v>1302</v>
      </c>
    </row>
    <row r="407" spans="3:3">
      <c r="C407" s="4" t="s">
        <v>1303</v>
      </c>
    </row>
    <row r="408" spans="3:3">
      <c r="C408" s="4" t="s">
        <v>1304</v>
      </c>
    </row>
    <row r="409" spans="3:3">
      <c r="C409" s="4" t="s">
        <v>1305</v>
      </c>
    </row>
    <row r="410" spans="3:3">
      <c r="C410" s="4" t="s">
        <v>1306</v>
      </c>
    </row>
    <row r="411" spans="3:3">
      <c r="C411" s="4" t="s">
        <v>1307</v>
      </c>
    </row>
    <row r="412" spans="3:3">
      <c r="C412" s="4" t="s">
        <v>1308</v>
      </c>
    </row>
    <row r="413" spans="3:3">
      <c r="C413" s="4" t="s">
        <v>1309</v>
      </c>
    </row>
    <row r="414" spans="3:3">
      <c r="C414" s="4" t="s">
        <v>1310</v>
      </c>
    </row>
    <row r="415" spans="3:3">
      <c r="C415" s="4" t="s">
        <v>1311</v>
      </c>
    </row>
    <row r="416" spans="3:3">
      <c r="C416" s="4" t="s">
        <v>1312</v>
      </c>
    </row>
    <row r="417" spans="3:3">
      <c r="C417" s="4" t="s">
        <v>1313</v>
      </c>
    </row>
    <row r="418" spans="3:3">
      <c r="C418" s="4" t="s">
        <v>1314</v>
      </c>
    </row>
    <row r="419" spans="3:3">
      <c r="C419" s="4" t="s">
        <v>1315</v>
      </c>
    </row>
    <row r="420" spans="3:3">
      <c r="C420" s="4" t="s">
        <v>1316</v>
      </c>
    </row>
    <row r="421" spans="3:3">
      <c r="C421" s="4" t="s">
        <v>1317</v>
      </c>
    </row>
    <row r="422" spans="3:3">
      <c r="C422" s="4" t="s">
        <v>1318</v>
      </c>
    </row>
    <row r="423" spans="3:3">
      <c r="C423" s="4" t="s">
        <v>1319</v>
      </c>
    </row>
    <row r="424" spans="3:3">
      <c r="C424" s="4" t="s">
        <v>1320</v>
      </c>
    </row>
    <row r="425" spans="3:3">
      <c r="C425" s="4" t="s">
        <v>1321</v>
      </c>
    </row>
    <row r="426" spans="3:3">
      <c r="C426" s="4" t="s">
        <v>1322</v>
      </c>
    </row>
    <row r="427" spans="3:3">
      <c r="C427" s="4" t="s">
        <v>1323</v>
      </c>
    </row>
    <row r="428" spans="3:3">
      <c r="C428" s="4" t="s">
        <v>1324</v>
      </c>
    </row>
    <row r="429" spans="3:3">
      <c r="C429" s="4" t="s">
        <v>1325</v>
      </c>
    </row>
    <row r="430" spans="3:3">
      <c r="C430" s="4" t="s">
        <v>1326</v>
      </c>
    </row>
    <row r="431" spans="3:3">
      <c r="C431" s="4" t="s">
        <v>1327</v>
      </c>
    </row>
    <row r="432" spans="3:3">
      <c r="C432" s="4" t="s">
        <v>1328</v>
      </c>
    </row>
    <row r="433" spans="3:3">
      <c r="C433" s="4" t="s">
        <v>1329</v>
      </c>
    </row>
    <row r="434" spans="3:3">
      <c r="C434" s="4" t="s">
        <v>1330</v>
      </c>
    </row>
    <row r="435" spans="3:3">
      <c r="C435" s="4" t="s">
        <v>1331</v>
      </c>
    </row>
    <row r="436" spans="3:3">
      <c r="C436" s="4" t="s">
        <v>1332</v>
      </c>
    </row>
    <row r="437" spans="3:3">
      <c r="C437" s="4" t="s">
        <v>1333</v>
      </c>
    </row>
    <row r="438" spans="3:3">
      <c r="C438" s="4" t="s">
        <v>1334</v>
      </c>
    </row>
    <row r="439" spans="3:3">
      <c r="C439" s="4" t="s">
        <v>1335</v>
      </c>
    </row>
    <row r="440" spans="3:3">
      <c r="C440" s="4" t="s">
        <v>1336</v>
      </c>
    </row>
    <row r="441" spans="3:3">
      <c r="C441" s="4" t="s">
        <v>1337</v>
      </c>
    </row>
    <row r="442" spans="3:3">
      <c r="C442" s="4" t="s">
        <v>1338</v>
      </c>
    </row>
    <row r="443" spans="3:3">
      <c r="C443" s="4" t="s">
        <v>1339</v>
      </c>
    </row>
    <row r="444" spans="3:3">
      <c r="C444" s="4" t="s">
        <v>1340</v>
      </c>
    </row>
    <row r="445" spans="3:3">
      <c r="C445" s="4" t="s">
        <v>1341</v>
      </c>
    </row>
    <row r="446" spans="3:3">
      <c r="C446" s="4" t="s">
        <v>1342</v>
      </c>
    </row>
    <row r="447" spans="3:3">
      <c r="C447" s="4" t="s">
        <v>1343</v>
      </c>
    </row>
    <row r="448" spans="3:3">
      <c r="C448" s="4" t="s">
        <v>1344</v>
      </c>
    </row>
    <row r="449" spans="3:3">
      <c r="C449" s="4" t="s">
        <v>1345</v>
      </c>
    </row>
    <row r="450" spans="3:3">
      <c r="C450" s="4" t="s">
        <v>1346</v>
      </c>
    </row>
    <row r="451" spans="3:3">
      <c r="C451" s="4" t="s">
        <v>1347</v>
      </c>
    </row>
    <row r="452" spans="3:3">
      <c r="C452" s="4" t="s">
        <v>1348</v>
      </c>
    </row>
    <row r="453" spans="3:3">
      <c r="C453" s="4" t="s">
        <v>1349</v>
      </c>
    </row>
    <row r="454" spans="3:3">
      <c r="C454" s="4" t="s">
        <v>1350</v>
      </c>
    </row>
    <row r="455" spans="3:3">
      <c r="C455" s="4" t="s">
        <v>1351</v>
      </c>
    </row>
    <row r="456" spans="3:3">
      <c r="C456" s="4" t="s">
        <v>1352</v>
      </c>
    </row>
    <row r="457" spans="3:3">
      <c r="C457" s="4" t="s">
        <v>1353</v>
      </c>
    </row>
    <row r="458" spans="3:3">
      <c r="C458" s="4" t="s">
        <v>1354</v>
      </c>
    </row>
    <row r="459" spans="3:3">
      <c r="C459" s="4" t="s">
        <v>1355</v>
      </c>
    </row>
    <row r="460" spans="3:3">
      <c r="C460" s="4" t="s">
        <v>1356</v>
      </c>
    </row>
    <row r="461" spans="3:3">
      <c r="C461" s="4" t="s">
        <v>1357</v>
      </c>
    </row>
    <row r="462" spans="3:3">
      <c r="C462" s="4" t="s">
        <v>1358</v>
      </c>
    </row>
    <row r="463" spans="3:3">
      <c r="C463" s="4" t="s">
        <v>1359</v>
      </c>
    </row>
    <row r="464" spans="3:3">
      <c r="C464" s="4" t="s">
        <v>1360</v>
      </c>
    </row>
    <row r="465" spans="3:3">
      <c r="C465" s="4" t="s">
        <v>1361</v>
      </c>
    </row>
    <row r="466" spans="3:3">
      <c r="C466" s="4" t="s">
        <v>1362</v>
      </c>
    </row>
    <row r="467" spans="3:3">
      <c r="C467" s="4" t="s">
        <v>1363</v>
      </c>
    </row>
    <row r="468" spans="3:3">
      <c r="C468" s="4" t="s">
        <v>1364</v>
      </c>
    </row>
    <row r="469" spans="3:3">
      <c r="C469" s="4" t="s">
        <v>1365</v>
      </c>
    </row>
    <row r="470" spans="3:3">
      <c r="C470" s="4" t="s">
        <v>1366</v>
      </c>
    </row>
    <row r="471" spans="3:3">
      <c r="C471" s="4" t="s">
        <v>1367</v>
      </c>
    </row>
    <row r="472" spans="3:3">
      <c r="C472" s="4" t="s">
        <v>1368</v>
      </c>
    </row>
    <row r="473" spans="3:3">
      <c r="C473" s="4" t="s">
        <v>1369</v>
      </c>
    </row>
    <row r="474" spans="3:3">
      <c r="C474" s="4" t="s">
        <v>1370</v>
      </c>
    </row>
    <row r="475" spans="3:3">
      <c r="C475" s="4" t="s">
        <v>1371</v>
      </c>
    </row>
    <row r="476" spans="3:3">
      <c r="C476" s="4" t="s">
        <v>1372</v>
      </c>
    </row>
    <row r="477" spans="3:3">
      <c r="C477" s="4" t="s">
        <v>1373</v>
      </c>
    </row>
    <row r="478" spans="3:3">
      <c r="C478" s="4" t="s">
        <v>1374</v>
      </c>
    </row>
    <row r="479" spans="3:3">
      <c r="C479" s="4" t="s">
        <v>1375</v>
      </c>
    </row>
    <row r="480" spans="3:3">
      <c r="C480" s="4" t="s">
        <v>1376</v>
      </c>
    </row>
    <row r="481" spans="3:3">
      <c r="C481" s="4" t="s">
        <v>1377</v>
      </c>
    </row>
    <row r="482" spans="3:3">
      <c r="C482" s="4" t="s">
        <v>1378</v>
      </c>
    </row>
    <row r="483" spans="3:3">
      <c r="C483" s="4" t="s">
        <v>1379</v>
      </c>
    </row>
    <row r="484" spans="3:3">
      <c r="C484" s="4" t="s">
        <v>1380</v>
      </c>
    </row>
    <row r="485" spans="3:3">
      <c r="C485" s="4" t="s">
        <v>1381</v>
      </c>
    </row>
    <row r="486" spans="3:3">
      <c r="C486" s="4" t="s">
        <v>1382</v>
      </c>
    </row>
    <row r="487" spans="3:3">
      <c r="C487" s="4" t="s">
        <v>1383</v>
      </c>
    </row>
    <row r="488" spans="3:3">
      <c r="C488" s="4" t="s">
        <v>1384</v>
      </c>
    </row>
    <row r="489" spans="3:3">
      <c r="C489" s="4" t="s">
        <v>1385</v>
      </c>
    </row>
    <row r="490" spans="3:3">
      <c r="C490" s="4" t="s">
        <v>1386</v>
      </c>
    </row>
    <row r="491" spans="3:3">
      <c r="C491" s="4" t="s">
        <v>1387</v>
      </c>
    </row>
    <row r="492" spans="3:3">
      <c r="C492" s="4" t="s">
        <v>1388</v>
      </c>
    </row>
    <row r="493" spans="3:3">
      <c r="C493" s="4" t="s">
        <v>1389</v>
      </c>
    </row>
    <row r="494" spans="3:3">
      <c r="C494" s="4" t="s">
        <v>1390</v>
      </c>
    </row>
    <row r="495" spans="3:3">
      <c r="C495" s="4" t="s">
        <v>1391</v>
      </c>
    </row>
    <row r="496" spans="3:3">
      <c r="C496" s="4" t="s">
        <v>1392</v>
      </c>
    </row>
    <row r="497" spans="3:3">
      <c r="C497" s="4" t="s">
        <v>1393</v>
      </c>
    </row>
    <row r="498" spans="3:3">
      <c r="C498" s="4" t="s">
        <v>1394</v>
      </c>
    </row>
    <row r="499" spans="3:3">
      <c r="C499" s="4" t="s">
        <v>1395</v>
      </c>
    </row>
    <row r="500" spans="3:3">
      <c r="C500" s="4" t="s">
        <v>1396</v>
      </c>
    </row>
    <row r="501" spans="3:3">
      <c r="C501" s="4" t="s">
        <v>1397</v>
      </c>
    </row>
    <row r="502" spans="3:3">
      <c r="C502" s="4" t="s">
        <v>1398</v>
      </c>
    </row>
    <row r="503" spans="3:3">
      <c r="C503" s="4" t="s">
        <v>1399</v>
      </c>
    </row>
    <row r="504" spans="3:3">
      <c r="C504" s="4" t="s">
        <v>1400</v>
      </c>
    </row>
    <row r="505" spans="3:3">
      <c r="C505" s="4" t="s">
        <v>1401</v>
      </c>
    </row>
    <row r="506" spans="3:3">
      <c r="C506" s="4" t="s">
        <v>1402</v>
      </c>
    </row>
    <row r="507" spans="3:3">
      <c r="C507" s="4" t="s">
        <v>1403</v>
      </c>
    </row>
    <row r="508" spans="3:3">
      <c r="C508" s="4" t="s">
        <v>1404</v>
      </c>
    </row>
    <row r="509" spans="3:3">
      <c r="C509" s="4" t="s">
        <v>1405</v>
      </c>
    </row>
    <row r="510" spans="3:3">
      <c r="C510" s="4" t="s">
        <v>1406</v>
      </c>
    </row>
    <row r="511" spans="3:3">
      <c r="C511" s="4" t="s">
        <v>1407</v>
      </c>
    </row>
    <row r="512" spans="3:3">
      <c r="C512" s="4" t="s">
        <v>1408</v>
      </c>
    </row>
    <row r="513" spans="3:3">
      <c r="C513" s="4" t="s">
        <v>1409</v>
      </c>
    </row>
    <row r="514" spans="3:3">
      <c r="C514" s="4" t="s">
        <v>1410</v>
      </c>
    </row>
    <row r="515" spans="3:3">
      <c r="C515" s="4" t="s">
        <v>1411</v>
      </c>
    </row>
    <row r="516" spans="3:3">
      <c r="C516" s="4" t="s">
        <v>1412</v>
      </c>
    </row>
    <row r="517" spans="3:3">
      <c r="C517" s="4" t="s">
        <v>1413</v>
      </c>
    </row>
    <row r="518" spans="3:3">
      <c r="C518" s="4" t="s">
        <v>1414</v>
      </c>
    </row>
    <row r="519" spans="3:3">
      <c r="C519" s="4" t="s">
        <v>1415</v>
      </c>
    </row>
    <row r="520" spans="3:3">
      <c r="C520" s="4" t="s">
        <v>1416</v>
      </c>
    </row>
    <row r="521" spans="3:3">
      <c r="C521" s="4" t="s">
        <v>1417</v>
      </c>
    </row>
    <row r="522" spans="3:3">
      <c r="C522" s="4" t="s">
        <v>1418</v>
      </c>
    </row>
    <row r="523" spans="3:3">
      <c r="C523" s="4" t="s">
        <v>1419</v>
      </c>
    </row>
    <row r="524" spans="3:3">
      <c r="C524" s="4" t="s">
        <v>1420</v>
      </c>
    </row>
    <row r="525" spans="3:3">
      <c r="C525" s="4" t="s">
        <v>1421</v>
      </c>
    </row>
    <row r="526" spans="3:3">
      <c r="C526" s="4" t="s">
        <v>1422</v>
      </c>
    </row>
    <row r="527" spans="3:3">
      <c r="C527" s="4" t="s">
        <v>1423</v>
      </c>
    </row>
    <row r="528" spans="3:3">
      <c r="C528" s="4" t="s">
        <v>1424</v>
      </c>
    </row>
    <row r="529" spans="3:3">
      <c r="C529" s="4" t="s">
        <v>1425</v>
      </c>
    </row>
    <row r="530" spans="3:3">
      <c r="C530" s="4" t="s">
        <v>1426</v>
      </c>
    </row>
    <row r="531" spans="3:3">
      <c r="C531" s="4" t="s">
        <v>1427</v>
      </c>
    </row>
    <row r="532" spans="3:3">
      <c r="C532" s="4" t="s">
        <v>1428</v>
      </c>
    </row>
    <row r="533" spans="3:3">
      <c r="C533" s="4" t="s">
        <v>1429</v>
      </c>
    </row>
    <row r="534" spans="3:3">
      <c r="C534" s="4" t="s">
        <v>1430</v>
      </c>
    </row>
    <row r="535" spans="3:3">
      <c r="C535" s="4" t="s">
        <v>1431</v>
      </c>
    </row>
    <row r="536" spans="3:3">
      <c r="C536" s="4" t="s">
        <v>1432</v>
      </c>
    </row>
    <row r="537" spans="3:3">
      <c r="C537" s="4" t="s">
        <v>1433</v>
      </c>
    </row>
    <row r="538" spans="3:3">
      <c r="C538" s="4" t="s">
        <v>1434</v>
      </c>
    </row>
    <row r="539" spans="3:3">
      <c r="C539" s="4" t="s">
        <v>1435</v>
      </c>
    </row>
    <row r="540" spans="3:3">
      <c r="C540" s="4" t="s">
        <v>1436</v>
      </c>
    </row>
    <row r="541" spans="3:3">
      <c r="C541" s="4" t="s">
        <v>1437</v>
      </c>
    </row>
    <row r="542" spans="3:3">
      <c r="C542" s="4" t="s">
        <v>1438</v>
      </c>
    </row>
    <row r="543" spans="3:3">
      <c r="C543" s="4" t="s">
        <v>1439</v>
      </c>
    </row>
    <row r="544" spans="3:3">
      <c r="C544" s="4" t="s">
        <v>1440</v>
      </c>
    </row>
    <row r="545" spans="3:3">
      <c r="C545" s="4" t="s">
        <v>1441</v>
      </c>
    </row>
    <row r="546" spans="3:3">
      <c r="C546" s="4" t="s">
        <v>1442</v>
      </c>
    </row>
    <row r="547" spans="3:3">
      <c r="C547" s="4" t="s">
        <v>1443</v>
      </c>
    </row>
    <row r="548" spans="3:3">
      <c r="C548" s="4" t="s">
        <v>1444</v>
      </c>
    </row>
    <row r="549" spans="3:3">
      <c r="C549" s="4" t="s">
        <v>1445</v>
      </c>
    </row>
    <row r="550" spans="3:3">
      <c r="C550" s="4" t="s">
        <v>1446</v>
      </c>
    </row>
    <row r="551" spans="3:3">
      <c r="C551" s="4" t="s">
        <v>1447</v>
      </c>
    </row>
    <row r="552" spans="3:3">
      <c r="C552" s="4" t="s">
        <v>1448</v>
      </c>
    </row>
    <row r="553" spans="3:3">
      <c r="C553" s="4" t="s">
        <v>1449</v>
      </c>
    </row>
    <row r="554" spans="3:3">
      <c r="C554" s="4" t="s">
        <v>1450</v>
      </c>
    </row>
    <row r="555" spans="3:3">
      <c r="C555" s="4" t="s">
        <v>1451</v>
      </c>
    </row>
    <row r="556" spans="3:3">
      <c r="C556" s="4" t="s">
        <v>1452</v>
      </c>
    </row>
    <row r="557" spans="3:3">
      <c r="C557" s="4" t="s">
        <v>1453</v>
      </c>
    </row>
    <row r="558" spans="3:3">
      <c r="C558" s="4" t="s">
        <v>1454</v>
      </c>
    </row>
    <row r="559" spans="3:3">
      <c r="C559" s="4" t="s">
        <v>1455</v>
      </c>
    </row>
    <row r="560" spans="3:3">
      <c r="C560" s="4" t="s">
        <v>1456</v>
      </c>
    </row>
    <row r="561" spans="3:3">
      <c r="C561" s="4" t="s">
        <v>1457</v>
      </c>
    </row>
    <row r="562" spans="3:3">
      <c r="C562" s="4" t="s">
        <v>1458</v>
      </c>
    </row>
    <row r="563" spans="3:3">
      <c r="C563" s="4" t="s">
        <v>1459</v>
      </c>
    </row>
    <row r="564" spans="3:3">
      <c r="C564" s="4" t="s">
        <v>1460</v>
      </c>
    </row>
    <row r="565" spans="3:3">
      <c r="C565" s="4" t="s">
        <v>1461</v>
      </c>
    </row>
    <row r="566" spans="3:3">
      <c r="C566" s="4" t="s">
        <v>1462</v>
      </c>
    </row>
    <row r="567" spans="3:3">
      <c r="C567" s="4" t="s">
        <v>1463</v>
      </c>
    </row>
    <row r="568" spans="3:3">
      <c r="C568" s="4" t="s">
        <v>1464</v>
      </c>
    </row>
    <row r="569" spans="3:3">
      <c r="C569" s="4" t="s">
        <v>1465</v>
      </c>
    </row>
    <row r="570" spans="3:3">
      <c r="C570" s="4" t="s">
        <v>1466</v>
      </c>
    </row>
    <row r="571" spans="3:3">
      <c r="C571" s="4" t="s">
        <v>1467</v>
      </c>
    </row>
    <row r="572" spans="3:3">
      <c r="C572" s="4" t="s">
        <v>1468</v>
      </c>
    </row>
    <row r="573" spans="3:3">
      <c r="C573" s="4" t="s">
        <v>1469</v>
      </c>
    </row>
    <row r="574" spans="3:3">
      <c r="C574" s="4" t="s">
        <v>1470</v>
      </c>
    </row>
    <row r="575" spans="3:3">
      <c r="C575" s="4" t="s">
        <v>1471</v>
      </c>
    </row>
    <row r="576" spans="3:3">
      <c r="C576" s="4" t="s">
        <v>1472</v>
      </c>
    </row>
    <row r="577" spans="3:3">
      <c r="C577" s="4" t="s">
        <v>1473</v>
      </c>
    </row>
    <row r="578" spans="3:3">
      <c r="C578" s="4" t="s">
        <v>1474</v>
      </c>
    </row>
    <row r="579" spans="3:3">
      <c r="C579" s="4" t="s">
        <v>1475</v>
      </c>
    </row>
    <row r="580" spans="3:3">
      <c r="C580" s="4" t="s">
        <v>1476</v>
      </c>
    </row>
    <row r="581" spans="3:3">
      <c r="C581" s="4" t="s">
        <v>1477</v>
      </c>
    </row>
    <row r="582" spans="3:3">
      <c r="C582" s="4" t="s">
        <v>1478</v>
      </c>
    </row>
    <row r="583" spans="3:3">
      <c r="C583" s="4" t="s">
        <v>1479</v>
      </c>
    </row>
    <row r="584" spans="3:3">
      <c r="C584" s="4" t="s">
        <v>1480</v>
      </c>
    </row>
    <row r="585" spans="3:3">
      <c r="C585" s="4" t="s">
        <v>1481</v>
      </c>
    </row>
    <row r="586" spans="3:3">
      <c r="C586" s="4" t="s">
        <v>1482</v>
      </c>
    </row>
    <row r="587" spans="3:3">
      <c r="C587" s="4" t="s">
        <v>1483</v>
      </c>
    </row>
    <row r="588" spans="3:3">
      <c r="C588" s="4" t="s">
        <v>1484</v>
      </c>
    </row>
    <row r="589" spans="3:3">
      <c r="C589" s="4" t="s">
        <v>1485</v>
      </c>
    </row>
    <row r="590" spans="3:3">
      <c r="C590" s="4" t="s">
        <v>1486</v>
      </c>
    </row>
    <row r="591" spans="3:3">
      <c r="C591" s="4" t="s">
        <v>1487</v>
      </c>
    </row>
    <row r="592" spans="3:3">
      <c r="C592" s="4" t="s">
        <v>1488</v>
      </c>
    </row>
    <row r="593" spans="3:3">
      <c r="C593" s="4" t="s">
        <v>1489</v>
      </c>
    </row>
    <row r="594" spans="3:3">
      <c r="C594" s="4" t="s">
        <v>1490</v>
      </c>
    </row>
    <row r="595" spans="3:3">
      <c r="C595" s="4" t="s">
        <v>1491</v>
      </c>
    </row>
    <row r="596" spans="3:3">
      <c r="C596" s="4" t="s">
        <v>1492</v>
      </c>
    </row>
    <row r="597" spans="3:3">
      <c r="C597" s="4" t="s">
        <v>1493</v>
      </c>
    </row>
    <row r="598" spans="3:3">
      <c r="C598" s="4" t="s">
        <v>1494</v>
      </c>
    </row>
    <row r="599" spans="3:3">
      <c r="C599" s="4" t="s">
        <v>1495</v>
      </c>
    </row>
    <row r="600" spans="3:3">
      <c r="C600" s="4" t="s">
        <v>1496</v>
      </c>
    </row>
    <row r="601" spans="3:3">
      <c r="C601" s="4" t="s">
        <v>1497</v>
      </c>
    </row>
    <row r="602" spans="3:3">
      <c r="C602" s="4" t="s">
        <v>1498</v>
      </c>
    </row>
    <row r="603" spans="3:3">
      <c r="C603" s="4" t="s">
        <v>1499</v>
      </c>
    </row>
    <row r="604" spans="3:3">
      <c r="C604" s="4" t="s">
        <v>1500</v>
      </c>
    </row>
    <row r="605" spans="3:3">
      <c r="C605" s="4" t="s">
        <v>1501</v>
      </c>
    </row>
    <row r="606" spans="3:3">
      <c r="C606" s="4" t="s">
        <v>1502</v>
      </c>
    </row>
    <row r="607" spans="3:3">
      <c r="C607" s="4" t="s">
        <v>1503</v>
      </c>
    </row>
    <row r="608" spans="3:3">
      <c r="C608" s="4" t="s">
        <v>1504</v>
      </c>
    </row>
    <row r="609" spans="3:3">
      <c r="C609" s="4" t="s">
        <v>1505</v>
      </c>
    </row>
    <row r="610" spans="3:3">
      <c r="C610" s="4" t="s">
        <v>1506</v>
      </c>
    </row>
    <row r="611" spans="3:3">
      <c r="C611" s="4" t="s">
        <v>1507</v>
      </c>
    </row>
    <row r="612" spans="3:3">
      <c r="C612" s="4" t="s">
        <v>1508</v>
      </c>
    </row>
    <row r="613" spans="3:3">
      <c r="C613" s="4" t="s">
        <v>1509</v>
      </c>
    </row>
    <row r="614" spans="3:3">
      <c r="C614" s="4" t="s">
        <v>1510</v>
      </c>
    </row>
    <row r="615" spans="3:3">
      <c r="C615" s="4" t="s">
        <v>1511</v>
      </c>
    </row>
    <row r="616" spans="3:3">
      <c r="C616" s="4" t="s">
        <v>1512</v>
      </c>
    </row>
    <row r="617" spans="3:3">
      <c r="C617" s="4" t="s">
        <v>1513</v>
      </c>
    </row>
    <row r="618" spans="3:3">
      <c r="C618" s="4" t="s">
        <v>1514</v>
      </c>
    </row>
    <row r="619" spans="3:3">
      <c r="C619" s="4" t="s">
        <v>1515</v>
      </c>
    </row>
    <row r="620" spans="3:3">
      <c r="C620" s="4" t="s">
        <v>1516</v>
      </c>
    </row>
    <row r="621" spans="3:3">
      <c r="C621" s="4" t="s">
        <v>1517</v>
      </c>
    </row>
    <row r="622" spans="3:3">
      <c r="C622" s="4" t="s">
        <v>1518</v>
      </c>
    </row>
    <row r="623" spans="3:3">
      <c r="C623" s="4" t="s">
        <v>1519</v>
      </c>
    </row>
    <row r="624" spans="3:3">
      <c r="C624" s="4" t="s">
        <v>1520</v>
      </c>
    </row>
    <row r="625" spans="3:3">
      <c r="C625" s="4" t="s">
        <v>1521</v>
      </c>
    </row>
    <row r="626" spans="3:3">
      <c r="C626" s="4" t="s">
        <v>1522</v>
      </c>
    </row>
    <row r="627" spans="3:3">
      <c r="C627" s="4" t="s">
        <v>1523</v>
      </c>
    </row>
    <row r="628" spans="3:3">
      <c r="C628" s="4" t="s">
        <v>1524</v>
      </c>
    </row>
    <row r="629" spans="3:3">
      <c r="C629" s="4" t="s">
        <v>1525</v>
      </c>
    </row>
    <row r="630" spans="3:3">
      <c r="C630" s="4" t="s">
        <v>1526</v>
      </c>
    </row>
    <row r="631" spans="3:3">
      <c r="C631" s="4" t="s">
        <v>1527</v>
      </c>
    </row>
    <row r="632" spans="3:3">
      <c r="C632" s="4" t="s">
        <v>1528</v>
      </c>
    </row>
    <row r="633" spans="3:3">
      <c r="C633" s="4" t="s">
        <v>1529</v>
      </c>
    </row>
    <row r="634" spans="3:3">
      <c r="C634" s="4" t="s">
        <v>1530</v>
      </c>
    </row>
    <row r="635" spans="3:3">
      <c r="C635" s="4" t="s">
        <v>1531</v>
      </c>
    </row>
    <row r="636" spans="3:3">
      <c r="C636" s="4" t="s">
        <v>1532</v>
      </c>
    </row>
    <row r="637" spans="3:3">
      <c r="C637" s="4" t="s">
        <v>1533</v>
      </c>
    </row>
    <row r="638" spans="3:3">
      <c r="C638" s="4" t="s">
        <v>1534</v>
      </c>
    </row>
    <row r="639" spans="3:3">
      <c r="C639" s="4" t="s">
        <v>1535</v>
      </c>
    </row>
    <row r="640" spans="3:3">
      <c r="C640" s="4" t="s">
        <v>1536</v>
      </c>
    </row>
    <row r="641" spans="3:3">
      <c r="C641" s="4" t="s">
        <v>1537</v>
      </c>
    </row>
    <row r="642" spans="3:3">
      <c r="C642" s="4" t="s">
        <v>1538</v>
      </c>
    </row>
    <row r="643" spans="3:3">
      <c r="C643" s="4" t="s">
        <v>1539</v>
      </c>
    </row>
    <row r="644" spans="3:3">
      <c r="C644" s="4" t="s">
        <v>1540</v>
      </c>
    </row>
    <row r="645" spans="3:3">
      <c r="C645" s="4" t="s">
        <v>1541</v>
      </c>
    </row>
    <row r="646" spans="3:3">
      <c r="C646" s="4" t="s">
        <v>1542</v>
      </c>
    </row>
    <row r="647" spans="3:3">
      <c r="C647" s="4" t="s">
        <v>1543</v>
      </c>
    </row>
    <row r="648" spans="3:3">
      <c r="C648" s="4" t="s">
        <v>1544</v>
      </c>
    </row>
    <row r="649" spans="3:3">
      <c r="C649" s="4" t="s">
        <v>1545</v>
      </c>
    </row>
    <row r="650" spans="3:3">
      <c r="C650" s="4" t="s">
        <v>1546</v>
      </c>
    </row>
    <row r="651" spans="3:3">
      <c r="C651" s="4" t="s">
        <v>1547</v>
      </c>
    </row>
    <row r="652" spans="3:3">
      <c r="C652" s="4" t="s">
        <v>1548</v>
      </c>
    </row>
    <row r="653" spans="3:3">
      <c r="C653" s="4" t="s">
        <v>1549</v>
      </c>
    </row>
    <row r="654" spans="3:3">
      <c r="C654" s="4" t="s">
        <v>1550</v>
      </c>
    </row>
    <row r="655" spans="3:3">
      <c r="C655" s="4" t="s">
        <v>1551</v>
      </c>
    </row>
    <row r="656" spans="3:3">
      <c r="C656" s="4" t="s">
        <v>1552</v>
      </c>
    </row>
    <row r="657" spans="3:3">
      <c r="C657" s="4" t="s">
        <v>1553</v>
      </c>
    </row>
    <row r="658" spans="3:3">
      <c r="C658" s="4" t="s">
        <v>1554</v>
      </c>
    </row>
  </sheetData>
  <mergeCells count="6">
    <mergeCell ref="B11:E11"/>
    <mergeCell ref="F11:H11"/>
    <mergeCell ref="B1:E1"/>
    <mergeCell ref="B2:E2"/>
    <mergeCell ref="F2:I2"/>
    <mergeCell ref="F1:I1"/>
  </mergeCells>
  <phoneticPr fontId="5" type="noConversion"/>
  <pageMargins left="0.7" right="0.7" top="0.75" bottom="0.75" header="0.3" footer="0.3"/>
  <pageSetup paperSize="9" orientation="portrait" horizontalDpi="0" verticalDpi="0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0A03E82-EA12-40C4-8958-8F4DC8C2A26E}">
  <sheetPr codeName="工作表45"/>
  <dimension ref="A1:I21"/>
  <sheetViews>
    <sheetView workbookViewId="0">
      <selection activeCell="B5" sqref="B5"/>
    </sheetView>
  </sheetViews>
  <sheetFormatPr defaultColWidth="6.625" defaultRowHeight="13.5"/>
  <cols>
    <col min="1" max="1" width="3.125" style="4" bestFit="1" customWidth="1"/>
    <col min="2" max="2" width="5.5" style="8" customWidth="1"/>
    <col min="3" max="3" width="26.625" style="4" customWidth="1"/>
    <col min="4" max="4" width="31.125" style="4" customWidth="1"/>
    <col min="5" max="5" width="11.125" style="4" bestFit="1" customWidth="1"/>
    <col min="6" max="6" width="17" style="4" customWidth="1"/>
    <col min="7" max="7" width="58" style="4" customWidth="1"/>
    <col min="8" max="8" width="34.125" style="4" customWidth="1"/>
    <col min="9" max="9" width="21.625" style="4" customWidth="1"/>
    <col min="10" max="16384" width="6.625" style="4"/>
  </cols>
  <sheetData>
    <row r="1" spans="1:9" ht="24">
      <c r="A1" s="1" t="e">
        <f ca="1">HYPERLINK("#'介面'!E"&amp;MATCH(VALUE(RIGHT(CELL("filename"),LEN(CELL("filename"))-FIND("]",CELL("filename")))),介面!D:D,"0"),"←")</f>
        <v>#VALUE!</v>
      </c>
      <c r="B1" s="207" t="s">
        <v>113</v>
      </c>
      <c r="C1" s="208"/>
      <c r="D1" s="208"/>
      <c r="E1" s="209"/>
      <c r="F1" s="208" t="s">
        <v>1555</v>
      </c>
      <c r="G1" s="208"/>
      <c r="H1" s="208"/>
      <c r="I1" s="208"/>
    </row>
    <row r="2" spans="1:9" ht="24">
      <c r="A2" s="1"/>
      <c r="B2" s="210" t="s">
        <v>275</v>
      </c>
      <c r="C2" s="211"/>
      <c r="D2" s="211"/>
      <c r="E2" s="212"/>
      <c r="F2" s="210"/>
      <c r="G2" s="211"/>
      <c r="H2" s="211"/>
      <c r="I2" s="212"/>
    </row>
    <row r="3" spans="1:9" s="8" customFormat="1" ht="15">
      <c r="A3" s="6"/>
      <c r="B3" s="7" t="s">
        <v>276</v>
      </c>
      <c r="C3" s="56" t="s">
        <v>277</v>
      </c>
      <c r="D3" s="56" t="s">
        <v>278</v>
      </c>
      <c r="E3" s="57" t="s">
        <v>279</v>
      </c>
      <c r="F3" s="57" t="s">
        <v>280</v>
      </c>
      <c r="G3" s="56" t="s">
        <v>281</v>
      </c>
      <c r="H3" s="56" t="s">
        <v>11</v>
      </c>
      <c r="I3" s="56" t="s">
        <v>282</v>
      </c>
    </row>
    <row r="4" spans="1:9" s="24" customFormat="1" ht="15.75">
      <c r="A4" s="25"/>
      <c r="B4" s="46">
        <v>1</v>
      </c>
      <c r="C4" s="80" t="s">
        <v>297</v>
      </c>
      <c r="D4" s="80" t="s">
        <v>298</v>
      </c>
      <c r="E4" s="81" t="s">
        <v>285</v>
      </c>
      <c r="F4" s="81">
        <v>500</v>
      </c>
      <c r="G4" s="66" t="s">
        <v>330</v>
      </c>
      <c r="H4" s="142" t="s">
        <v>302</v>
      </c>
      <c r="I4" s="66" t="s">
        <v>287</v>
      </c>
    </row>
    <row r="5" spans="1:9" s="24" customFormat="1" ht="15">
      <c r="A5" s="25"/>
      <c r="B5" s="46">
        <f>B4+1</f>
        <v>2</v>
      </c>
      <c r="C5" s="50" t="s">
        <v>303</v>
      </c>
      <c r="D5" s="76" t="s">
        <v>304</v>
      </c>
      <c r="E5" s="51" t="s">
        <v>296</v>
      </c>
      <c r="F5" s="51">
        <v>20</v>
      </c>
      <c r="G5" s="66" t="s">
        <v>331</v>
      </c>
      <c r="H5" s="66"/>
      <c r="I5" s="66" t="s">
        <v>287</v>
      </c>
    </row>
    <row r="6" spans="1:9" ht="15.75">
      <c r="A6" s="1"/>
      <c r="B6" s="2"/>
      <c r="C6" s="3"/>
      <c r="D6" s="3"/>
      <c r="E6" s="3"/>
      <c r="F6" s="3"/>
      <c r="G6" s="3"/>
      <c r="H6" s="3"/>
      <c r="I6" s="3"/>
    </row>
    <row r="7" spans="1:9" ht="24">
      <c r="A7" s="1"/>
      <c r="B7" s="204" t="s">
        <v>291</v>
      </c>
      <c r="C7" s="205"/>
      <c r="D7" s="205"/>
      <c r="E7" s="206"/>
      <c r="F7" s="204"/>
      <c r="G7" s="205"/>
      <c r="H7" s="205"/>
      <c r="I7" s="206"/>
    </row>
    <row r="8" spans="1:9" s="8" customFormat="1" ht="15">
      <c r="A8" s="6"/>
      <c r="B8" s="7" t="s">
        <v>276</v>
      </c>
      <c r="C8" s="56" t="s">
        <v>277</v>
      </c>
      <c r="D8" s="56" t="s">
        <v>278</v>
      </c>
      <c r="E8" s="57" t="s">
        <v>279</v>
      </c>
      <c r="F8" s="57" t="s">
        <v>280</v>
      </c>
      <c r="G8" s="56" t="s">
        <v>11</v>
      </c>
      <c r="H8" s="56" t="s">
        <v>292</v>
      </c>
      <c r="I8" s="56" t="s">
        <v>293</v>
      </c>
    </row>
    <row r="9" spans="1:9" s="24" customFormat="1" ht="15" customHeight="1">
      <c r="A9" s="25"/>
      <c r="B9" s="46">
        <v>1</v>
      </c>
      <c r="C9" s="64" t="s">
        <v>1556</v>
      </c>
      <c r="D9" s="64" t="s">
        <v>1557</v>
      </c>
      <c r="E9" s="62" t="s">
        <v>452</v>
      </c>
      <c r="F9" s="62" t="s">
        <v>1558</v>
      </c>
      <c r="G9" s="66"/>
      <c r="H9" s="66"/>
      <c r="I9" s="66"/>
    </row>
    <row r="10" spans="1:9" s="24" customFormat="1" ht="15">
      <c r="A10" s="25"/>
      <c r="B10" s="46">
        <f>B9+1</f>
        <v>2</v>
      </c>
      <c r="C10" s="50" t="s">
        <v>453</v>
      </c>
      <c r="D10" s="50" t="s">
        <v>304</v>
      </c>
      <c r="E10" s="51" t="s">
        <v>452</v>
      </c>
      <c r="F10" s="51">
        <v>0</v>
      </c>
      <c r="G10" s="52"/>
      <c r="H10" s="19" t="s">
        <v>41</v>
      </c>
      <c r="I10" s="19" t="s">
        <v>304</v>
      </c>
    </row>
    <row r="11" spans="1:9" s="24" customFormat="1" ht="15">
      <c r="A11" s="25"/>
      <c r="B11" s="46">
        <f t="shared" ref="B11:B19" si="0">B10+1</f>
        <v>3</v>
      </c>
      <c r="C11" s="64" t="s">
        <v>1559</v>
      </c>
      <c r="D11" s="64" t="s">
        <v>1560</v>
      </c>
      <c r="E11" s="68" t="s">
        <v>456</v>
      </c>
      <c r="F11" s="62" t="s">
        <v>1561</v>
      </c>
      <c r="G11" s="66"/>
      <c r="H11" s="28"/>
      <c r="I11" s="66"/>
    </row>
    <row r="12" spans="1:9" s="24" customFormat="1" ht="34.5" customHeight="1">
      <c r="A12" s="22"/>
      <c r="B12" s="46">
        <f t="shared" si="0"/>
        <v>4</v>
      </c>
      <c r="C12" s="64" t="s">
        <v>1562</v>
      </c>
      <c r="D12" s="64" t="s">
        <v>1563</v>
      </c>
      <c r="E12" s="68" t="s">
        <v>456</v>
      </c>
      <c r="F12" s="62" t="s">
        <v>1561</v>
      </c>
      <c r="G12" s="66"/>
      <c r="H12" s="66"/>
      <c r="I12" s="66"/>
    </row>
    <row r="13" spans="1:9" ht="15">
      <c r="B13" s="46">
        <f t="shared" si="0"/>
        <v>5</v>
      </c>
      <c r="C13" s="64" t="s">
        <v>1564</v>
      </c>
      <c r="D13" s="64" t="s">
        <v>1565</v>
      </c>
      <c r="E13" s="68" t="s">
        <v>456</v>
      </c>
      <c r="F13" s="62" t="s">
        <v>1561</v>
      </c>
      <c r="G13" s="66"/>
      <c r="H13" s="66"/>
      <c r="I13" s="66"/>
    </row>
    <row r="14" spans="1:9" ht="45">
      <c r="B14" s="46">
        <f t="shared" si="0"/>
        <v>6</v>
      </c>
      <c r="C14" s="53" t="s">
        <v>1566</v>
      </c>
      <c r="D14" s="50" t="s">
        <v>1567</v>
      </c>
      <c r="E14" s="51" t="s">
        <v>285</v>
      </c>
      <c r="F14" s="51" t="s">
        <v>1568</v>
      </c>
      <c r="G14" s="52" t="s">
        <v>1569</v>
      </c>
      <c r="H14" s="19"/>
      <c r="I14" s="50"/>
    </row>
    <row r="15" spans="1:9" ht="15">
      <c r="B15" s="46">
        <f t="shared" si="0"/>
        <v>7</v>
      </c>
      <c r="C15" s="64" t="s">
        <v>1570</v>
      </c>
      <c r="D15" s="64" t="s">
        <v>1571</v>
      </c>
      <c r="E15" s="62" t="s">
        <v>285</v>
      </c>
      <c r="F15" s="51" t="s">
        <v>1568</v>
      </c>
      <c r="G15" s="52" t="s">
        <v>1572</v>
      </c>
      <c r="H15" s="28" t="s">
        <v>1573</v>
      </c>
      <c r="I15" s="64"/>
    </row>
    <row r="16" spans="1:9" ht="15">
      <c r="B16" s="46">
        <f t="shared" si="0"/>
        <v>8</v>
      </c>
      <c r="C16" s="64" t="s">
        <v>1574</v>
      </c>
      <c r="D16" s="64" t="s">
        <v>1575</v>
      </c>
      <c r="E16" s="62" t="s">
        <v>1576</v>
      </c>
      <c r="F16" s="68">
        <v>0</v>
      </c>
      <c r="G16" s="52"/>
      <c r="H16" s="66"/>
      <c r="I16" s="64"/>
    </row>
    <row r="17" spans="1:9" ht="225">
      <c r="B17" s="46">
        <f t="shared" si="0"/>
        <v>9</v>
      </c>
      <c r="C17" s="26" t="s">
        <v>1577</v>
      </c>
      <c r="D17" s="26" t="s">
        <v>1578</v>
      </c>
      <c r="E17" s="27" t="s">
        <v>285</v>
      </c>
      <c r="F17" s="27" t="s">
        <v>1568</v>
      </c>
      <c r="G17" s="29" t="s">
        <v>1579</v>
      </c>
      <c r="H17" s="28" t="s">
        <v>1580</v>
      </c>
      <c r="I17" s="26"/>
    </row>
    <row r="18" spans="1:9" ht="15">
      <c r="A18" s="58"/>
      <c r="B18" s="46">
        <f t="shared" si="0"/>
        <v>10</v>
      </c>
      <c r="C18" s="64" t="s">
        <v>311</v>
      </c>
      <c r="D18" s="64" t="s">
        <v>312</v>
      </c>
      <c r="E18" s="72" t="s">
        <v>313</v>
      </c>
      <c r="F18" s="51" t="s">
        <v>1581</v>
      </c>
      <c r="G18" s="63"/>
      <c r="H18" s="66"/>
      <c r="I18" s="66"/>
    </row>
    <row r="19" spans="1:9" s="24" customFormat="1" ht="15">
      <c r="A19" s="22"/>
      <c r="B19" s="46">
        <f t="shared" si="0"/>
        <v>11</v>
      </c>
      <c r="C19" s="70" t="s">
        <v>324</v>
      </c>
      <c r="D19" s="71" t="s">
        <v>325</v>
      </c>
      <c r="E19" s="72" t="s">
        <v>326</v>
      </c>
      <c r="F19" s="72">
        <v>0</v>
      </c>
      <c r="G19" s="29" t="s">
        <v>327</v>
      </c>
      <c r="H19" s="28" t="s">
        <v>328</v>
      </c>
      <c r="I19" s="73"/>
    </row>
    <row r="20" spans="1:9" ht="15">
      <c r="B20" s="21"/>
    </row>
    <row r="21" spans="1:9" ht="15">
      <c r="B21" s="45"/>
    </row>
  </sheetData>
  <mergeCells count="6">
    <mergeCell ref="B7:E7"/>
    <mergeCell ref="F7:I7"/>
    <mergeCell ref="B1:E1"/>
    <mergeCell ref="F1:I1"/>
    <mergeCell ref="B2:E2"/>
    <mergeCell ref="F2:I2"/>
  </mergeCells>
  <phoneticPr fontId="5" type="noConversion"/>
  <pageMargins left="0.7" right="0.7" top="0.75" bottom="0.75" header="0.3" footer="0.3"/>
  <pageSetup paperSize="9" orientation="portrait" horizontalDpi="0" verticalDpi="0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0BFAC0D-9886-4581-B128-91CF73B4D8B3}">
  <sheetPr codeName="工作表46"/>
  <dimension ref="A1:I50"/>
  <sheetViews>
    <sheetView workbookViewId="0">
      <selection activeCell="G20" sqref="G20"/>
    </sheetView>
  </sheetViews>
  <sheetFormatPr defaultColWidth="6.625" defaultRowHeight="13.5"/>
  <cols>
    <col min="1" max="1" width="3.125" style="4" bestFit="1" customWidth="1"/>
    <col min="2" max="2" width="5.5" style="8" customWidth="1"/>
    <col min="3" max="3" width="30.5" style="4" customWidth="1"/>
    <col min="4" max="4" width="25" style="4" bestFit="1" customWidth="1"/>
    <col min="5" max="5" width="14.125" style="4" customWidth="1"/>
    <col min="6" max="6" width="6.125" style="4" customWidth="1"/>
    <col min="7" max="7" width="52" style="4" customWidth="1"/>
    <col min="8" max="8" width="32.625" style="4" bestFit="1" customWidth="1"/>
    <col min="9" max="9" width="22.625" style="4" customWidth="1"/>
    <col min="10" max="16384" width="6.625" style="4"/>
  </cols>
  <sheetData>
    <row r="1" spans="1:9" ht="24">
      <c r="A1" s="1" t="e">
        <f ca="1">HYPERLINK("#'介面'!E"&amp;MATCH(VALUE(RIGHT(CELL("filename"),LEN(CELL("filename"))-FIND("]",CELL("filename")))),介面!D:D,"0"),"←")</f>
        <v>#VALUE!</v>
      </c>
      <c r="B1" s="207" t="s">
        <v>115</v>
      </c>
      <c r="C1" s="208"/>
      <c r="D1" s="208"/>
      <c r="E1" s="209"/>
      <c r="F1" s="221" t="s">
        <v>1582</v>
      </c>
      <c r="G1" s="222"/>
      <c r="H1" s="222"/>
      <c r="I1" s="223"/>
    </row>
    <row r="2" spans="1:9" ht="24">
      <c r="A2" s="1"/>
      <c r="B2" s="210" t="s">
        <v>275</v>
      </c>
      <c r="C2" s="211"/>
      <c r="D2" s="211"/>
      <c r="E2" s="212"/>
      <c r="F2" s="219"/>
      <c r="G2" s="220"/>
      <c r="H2" s="220"/>
      <c r="I2" s="215"/>
    </row>
    <row r="3" spans="1:9" s="8" customFormat="1" ht="15">
      <c r="A3" s="6"/>
      <c r="B3" s="7" t="s">
        <v>276</v>
      </c>
      <c r="C3" s="56" t="s">
        <v>277</v>
      </c>
      <c r="D3" s="56" t="s">
        <v>278</v>
      </c>
      <c r="E3" s="57" t="s">
        <v>279</v>
      </c>
      <c r="F3" s="57" t="s">
        <v>280</v>
      </c>
      <c r="G3" s="56" t="s">
        <v>281</v>
      </c>
      <c r="H3" s="56" t="s">
        <v>11</v>
      </c>
      <c r="I3" s="56" t="s">
        <v>282</v>
      </c>
    </row>
    <row r="4" spans="1:9" s="24" customFormat="1" ht="15.75">
      <c r="A4" s="25"/>
      <c r="B4" s="46">
        <v>1</v>
      </c>
      <c r="C4" s="80" t="s">
        <v>297</v>
      </c>
      <c r="D4" s="80" t="s">
        <v>298</v>
      </c>
      <c r="E4" s="81" t="s">
        <v>285</v>
      </c>
      <c r="F4" s="81">
        <v>500</v>
      </c>
      <c r="G4" s="66" t="s">
        <v>330</v>
      </c>
      <c r="H4" s="142" t="s">
        <v>302</v>
      </c>
      <c r="I4" s="66" t="s">
        <v>287</v>
      </c>
    </row>
    <row r="5" spans="1:9" s="24" customFormat="1" ht="15">
      <c r="A5" s="25"/>
      <c r="B5" s="46">
        <f>B4+1</f>
        <v>2</v>
      </c>
      <c r="C5" s="50" t="s">
        <v>303</v>
      </c>
      <c r="D5" s="76" t="s">
        <v>304</v>
      </c>
      <c r="E5" s="51" t="s">
        <v>296</v>
      </c>
      <c r="F5" s="51">
        <v>20</v>
      </c>
      <c r="G5" s="66" t="s">
        <v>331</v>
      </c>
      <c r="H5" s="66"/>
      <c r="I5" s="66" t="s">
        <v>287</v>
      </c>
    </row>
    <row r="6" spans="1:9" s="95" customFormat="1" ht="15.75">
      <c r="A6" s="93"/>
      <c r="B6" s="46">
        <f t="shared" ref="B6:B15" si="0">B5+1</f>
        <v>3</v>
      </c>
      <c r="C6" s="80" t="s">
        <v>1583</v>
      </c>
      <c r="D6" s="80" t="s">
        <v>1584</v>
      </c>
      <c r="E6" s="81" t="s">
        <v>316</v>
      </c>
      <c r="F6" s="81"/>
      <c r="G6" s="91" t="s">
        <v>985</v>
      </c>
      <c r="H6" s="66"/>
      <c r="I6" s="66" t="s">
        <v>287</v>
      </c>
    </row>
    <row r="7" spans="1:9" s="95" customFormat="1" ht="15.75">
      <c r="A7" s="93"/>
      <c r="B7" s="46">
        <f t="shared" si="0"/>
        <v>4</v>
      </c>
      <c r="C7" s="80" t="s">
        <v>1585</v>
      </c>
      <c r="D7" s="80" t="s">
        <v>1586</v>
      </c>
      <c r="E7" s="81" t="s">
        <v>316</v>
      </c>
      <c r="F7" s="81"/>
      <c r="G7" s="91" t="s">
        <v>988</v>
      </c>
      <c r="H7" s="66"/>
      <c r="I7" s="66" t="s">
        <v>287</v>
      </c>
    </row>
    <row r="8" spans="1:9" s="24" customFormat="1" ht="15">
      <c r="A8" s="25"/>
      <c r="B8" s="46">
        <f t="shared" si="0"/>
        <v>5</v>
      </c>
      <c r="C8" s="50" t="s">
        <v>1556</v>
      </c>
      <c r="D8" s="50" t="s">
        <v>1557</v>
      </c>
      <c r="E8" s="51" t="s">
        <v>452</v>
      </c>
      <c r="F8" s="51">
        <v>20</v>
      </c>
      <c r="G8" s="52"/>
      <c r="H8" s="19" t="s">
        <v>1587</v>
      </c>
      <c r="I8" s="143" t="s">
        <v>639</v>
      </c>
    </row>
    <row r="9" spans="1:9" s="24" customFormat="1" ht="15">
      <c r="A9" s="25"/>
      <c r="B9" s="46">
        <f t="shared" si="0"/>
        <v>6</v>
      </c>
      <c r="C9" s="50" t="s">
        <v>637</v>
      </c>
      <c r="D9" s="50" t="s">
        <v>364</v>
      </c>
      <c r="E9" s="51" t="s">
        <v>296</v>
      </c>
      <c r="F9" s="51">
        <v>20</v>
      </c>
      <c r="G9" s="66" t="s">
        <v>331</v>
      </c>
      <c r="H9" s="66" t="s">
        <v>638</v>
      </c>
      <c r="I9" s="143" t="s">
        <v>639</v>
      </c>
    </row>
    <row r="10" spans="1:9" s="24" customFormat="1" ht="15">
      <c r="A10" s="25"/>
      <c r="B10" s="46">
        <f t="shared" si="0"/>
        <v>7</v>
      </c>
      <c r="C10" s="50" t="s">
        <v>640</v>
      </c>
      <c r="D10" s="76" t="s">
        <v>641</v>
      </c>
      <c r="E10" s="51" t="s">
        <v>418</v>
      </c>
      <c r="F10" s="51">
        <v>11</v>
      </c>
      <c r="G10" s="66" t="s">
        <v>642</v>
      </c>
      <c r="H10" s="66" t="s">
        <v>638</v>
      </c>
      <c r="I10" s="66" t="s">
        <v>639</v>
      </c>
    </row>
    <row r="11" spans="1:9" s="24" customFormat="1" ht="15">
      <c r="A11" s="25"/>
      <c r="B11" s="46">
        <f t="shared" si="0"/>
        <v>8</v>
      </c>
      <c r="C11" s="50" t="s">
        <v>1588</v>
      </c>
      <c r="D11" s="76" t="s">
        <v>1589</v>
      </c>
      <c r="E11" s="51" t="s">
        <v>326</v>
      </c>
      <c r="F11" s="51"/>
      <c r="G11" s="66" t="s">
        <v>1590</v>
      </c>
      <c r="H11" s="66" t="s">
        <v>1591</v>
      </c>
      <c r="I11" s="66" t="s">
        <v>639</v>
      </c>
    </row>
    <row r="12" spans="1:9" s="24" customFormat="1" ht="15">
      <c r="A12" s="25"/>
      <c r="B12" s="46">
        <f t="shared" si="0"/>
        <v>9</v>
      </c>
      <c r="C12" s="50" t="s">
        <v>643</v>
      </c>
      <c r="D12" s="76" t="s">
        <v>644</v>
      </c>
      <c r="E12" s="51" t="s">
        <v>421</v>
      </c>
      <c r="F12" s="51"/>
      <c r="G12" s="66" t="s">
        <v>645</v>
      </c>
      <c r="H12" s="66"/>
      <c r="I12" s="66" t="s">
        <v>639</v>
      </c>
    </row>
    <row r="13" spans="1:9" s="24" customFormat="1" ht="15">
      <c r="A13" s="25"/>
      <c r="B13" s="46">
        <f t="shared" si="0"/>
        <v>10</v>
      </c>
      <c r="C13" s="50" t="s">
        <v>646</v>
      </c>
      <c r="D13" s="76" t="s">
        <v>647</v>
      </c>
      <c r="E13" s="51" t="s">
        <v>421</v>
      </c>
      <c r="F13" s="51"/>
      <c r="G13" s="66" t="s">
        <v>648</v>
      </c>
      <c r="H13" s="66"/>
      <c r="I13" s="66" t="s">
        <v>639</v>
      </c>
    </row>
    <row r="14" spans="1:9" s="24" customFormat="1" ht="15">
      <c r="A14" s="25"/>
      <c r="B14" s="46">
        <f t="shared" si="0"/>
        <v>11</v>
      </c>
      <c r="C14" s="50" t="s">
        <v>649</v>
      </c>
      <c r="D14" s="76" t="s">
        <v>650</v>
      </c>
      <c r="E14" s="51" t="s">
        <v>421</v>
      </c>
      <c r="F14" s="51"/>
      <c r="G14" s="66" t="s">
        <v>645</v>
      </c>
      <c r="H14" s="66"/>
      <c r="I14" s="66" t="s">
        <v>639</v>
      </c>
    </row>
    <row r="15" spans="1:9" s="24" customFormat="1" ht="15">
      <c r="A15" s="25"/>
      <c r="B15" s="46">
        <f t="shared" si="0"/>
        <v>12</v>
      </c>
      <c r="C15" s="50" t="s">
        <v>651</v>
      </c>
      <c r="D15" s="76" t="s">
        <v>652</v>
      </c>
      <c r="E15" s="51" t="s">
        <v>421</v>
      </c>
      <c r="F15" s="51"/>
      <c r="G15" s="66" t="s">
        <v>648</v>
      </c>
      <c r="H15" s="66"/>
      <c r="I15" s="66" t="s">
        <v>639</v>
      </c>
    </row>
    <row r="16" spans="1:9" ht="15.75">
      <c r="A16" s="1"/>
      <c r="B16" s="2"/>
      <c r="C16" s="3"/>
      <c r="D16" s="3"/>
      <c r="E16" s="3"/>
      <c r="F16" s="3"/>
      <c r="G16" s="3"/>
      <c r="H16" s="3"/>
    </row>
    <row r="17" spans="1:9" ht="24">
      <c r="A17" s="1"/>
      <c r="B17" s="204" t="s">
        <v>291</v>
      </c>
      <c r="C17" s="205"/>
      <c r="D17" s="205"/>
      <c r="E17" s="206"/>
      <c r="F17" s="204"/>
      <c r="G17" s="205"/>
      <c r="H17" s="205"/>
      <c r="I17" s="165"/>
    </row>
    <row r="18" spans="1:9" s="8" customFormat="1" ht="15">
      <c r="A18" s="6"/>
      <c r="B18" s="7" t="s">
        <v>276</v>
      </c>
      <c r="C18" s="56" t="s">
        <v>277</v>
      </c>
      <c r="D18" s="56" t="s">
        <v>278</v>
      </c>
      <c r="E18" s="57" t="s">
        <v>279</v>
      </c>
      <c r="F18" s="57" t="s">
        <v>280</v>
      </c>
      <c r="G18" s="56" t="s">
        <v>11</v>
      </c>
      <c r="H18" s="56" t="s">
        <v>292</v>
      </c>
      <c r="I18" s="56" t="s">
        <v>293</v>
      </c>
    </row>
    <row r="19" spans="1:9" s="24" customFormat="1" ht="15.75">
      <c r="A19" s="25"/>
      <c r="B19" s="23">
        <v>1</v>
      </c>
      <c r="C19" s="86" t="s">
        <v>1592</v>
      </c>
      <c r="D19" s="86" t="s">
        <v>1593</v>
      </c>
      <c r="E19" s="87" t="s">
        <v>296</v>
      </c>
      <c r="F19" s="87">
        <v>20</v>
      </c>
      <c r="G19" s="89"/>
      <c r="H19" s="89"/>
      <c r="I19" s="66"/>
    </row>
    <row r="20" spans="1:9" s="24" customFormat="1" ht="15">
      <c r="A20" s="25"/>
      <c r="B20" s="23">
        <f>B19+1</f>
        <v>2</v>
      </c>
      <c r="C20" s="26" t="s">
        <v>453</v>
      </c>
      <c r="D20" s="26" t="s">
        <v>304</v>
      </c>
      <c r="E20" s="27" t="s">
        <v>452</v>
      </c>
      <c r="F20" s="27">
        <v>20</v>
      </c>
      <c r="G20" s="29"/>
      <c r="H20" s="28" t="s">
        <v>41</v>
      </c>
      <c r="I20" s="19" t="s">
        <v>304</v>
      </c>
    </row>
    <row r="21" spans="1:9" s="24" customFormat="1" ht="15.75">
      <c r="A21" s="25"/>
      <c r="B21" s="23">
        <f t="shared" ref="B21:B39" si="1">B20+1</f>
        <v>3</v>
      </c>
      <c r="C21" s="86" t="s">
        <v>637</v>
      </c>
      <c r="D21" s="86" t="s">
        <v>364</v>
      </c>
      <c r="E21" s="87" t="s">
        <v>296</v>
      </c>
      <c r="F21" s="87">
        <v>20</v>
      </c>
      <c r="G21" s="88"/>
      <c r="H21" s="28" t="s">
        <v>1594</v>
      </c>
      <c r="I21" s="66" t="s">
        <v>364</v>
      </c>
    </row>
    <row r="22" spans="1:9" s="24" customFormat="1" ht="15">
      <c r="A22" s="25"/>
      <c r="B22" s="23">
        <f t="shared" si="1"/>
        <v>4</v>
      </c>
      <c r="C22" s="50" t="s">
        <v>1556</v>
      </c>
      <c r="D22" s="50" t="s">
        <v>1557</v>
      </c>
      <c r="E22" s="51" t="s">
        <v>452</v>
      </c>
      <c r="F22" s="51">
        <v>20</v>
      </c>
      <c r="G22" s="52"/>
      <c r="H22" s="19" t="s">
        <v>179</v>
      </c>
      <c r="I22" s="66" t="s">
        <v>1557</v>
      </c>
    </row>
    <row r="23" spans="1:9" s="24" customFormat="1" ht="15">
      <c r="A23" s="25"/>
      <c r="B23" s="23">
        <f t="shared" si="1"/>
        <v>5</v>
      </c>
      <c r="C23" s="50" t="s">
        <v>1595</v>
      </c>
      <c r="D23" s="50" t="s">
        <v>1596</v>
      </c>
      <c r="E23" s="51" t="s">
        <v>452</v>
      </c>
      <c r="F23" s="51" t="s">
        <v>1597</v>
      </c>
      <c r="G23" s="19"/>
      <c r="H23" s="19" t="s">
        <v>181</v>
      </c>
      <c r="I23" s="66" t="s">
        <v>1596</v>
      </c>
    </row>
    <row r="24" spans="1:9" s="24" customFormat="1" ht="15">
      <c r="A24" s="25"/>
      <c r="B24" s="23">
        <f t="shared" si="1"/>
        <v>6</v>
      </c>
      <c r="C24" s="50" t="s">
        <v>1598</v>
      </c>
      <c r="D24" s="50" t="s">
        <v>1584</v>
      </c>
      <c r="E24" s="51" t="s">
        <v>969</v>
      </c>
      <c r="F24" s="51"/>
      <c r="G24" s="19" t="s">
        <v>1227</v>
      </c>
      <c r="H24" s="19"/>
      <c r="I24" s="50"/>
    </row>
    <row r="25" spans="1:9" ht="15">
      <c r="B25" s="23">
        <f t="shared" si="1"/>
        <v>7</v>
      </c>
      <c r="C25" s="50" t="s">
        <v>1599</v>
      </c>
      <c r="D25" s="50" t="s">
        <v>1586</v>
      </c>
      <c r="E25" s="51" t="s">
        <v>969</v>
      </c>
      <c r="F25" s="51"/>
      <c r="G25" s="19" t="s">
        <v>1227</v>
      </c>
      <c r="H25" s="19"/>
      <c r="I25" s="64"/>
    </row>
    <row r="26" spans="1:9" ht="15">
      <c r="B26" s="23">
        <f t="shared" si="1"/>
        <v>8</v>
      </c>
      <c r="C26" s="26" t="s">
        <v>1600</v>
      </c>
      <c r="D26" s="26" t="s">
        <v>1601</v>
      </c>
      <c r="E26" s="72" t="s">
        <v>704</v>
      </c>
      <c r="F26" s="72" t="s">
        <v>609</v>
      </c>
      <c r="G26" s="28" t="s">
        <v>1602</v>
      </c>
      <c r="H26" s="28"/>
      <c r="I26" s="64"/>
    </row>
    <row r="27" spans="1:9" ht="15">
      <c r="B27" s="23">
        <f t="shared" si="1"/>
        <v>9</v>
      </c>
      <c r="C27" s="26" t="s">
        <v>1603</v>
      </c>
      <c r="D27" s="26" t="s">
        <v>1604</v>
      </c>
      <c r="E27" s="72" t="s">
        <v>418</v>
      </c>
      <c r="F27" s="72">
        <v>11</v>
      </c>
      <c r="G27" s="28" t="s">
        <v>1605</v>
      </c>
      <c r="H27" s="28"/>
      <c r="I27" s="26"/>
    </row>
    <row r="28" spans="1:9" ht="15">
      <c r="B28" s="23">
        <f t="shared" si="1"/>
        <v>10</v>
      </c>
      <c r="C28" s="26" t="s">
        <v>1606</v>
      </c>
      <c r="D28" s="26" t="s">
        <v>1607</v>
      </c>
      <c r="E28" s="72" t="s">
        <v>704</v>
      </c>
      <c r="F28" s="72" t="s">
        <v>609</v>
      </c>
      <c r="G28" s="28" t="s">
        <v>1602</v>
      </c>
      <c r="H28" s="28"/>
      <c r="I28" s="66"/>
    </row>
    <row r="29" spans="1:9" ht="30">
      <c r="B29" s="23">
        <f t="shared" si="1"/>
        <v>11</v>
      </c>
      <c r="C29" s="26" t="s">
        <v>1608</v>
      </c>
      <c r="D29" s="26" t="s">
        <v>1571</v>
      </c>
      <c r="E29" s="27" t="s">
        <v>285</v>
      </c>
      <c r="F29" s="27">
        <v>6</v>
      </c>
      <c r="G29" s="29" t="s">
        <v>1609</v>
      </c>
      <c r="H29" s="28" t="s">
        <v>1573</v>
      </c>
      <c r="I29" s="73"/>
    </row>
    <row r="30" spans="1:9" ht="15">
      <c r="B30" s="23">
        <f t="shared" si="1"/>
        <v>12</v>
      </c>
      <c r="C30" s="50" t="s">
        <v>1610</v>
      </c>
      <c r="D30" s="50" t="s">
        <v>1611</v>
      </c>
      <c r="E30" s="51" t="s">
        <v>285</v>
      </c>
      <c r="F30" s="51">
        <v>500</v>
      </c>
      <c r="G30" s="19"/>
      <c r="H30" s="19"/>
      <c r="I30" s="66"/>
    </row>
    <row r="31" spans="1:9" ht="30">
      <c r="B31" s="23">
        <f t="shared" si="1"/>
        <v>13</v>
      </c>
      <c r="C31" s="50" t="s">
        <v>1612</v>
      </c>
      <c r="D31" s="50" t="s">
        <v>1613</v>
      </c>
      <c r="E31" s="51" t="s">
        <v>285</v>
      </c>
      <c r="F31" s="51">
        <v>100</v>
      </c>
      <c r="G31" s="52" t="s">
        <v>1614</v>
      </c>
      <c r="H31" s="19" t="s">
        <v>84</v>
      </c>
      <c r="I31" s="19" t="s">
        <v>364</v>
      </c>
    </row>
    <row r="32" spans="1:9" ht="85.5" customHeight="1">
      <c r="B32" s="23">
        <f t="shared" si="1"/>
        <v>14</v>
      </c>
      <c r="C32" s="80" t="s">
        <v>1615</v>
      </c>
      <c r="D32" s="132" t="s">
        <v>1616</v>
      </c>
      <c r="E32" s="87" t="s">
        <v>979</v>
      </c>
      <c r="F32" s="81"/>
      <c r="G32" s="85" t="s">
        <v>1617</v>
      </c>
      <c r="H32" s="82"/>
      <c r="I32" s="66"/>
    </row>
    <row r="33" spans="2:9" ht="15">
      <c r="B33" s="23">
        <f t="shared" si="1"/>
        <v>15</v>
      </c>
      <c r="C33" s="50" t="s">
        <v>11</v>
      </c>
      <c r="D33" s="50" t="s">
        <v>397</v>
      </c>
      <c r="E33" s="51" t="s">
        <v>285</v>
      </c>
      <c r="F33" s="51">
        <v>500</v>
      </c>
      <c r="G33" s="19"/>
      <c r="H33" s="19"/>
      <c r="I33" s="66"/>
    </row>
    <row r="34" spans="2:9" ht="60">
      <c r="B34" s="23">
        <f t="shared" si="1"/>
        <v>16</v>
      </c>
      <c r="C34" s="26" t="s">
        <v>1076</v>
      </c>
      <c r="D34" s="26" t="s">
        <v>1618</v>
      </c>
      <c r="E34" s="27" t="s">
        <v>326</v>
      </c>
      <c r="F34" s="27">
        <v>4</v>
      </c>
      <c r="G34" s="29" t="s">
        <v>1619</v>
      </c>
      <c r="H34" s="89" t="s">
        <v>1620</v>
      </c>
      <c r="I34" s="66"/>
    </row>
    <row r="35" spans="2:9" ht="15.75">
      <c r="B35" s="23">
        <f t="shared" si="1"/>
        <v>17</v>
      </c>
      <c r="C35" s="50" t="s">
        <v>1621</v>
      </c>
      <c r="D35" s="50" t="s">
        <v>1622</v>
      </c>
      <c r="E35" s="51" t="s">
        <v>285</v>
      </c>
      <c r="F35" s="51">
        <v>50</v>
      </c>
      <c r="G35" s="52"/>
      <c r="H35" s="89"/>
      <c r="I35" s="64"/>
    </row>
    <row r="36" spans="2:9" s="24" customFormat="1" ht="15.75">
      <c r="B36" s="23">
        <f t="shared" si="1"/>
        <v>18</v>
      </c>
      <c r="C36" s="26" t="s">
        <v>1588</v>
      </c>
      <c r="D36" s="26" t="s">
        <v>1589</v>
      </c>
      <c r="E36" s="27" t="s">
        <v>326</v>
      </c>
      <c r="F36" s="27">
        <v>4</v>
      </c>
      <c r="G36" s="29" t="s">
        <v>1591</v>
      </c>
      <c r="H36" s="89" t="s">
        <v>1623</v>
      </c>
      <c r="I36" s="64"/>
    </row>
    <row r="37" spans="2:9" ht="15">
      <c r="B37" s="23">
        <f t="shared" si="1"/>
        <v>19</v>
      </c>
      <c r="C37" s="50" t="s">
        <v>1624</v>
      </c>
      <c r="D37" s="50" t="s">
        <v>1625</v>
      </c>
      <c r="E37" s="51" t="s">
        <v>969</v>
      </c>
      <c r="F37" s="51"/>
      <c r="G37" s="19"/>
      <c r="H37" s="19"/>
      <c r="I37" s="26"/>
    </row>
    <row r="38" spans="2:9" ht="15">
      <c r="B38" s="23">
        <f t="shared" si="1"/>
        <v>20</v>
      </c>
      <c r="C38" s="50" t="s">
        <v>1626</v>
      </c>
      <c r="D38" s="50" t="s">
        <v>1627</v>
      </c>
      <c r="E38" s="51" t="s">
        <v>969</v>
      </c>
      <c r="F38" s="51"/>
      <c r="G38" s="19"/>
      <c r="H38" s="19"/>
      <c r="I38" s="73"/>
    </row>
    <row r="39" spans="2:9" ht="15">
      <c r="B39" s="23">
        <f t="shared" si="1"/>
        <v>21</v>
      </c>
      <c r="C39" s="64" t="s">
        <v>1628</v>
      </c>
      <c r="D39" s="64" t="s">
        <v>482</v>
      </c>
      <c r="E39" s="68" t="s">
        <v>969</v>
      </c>
      <c r="F39" s="62"/>
      <c r="G39" s="66"/>
      <c r="H39" s="66"/>
      <c r="I39" s="19"/>
    </row>
    <row r="40" spans="2:9" ht="15">
      <c r="B40" s="117"/>
    </row>
    <row r="41" spans="2:9" ht="15">
      <c r="B41" s="45"/>
    </row>
    <row r="42" spans="2:9" ht="15">
      <c r="B42" s="45"/>
    </row>
    <row r="43" spans="2:9" ht="15">
      <c r="B43" s="45"/>
    </row>
    <row r="44" spans="2:9" ht="15">
      <c r="B44" s="45"/>
    </row>
    <row r="50" spans="7:7" ht="15">
      <c r="G50" s="29"/>
    </row>
  </sheetData>
  <mergeCells count="6">
    <mergeCell ref="B1:E1"/>
    <mergeCell ref="B2:E2"/>
    <mergeCell ref="B17:E17"/>
    <mergeCell ref="F17:H17"/>
    <mergeCell ref="F2:I2"/>
    <mergeCell ref="F1:I1"/>
  </mergeCells>
  <phoneticPr fontId="5" type="noConversion"/>
  <pageMargins left="0.7" right="0.7" top="0.75" bottom="0.75" header="0.3" footer="0.3"/>
  <pageSetup paperSize="9" orientation="portrait" horizontalDpi="0" verticalDpi="0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24C4562-0F55-4D17-A2A0-493A516E25C2}">
  <sheetPr codeName="工作表47"/>
  <dimension ref="A1:I50"/>
  <sheetViews>
    <sheetView workbookViewId="0">
      <selection activeCell="A11" sqref="A11:IV15"/>
    </sheetView>
  </sheetViews>
  <sheetFormatPr defaultColWidth="6.625" defaultRowHeight="13.5"/>
  <cols>
    <col min="1" max="1" width="3.125" style="4" bestFit="1" customWidth="1"/>
    <col min="2" max="2" width="5.5" style="8" customWidth="1"/>
    <col min="3" max="3" width="23.125" style="4" customWidth="1"/>
    <col min="4" max="4" width="25.625" style="4" customWidth="1"/>
    <col min="5" max="5" width="11.125" style="4" bestFit="1" customWidth="1"/>
    <col min="6" max="6" width="5.5" style="4" bestFit="1" customWidth="1"/>
    <col min="7" max="7" width="37.125" style="4" customWidth="1"/>
    <col min="8" max="8" width="33.625" style="4" customWidth="1"/>
    <col min="9" max="9" width="17.625" style="4" customWidth="1"/>
    <col min="10" max="16384" width="6.625" style="4"/>
  </cols>
  <sheetData>
    <row r="1" spans="1:9" ht="24">
      <c r="A1" s="1" t="e">
        <f ca="1">HYPERLINK("#'介面'!E"&amp;MATCH(VALUE(RIGHT(CELL("filename"),LEN(CELL("filename"))-FIND("]",CELL("filename")))),介面!D:D,"0"),"←")</f>
        <v>#VALUE!</v>
      </c>
      <c r="B1" s="207" t="s">
        <v>1629</v>
      </c>
      <c r="C1" s="208"/>
      <c r="D1" s="208"/>
      <c r="E1" s="209"/>
      <c r="F1" s="221" t="s">
        <v>1630</v>
      </c>
      <c r="G1" s="222"/>
      <c r="H1" s="222"/>
      <c r="I1" s="223"/>
    </row>
    <row r="2" spans="1:9" ht="24">
      <c r="A2" s="1"/>
      <c r="B2" s="210" t="s">
        <v>275</v>
      </c>
      <c r="C2" s="211"/>
      <c r="D2" s="211"/>
      <c r="E2" s="212"/>
      <c r="F2" s="219"/>
      <c r="G2" s="220"/>
      <c r="H2" s="220"/>
      <c r="I2" s="215"/>
    </row>
    <row r="3" spans="1:9" s="8" customFormat="1" ht="15">
      <c r="A3" s="6"/>
      <c r="B3" s="7" t="s">
        <v>276</v>
      </c>
      <c r="C3" s="56" t="s">
        <v>277</v>
      </c>
      <c r="D3" s="56" t="s">
        <v>278</v>
      </c>
      <c r="E3" s="57" t="s">
        <v>279</v>
      </c>
      <c r="F3" s="57" t="s">
        <v>280</v>
      </c>
      <c r="G3" s="56" t="s">
        <v>281</v>
      </c>
      <c r="H3" s="56" t="s">
        <v>11</v>
      </c>
      <c r="I3" s="56" t="s">
        <v>282</v>
      </c>
    </row>
    <row r="4" spans="1:9" s="24" customFormat="1" ht="15.75">
      <c r="A4" s="25"/>
      <c r="B4" s="46">
        <v>1</v>
      </c>
      <c r="C4" s="80" t="s">
        <v>297</v>
      </c>
      <c r="D4" s="80" t="s">
        <v>298</v>
      </c>
      <c r="E4" s="81" t="s">
        <v>285</v>
      </c>
      <c r="F4" s="81">
        <v>500</v>
      </c>
      <c r="G4" s="66" t="s">
        <v>330</v>
      </c>
      <c r="H4" s="142" t="s">
        <v>302</v>
      </c>
      <c r="I4" s="66" t="s">
        <v>287</v>
      </c>
    </row>
    <row r="5" spans="1:9" s="24" customFormat="1" ht="15">
      <c r="A5" s="25"/>
      <c r="B5" s="46">
        <v>2</v>
      </c>
      <c r="C5" s="50" t="s">
        <v>303</v>
      </c>
      <c r="D5" s="76" t="s">
        <v>304</v>
      </c>
      <c r="E5" s="51" t="s">
        <v>296</v>
      </c>
      <c r="F5" s="51">
        <v>20</v>
      </c>
      <c r="G5" s="66" t="s">
        <v>331</v>
      </c>
      <c r="H5" s="66"/>
      <c r="I5" s="66" t="s">
        <v>287</v>
      </c>
    </row>
    <row r="6" spans="1:9" s="95" customFormat="1" ht="15.75">
      <c r="A6" s="93"/>
      <c r="B6" s="46">
        <v>3</v>
      </c>
      <c r="C6" s="80" t="s">
        <v>1583</v>
      </c>
      <c r="D6" s="80" t="s">
        <v>1584</v>
      </c>
      <c r="E6" s="81" t="s">
        <v>316</v>
      </c>
      <c r="F6" s="81"/>
      <c r="G6" s="91" t="s">
        <v>985</v>
      </c>
      <c r="H6" s="66"/>
      <c r="I6" s="66" t="s">
        <v>287</v>
      </c>
    </row>
    <row r="7" spans="1:9" s="95" customFormat="1" ht="15.75">
      <c r="A7" s="93"/>
      <c r="B7" s="46">
        <v>4</v>
      </c>
      <c r="C7" s="80" t="s">
        <v>1585</v>
      </c>
      <c r="D7" s="80" t="s">
        <v>1586</v>
      </c>
      <c r="E7" s="81" t="s">
        <v>316</v>
      </c>
      <c r="F7" s="81"/>
      <c r="G7" s="91" t="s">
        <v>988</v>
      </c>
      <c r="H7" s="66"/>
      <c r="I7" s="66" t="s">
        <v>287</v>
      </c>
    </row>
    <row r="8" spans="1:9" s="24" customFormat="1" ht="15">
      <c r="A8" s="25"/>
      <c r="B8" s="46">
        <v>5</v>
      </c>
      <c r="C8" s="50" t="s">
        <v>1556</v>
      </c>
      <c r="D8" s="50" t="s">
        <v>1557</v>
      </c>
      <c r="E8" s="51" t="s">
        <v>452</v>
      </c>
      <c r="F8" s="51">
        <v>20</v>
      </c>
      <c r="G8" s="52"/>
      <c r="H8" s="19" t="s">
        <v>1587</v>
      </c>
      <c r="I8" s="143" t="s">
        <v>639</v>
      </c>
    </row>
    <row r="9" spans="1:9" s="24" customFormat="1" ht="15">
      <c r="A9" s="25"/>
      <c r="B9" s="46">
        <v>6</v>
      </c>
      <c r="C9" s="50" t="s">
        <v>637</v>
      </c>
      <c r="D9" s="50" t="s">
        <v>364</v>
      </c>
      <c r="E9" s="51" t="s">
        <v>296</v>
      </c>
      <c r="F9" s="51">
        <v>20</v>
      </c>
      <c r="G9" s="66" t="s">
        <v>331</v>
      </c>
      <c r="H9" s="66" t="s">
        <v>638</v>
      </c>
      <c r="I9" s="143" t="s">
        <v>639</v>
      </c>
    </row>
    <row r="10" spans="1:9" s="24" customFormat="1" ht="15">
      <c r="A10" s="25"/>
      <c r="B10" s="46">
        <v>7</v>
      </c>
      <c r="C10" s="50" t="s">
        <v>640</v>
      </c>
      <c r="D10" s="76" t="s">
        <v>641</v>
      </c>
      <c r="E10" s="51" t="s">
        <v>418</v>
      </c>
      <c r="F10" s="51">
        <v>11</v>
      </c>
      <c r="G10" s="66" t="s">
        <v>642</v>
      </c>
      <c r="H10" s="66" t="s">
        <v>638</v>
      </c>
      <c r="I10" s="66" t="s">
        <v>639</v>
      </c>
    </row>
    <row r="11" spans="1:9" s="24" customFormat="1" ht="15">
      <c r="A11" s="25"/>
      <c r="B11" s="46">
        <f>B10+1</f>
        <v>8</v>
      </c>
      <c r="C11" s="50" t="s">
        <v>1588</v>
      </c>
      <c r="D11" s="76" t="s">
        <v>1589</v>
      </c>
      <c r="E11" s="51" t="s">
        <v>326</v>
      </c>
      <c r="F11" s="51"/>
      <c r="G11" s="66" t="s">
        <v>1590</v>
      </c>
      <c r="H11" s="66" t="s">
        <v>1591</v>
      </c>
      <c r="I11" s="66" t="s">
        <v>639</v>
      </c>
    </row>
    <row r="12" spans="1:9" s="24" customFormat="1" ht="15">
      <c r="A12" s="25"/>
      <c r="B12" s="46">
        <f>B11+1</f>
        <v>9</v>
      </c>
      <c r="C12" s="50" t="s">
        <v>643</v>
      </c>
      <c r="D12" s="76" t="s">
        <v>644</v>
      </c>
      <c r="E12" s="51" t="s">
        <v>421</v>
      </c>
      <c r="F12" s="51"/>
      <c r="G12" s="66" t="s">
        <v>645</v>
      </c>
      <c r="H12" s="66"/>
      <c r="I12" s="66" t="s">
        <v>639</v>
      </c>
    </row>
    <row r="13" spans="1:9" s="24" customFormat="1" ht="15">
      <c r="A13" s="25"/>
      <c r="B13" s="46">
        <f>B12+1</f>
        <v>10</v>
      </c>
      <c r="C13" s="50" t="s">
        <v>646</v>
      </c>
      <c r="D13" s="76" t="s">
        <v>647</v>
      </c>
      <c r="E13" s="51" t="s">
        <v>421</v>
      </c>
      <c r="F13" s="51"/>
      <c r="G13" s="66" t="s">
        <v>648</v>
      </c>
      <c r="H13" s="66"/>
      <c r="I13" s="66" t="s">
        <v>639</v>
      </c>
    </row>
    <row r="14" spans="1:9" s="24" customFormat="1" ht="15">
      <c r="A14" s="25"/>
      <c r="B14" s="46">
        <f>B13+1</f>
        <v>11</v>
      </c>
      <c r="C14" s="50" t="s">
        <v>649</v>
      </c>
      <c r="D14" s="76" t="s">
        <v>650</v>
      </c>
      <c r="E14" s="51" t="s">
        <v>421</v>
      </c>
      <c r="F14" s="51"/>
      <c r="G14" s="66" t="s">
        <v>645</v>
      </c>
      <c r="H14" s="66"/>
      <c r="I14" s="66" t="s">
        <v>639</v>
      </c>
    </row>
    <row r="15" spans="1:9" s="24" customFormat="1" ht="15">
      <c r="A15" s="25"/>
      <c r="B15" s="46">
        <f>B14+1</f>
        <v>12</v>
      </c>
      <c r="C15" s="50" t="s">
        <v>651</v>
      </c>
      <c r="D15" s="76" t="s">
        <v>652</v>
      </c>
      <c r="E15" s="51" t="s">
        <v>421</v>
      </c>
      <c r="F15" s="51"/>
      <c r="G15" s="66" t="s">
        <v>648</v>
      </c>
      <c r="H15" s="66"/>
      <c r="I15" s="66" t="s">
        <v>639</v>
      </c>
    </row>
    <row r="16" spans="1:9" ht="15.75">
      <c r="A16" s="1"/>
      <c r="B16" s="2"/>
      <c r="C16" s="3"/>
      <c r="D16" s="3"/>
      <c r="E16" s="3"/>
      <c r="F16" s="3"/>
      <c r="G16" s="3"/>
      <c r="H16" s="3"/>
    </row>
    <row r="17" spans="1:9" ht="24">
      <c r="A17" s="1"/>
      <c r="B17" s="204" t="s">
        <v>291</v>
      </c>
      <c r="C17" s="205"/>
      <c r="D17" s="205"/>
      <c r="E17" s="206"/>
      <c r="F17" s="224"/>
      <c r="G17" s="225"/>
      <c r="H17" s="225"/>
      <c r="I17" s="226"/>
    </row>
    <row r="18" spans="1:9" s="8" customFormat="1" ht="15">
      <c r="A18" s="6"/>
      <c r="B18" s="7" t="s">
        <v>276</v>
      </c>
      <c r="C18" s="56" t="s">
        <v>277</v>
      </c>
      <c r="D18" s="56" t="s">
        <v>278</v>
      </c>
      <c r="E18" s="57" t="s">
        <v>279</v>
      </c>
      <c r="F18" s="57" t="s">
        <v>280</v>
      </c>
      <c r="G18" s="56" t="s">
        <v>11</v>
      </c>
      <c r="H18" s="56" t="s">
        <v>292</v>
      </c>
      <c r="I18" s="56" t="s">
        <v>293</v>
      </c>
    </row>
    <row r="19" spans="1:9" s="24" customFormat="1" ht="15.75">
      <c r="A19" s="25"/>
      <c r="B19" s="23">
        <v>1</v>
      </c>
      <c r="C19" s="86" t="s">
        <v>1592</v>
      </c>
      <c r="D19" s="86" t="s">
        <v>1631</v>
      </c>
      <c r="E19" s="87" t="s">
        <v>296</v>
      </c>
      <c r="F19" s="87">
        <v>20</v>
      </c>
      <c r="G19" s="89"/>
      <c r="H19" s="89"/>
      <c r="I19" s="66"/>
    </row>
    <row r="20" spans="1:9" s="24" customFormat="1" ht="15.75">
      <c r="A20" s="25"/>
      <c r="B20" s="23">
        <f>B19+1</f>
        <v>2</v>
      </c>
      <c r="C20" s="86" t="s">
        <v>1632</v>
      </c>
      <c r="D20" s="86" t="s">
        <v>1593</v>
      </c>
      <c r="E20" s="87" t="s">
        <v>296</v>
      </c>
      <c r="F20" s="87">
        <v>20</v>
      </c>
      <c r="G20" s="89"/>
      <c r="H20" s="28" t="s">
        <v>115</v>
      </c>
      <c r="I20" s="86" t="s">
        <v>1593</v>
      </c>
    </row>
    <row r="21" spans="1:9" s="24" customFormat="1" ht="15">
      <c r="A21" s="25"/>
      <c r="B21" s="23">
        <f t="shared" ref="B21:B43" si="0">B20+1</f>
        <v>3</v>
      </c>
      <c r="C21" s="26" t="s">
        <v>453</v>
      </c>
      <c r="D21" s="26" t="s">
        <v>304</v>
      </c>
      <c r="E21" s="27" t="s">
        <v>452</v>
      </c>
      <c r="F21" s="27">
        <v>20</v>
      </c>
      <c r="G21" s="29"/>
      <c r="H21" s="28" t="s">
        <v>41</v>
      </c>
      <c r="I21" s="26" t="s">
        <v>304</v>
      </c>
    </row>
    <row r="22" spans="1:9" s="24" customFormat="1" ht="15.75">
      <c r="A22" s="25"/>
      <c r="B22" s="23">
        <f t="shared" si="0"/>
        <v>4</v>
      </c>
      <c r="C22" s="86" t="s">
        <v>637</v>
      </c>
      <c r="D22" s="86" t="s">
        <v>364</v>
      </c>
      <c r="E22" s="87" t="s">
        <v>296</v>
      </c>
      <c r="F22" s="87">
        <v>20</v>
      </c>
      <c r="G22" s="88"/>
      <c r="H22" s="28" t="s">
        <v>84</v>
      </c>
      <c r="I22" s="66" t="s">
        <v>364</v>
      </c>
    </row>
    <row r="23" spans="1:9" s="24" customFormat="1" ht="15">
      <c r="A23" s="25"/>
      <c r="B23" s="23">
        <f t="shared" si="0"/>
        <v>5</v>
      </c>
      <c r="C23" s="50" t="s">
        <v>1556</v>
      </c>
      <c r="D23" s="50" t="s">
        <v>1557</v>
      </c>
      <c r="E23" s="51" t="s">
        <v>452</v>
      </c>
      <c r="F23" s="51">
        <v>20</v>
      </c>
      <c r="G23" s="52"/>
      <c r="H23" s="19" t="s">
        <v>1633</v>
      </c>
      <c r="I23" s="50" t="s">
        <v>1557</v>
      </c>
    </row>
    <row r="24" spans="1:9" s="24" customFormat="1" ht="15">
      <c r="A24" s="25"/>
      <c r="B24" s="23">
        <f t="shared" si="0"/>
        <v>6</v>
      </c>
      <c r="C24" s="50" t="s">
        <v>1634</v>
      </c>
      <c r="D24" s="50" t="s">
        <v>1635</v>
      </c>
      <c r="E24" s="51" t="s">
        <v>316</v>
      </c>
      <c r="F24" s="51"/>
      <c r="G24" s="19"/>
      <c r="H24" s="19"/>
      <c r="I24" s="50"/>
    </row>
    <row r="25" spans="1:9" ht="15.75">
      <c r="B25" s="23">
        <f t="shared" si="0"/>
        <v>7</v>
      </c>
      <c r="C25" s="129" t="s">
        <v>1636</v>
      </c>
      <c r="D25" s="86" t="s">
        <v>1637</v>
      </c>
      <c r="E25" s="87" t="s">
        <v>326</v>
      </c>
      <c r="F25" s="87">
        <v>4</v>
      </c>
      <c r="G25" s="88" t="s">
        <v>1203</v>
      </c>
      <c r="H25" s="89"/>
      <c r="I25" s="64"/>
    </row>
    <row r="26" spans="1:9" ht="15">
      <c r="B26" s="23">
        <f t="shared" si="0"/>
        <v>8</v>
      </c>
      <c r="C26" s="26" t="s">
        <v>1638</v>
      </c>
      <c r="D26" s="26" t="s">
        <v>1235</v>
      </c>
      <c r="E26" s="27" t="s">
        <v>969</v>
      </c>
      <c r="F26" s="27"/>
      <c r="G26" s="29" t="s">
        <v>1227</v>
      </c>
      <c r="H26" s="28"/>
      <c r="I26" s="64"/>
    </row>
    <row r="27" spans="1:9" ht="15">
      <c r="B27" s="23">
        <f t="shared" si="0"/>
        <v>9</v>
      </c>
      <c r="C27" s="26" t="s">
        <v>1639</v>
      </c>
      <c r="D27" s="26" t="s">
        <v>1237</v>
      </c>
      <c r="E27" s="27" t="s">
        <v>969</v>
      </c>
      <c r="F27" s="27"/>
      <c r="G27" s="29" t="s">
        <v>1227</v>
      </c>
      <c r="H27" s="28"/>
      <c r="I27" s="26"/>
    </row>
    <row r="28" spans="1:9" ht="15">
      <c r="B28" s="23">
        <f t="shared" si="0"/>
        <v>10</v>
      </c>
      <c r="C28" s="50" t="s">
        <v>1598</v>
      </c>
      <c r="D28" s="50" t="s">
        <v>1640</v>
      </c>
      <c r="E28" s="51" t="s">
        <v>969</v>
      </c>
      <c r="F28" s="51"/>
      <c r="G28" s="29" t="s">
        <v>1227</v>
      </c>
      <c r="H28" s="19"/>
      <c r="I28" s="66"/>
    </row>
    <row r="29" spans="1:9" ht="15">
      <c r="B29" s="23">
        <f t="shared" si="0"/>
        <v>11</v>
      </c>
      <c r="C29" s="50" t="s">
        <v>1599</v>
      </c>
      <c r="D29" s="50" t="s">
        <v>1641</v>
      </c>
      <c r="E29" s="51" t="s">
        <v>969</v>
      </c>
      <c r="F29" s="51"/>
      <c r="G29" s="29" t="s">
        <v>1227</v>
      </c>
      <c r="H29" s="19"/>
      <c r="I29" s="73"/>
    </row>
    <row r="30" spans="1:9" ht="15">
      <c r="B30" s="23">
        <f t="shared" si="0"/>
        <v>12</v>
      </c>
      <c r="C30" s="50" t="s">
        <v>1642</v>
      </c>
      <c r="D30" s="50" t="s">
        <v>1643</v>
      </c>
      <c r="E30" s="51" t="s">
        <v>418</v>
      </c>
      <c r="F30" s="51">
        <v>11</v>
      </c>
      <c r="G30" s="19" t="s">
        <v>1644</v>
      </c>
      <c r="H30" s="19"/>
      <c r="I30" s="66"/>
    </row>
    <row r="31" spans="1:9" ht="15">
      <c r="B31" s="23">
        <f t="shared" si="0"/>
        <v>13</v>
      </c>
      <c r="C31" s="50" t="s">
        <v>1645</v>
      </c>
      <c r="D31" s="50" t="s">
        <v>1646</v>
      </c>
      <c r="E31" s="51" t="s">
        <v>418</v>
      </c>
      <c r="F31" s="51">
        <v>11</v>
      </c>
      <c r="G31" s="19"/>
      <c r="H31" s="19"/>
      <c r="I31" s="19"/>
    </row>
    <row r="32" spans="1:9" ht="30">
      <c r="B32" s="23">
        <f t="shared" si="0"/>
        <v>14</v>
      </c>
      <c r="C32" s="50" t="s">
        <v>1647</v>
      </c>
      <c r="D32" s="50" t="s">
        <v>1648</v>
      </c>
      <c r="E32" s="51" t="s">
        <v>418</v>
      </c>
      <c r="F32" s="51">
        <v>11</v>
      </c>
      <c r="G32" s="52" t="s">
        <v>1649</v>
      </c>
      <c r="H32" s="19"/>
      <c r="I32" s="66"/>
    </row>
    <row r="33" spans="2:9" ht="220.5">
      <c r="B33" s="23">
        <f t="shared" si="0"/>
        <v>15</v>
      </c>
      <c r="C33" s="50" t="s">
        <v>1650</v>
      </c>
      <c r="D33" s="50" t="s">
        <v>1651</v>
      </c>
      <c r="E33" s="51" t="s">
        <v>285</v>
      </c>
      <c r="F33" s="51">
        <v>1000</v>
      </c>
      <c r="G33" s="133" t="s">
        <v>1652</v>
      </c>
      <c r="H33" s="28"/>
      <c r="I33" s="66"/>
    </row>
    <row r="34" spans="2:9" ht="30">
      <c r="B34" s="23">
        <f t="shared" si="0"/>
        <v>16</v>
      </c>
      <c r="C34" s="50" t="s">
        <v>1608</v>
      </c>
      <c r="D34" s="50" t="s">
        <v>1571</v>
      </c>
      <c r="E34" s="51" t="s">
        <v>285</v>
      </c>
      <c r="F34" s="51">
        <v>6</v>
      </c>
      <c r="G34" s="52" t="s">
        <v>1609</v>
      </c>
      <c r="H34" s="28" t="s">
        <v>1573</v>
      </c>
      <c r="I34" s="66"/>
    </row>
    <row r="35" spans="2:9" ht="30">
      <c r="B35" s="23">
        <f t="shared" si="0"/>
        <v>17</v>
      </c>
      <c r="C35" s="26" t="s">
        <v>1653</v>
      </c>
      <c r="D35" s="26" t="s">
        <v>1654</v>
      </c>
      <c r="E35" s="27" t="s">
        <v>1576</v>
      </c>
      <c r="F35" s="27" t="s">
        <v>609</v>
      </c>
      <c r="G35" s="29" t="s">
        <v>1655</v>
      </c>
      <c r="H35" s="28"/>
      <c r="I35" s="66"/>
    </row>
    <row r="36" spans="2:9" ht="63">
      <c r="B36" s="23">
        <f t="shared" si="0"/>
        <v>18</v>
      </c>
      <c r="C36" s="90" t="s">
        <v>1211</v>
      </c>
      <c r="D36" s="90" t="s">
        <v>1212</v>
      </c>
      <c r="E36" s="87" t="s">
        <v>326</v>
      </c>
      <c r="F36" s="87">
        <v>4</v>
      </c>
      <c r="G36" s="88" t="s">
        <v>1213</v>
      </c>
      <c r="H36" s="89" t="s">
        <v>1214</v>
      </c>
      <c r="I36" s="66"/>
    </row>
    <row r="37" spans="2:9" ht="15.75">
      <c r="B37" s="23">
        <f t="shared" si="0"/>
        <v>19</v>
      </c>
      <c r="C37" s="90" t="s">
        <v>1215</v>
      </c>
      <c r="D37" s="71" t="s">
        <v>1121</v>
      </c>
      <c r="E37" s="72" t="s">
        <v>296</v>
      </c>
      <c r="F37" s="72">
        <v>20</v>
      </c>
      <c r="G37" s="88"/>
      <c r="H37" s="28" t="s">
        <v>101</v>
      </c>
      <c r="I37" s="66" t="s">
        <v>1121</v>
      </c>
    </row>
    <row r="38" spans="2:9" ht="15.75">
      <c r="B38" s="23">
        <f t="shared" si="0"/>
        <v>20</v>
      </c>
      <c r="C38" s="71" t="s">
        <v>1216</v>
      </c>
      <c r="D38" s="71" t="s">
        <v>1173</v>
      </c>
      <c r="E38" s="72" t="s">
        <v>452</v>
      </c>
      <c r="F38" s="72">
        <v>20</v>
      </c>
      <c r="G38" s="88"/>
      <c r="H38" s="28" t="s">
        <v>1170</v>
      </c>
      <c r="I38" s="66" t="s">
        <v>1173</v>
      </c>
    </row>
    <row r="39" spans="2:9" ht="90">
      <c r="B39" s="23">
        <f t="shared" si="0"/>
        <v>21</v>
      </c>
      <c r="C39" s="26" t="s">
        <v>1217</v>
      </c>
      <c r="D39" s="26" t="s">
        <v>1160</v>
      </c>
      <c r="E39" s="27" t="s">
        <v>452</v>
      </c>
      <c r="F39" s="27">
        <v>20</v>
      </c>
      <c r="G39" s="121" t="s">
        <v>1192</v>
      </c>
      <c r="H39" s="28" t="s">
        <v>1157</v>
      </c>
      <c r="I39" s="19" t="s">
        <v>1160</v>
      </c>
    </row>
    <row r="40" spans="2:9" ht="15.75">
      <c r="B40" s="23">
        <f t="shared" si="0"/>
        <v>22</v>
      </c>
      <c r="C40" s="26" t="s">
        <v>1656</v>
      </c>
      <c r="D40" s="26" t="s">
        <v>1657</v>
      </c>
      <c r="E40" s="27" t="s">
        <v>326</v>
      </c>
      <c r="F40" s="27">
        <v>4</v>
      </c>
      <c r="G40" s="134" t="s">
        <v>1658</v>
      </c>
      <c r="H40" s="89" t="s">
        <v>1659</v>
      </c>
      <c r="I40" s="66"/>
    </row>
    <row r="41" spans="2:9" s="24" customFormat="1" ht="15">
      <c r="B41" s="23">
        <f t="shared" si="0"/>
        <v>23</v>
      </c>
      <c r="C41" s="26" t="s">
        <v>1660</v>
      </c>
      <c r="D41" s="26" t="s">
        <v>1661</v>
      </c>
      <c r="E41" s="27" t="s">
        <v>296</v>
      </c>
      <c r="F41" s="27">
        <v>20</v>
      </c>
      <c r="G41" s="28" t="s">
        <v>1662</v>
      </c>
      <c r="H41" s="28"/>
      <c r="I41" s="73"/>
    </row>
    <row r="42" spans="2:9" ht="15">
      <c r="B42" s="23">
        <f t="shared" si="0"/>
        <v>24</v>
      </c>
      <c r="C42" s="50" t="s">
        <v>1626</v>
      </c>
      <c r="D42" s="50" t="s">
        <v>968</v>
      </c>
      <c r="E42" s="51" t="s">
        <v>969</v>
      </c>
      <c r="F42" s="51"/>
      <c r="G42" s="19"/>
      <c r="H42" s="19"/>
      <c r="I42" s="66"/>
    </row>
    <row r="43" spans="2:9" ht="15">
      <c r="B43" s="23">
        <f t="shared" si="0"/>
        <v>25</v>
      </c>
      <c r="C43" s="64" t="s">
        <v>1628</v>
      </c>
      <c r="D43" s="64" t="s">
        <v>482</v>
      </c>
      <c r="E43" s="68" t="s">
        <v>969</v>
      </c>
      <c r="F43" s="62"/>
      <c r="G43" s="66"/>
      <c r="H43" s="66"/>
      <c r="I43" s="66"/>
    </row>
    <row r="44" spans="2:9" ht="15">
      <c r="B44" s="117"/>
    </row>
    <row r="45" spans="2:9" ht="15">
      <c r="B45" s="45"/>
    </row>
    <row r="46" spans="2:9" ht="15">
      <c r="B46" s="45"/>
    </row>
    <row r="47" spans="2:9" ht="15">
      <c r="B47" s="45"/>
    </row>
    <row r="48" spans="2:9" ht="15">
      <c r="B48" s="45"/>
    </row>
    <row r="49" spans="2:2" ht="15">
      <c r="B49" s="45"/>
    </row>
    <row r="50" spans="2:2" ht="15">
      <c r="B50" s="45"/>
    </row>
  </sheetData>
  <mergeCells count="6">
    <mergeCell ref="B1:E1"/>
    <mergeCell ref="B2:E2"/>
    <mergeCell ref="B17:E17"/>
    <mergeCell ref="F2:I2"/>
    <mergeCell ref="F1:I1"/>
    <mergeCell ref="F17:I17"/>
  </mergeCells>
  <phoneticPr fontId="5" type="noConversion"/>
  <pageMargins left="0.7" right="0.7" top="0.75" bottom="0.75" header="0.3" footer="0.3"/>
  <pageSetup paperSize="9" orientation="portrait" horizontalDpi="0" verticalDpi="0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83AA56B-79B1-4373-92F2-1CC572B15A2E}">
  <sheetPr codeName="工作表48"/>
  <dimension ref="A1:BX47"/>
  <sheetViews>
    <sheetView workbookViewId="0">
      <selection activeCell="E15" sqref="E15"/>
    </sheetView>
  </sheetViews>
  <sheetFormatPr defaultColWidth="6.625" defaultRowHeight="13.5"/>
  <cols>
    <col min="1" max="1" width="3.125" style="4" bestFit="1" customWidth="1"/>
    <col min="2" max="2" width="5.5" style="8" customWidth="1"/>
    <col min="3" max="3" width="23.625" style="4" bestFit="1" customWidth="1"/>
    <col min="4" max="4" width="25" style="4" bestFit="1" customWidth="1"/>
    <col min="5" max="5" width="16.625" style="4" customWidth="1"/>
    <col min="6" max="6" width="5.5" style="4" bestFit="1" customWidth="1"/>
    <col min="7" max="7" width="38" style="4" customWidth="1"/>
    <col min="8" max="8" width="33" style="4" customWidth="1"/>
    <col min="9" max="9" width="13.5" style="4" customWidth="1"/>
    <col min="10" max="16384" width="6.625" style="4"/>
  </cols>
  <sheetData>
    <row r="1" spans="1:9" ht="24">
      <c r="A1" s="1" t="e">
        <f ca="1">HYPERLINK("#'介面'!E"&amp;MATCH(VALUE(RIGHT(CELL("filename"),LEN(CELL("filename"))-FIND("]",CELL("filename")))),介面!D:D,"0"),"←")</f>
        <v>#VALUE!</v>
      </c>
      <c r="B1" s="207" t="s">
        <v>119</v>
      </c>
      <c r="C1" s="208"/>
      <c r="D1" s="208"/>
      <c r="E1" s="209"/>
      <c r="F1" s="221" t="s">
        <v>1663</v>
      </c>
      <c r="G1" s="222"/>
      <c r="H1" s="222"/>
      <c r="I1" s="223"/>
    </row>
    <row r="2" spans="1:9" ht="24">
      <c r="A2" s="1"/>
      <c r="B2" s="210" t="s">
        <v>275</v>
      </c>
      <c r="C2" s="211"/>
      <c r="D2" s="211"/>
      <c r="E2" s="212"/>
      <c r="F2" s="219"/>
      <c r="G2" s="220"/>
      <c r="H2" s="220"/>
      <c r="I2" s="215"/>
    </row>
    <row r="3" spans="1:9" s="8" customFormat="1" ht="15">
      <c r="A3" s="6"/>
      <c r="B3" s="7" t="s">
        <v>276</v>
      </c>
      <c r="C3" s="56" t="s">
        <v>277</v>
      </c>
      <c r="D3" s="56" t="s">
        <v>278</v>
      </c>
      <c r="E3" s="57" t="s">
        <v>279</v>
      </c>
      <c r="F3" s="57" t="s">
        <v>280</v>
      </c>
      <c r="G3" s="56" t="s">
        <v>281</v>
      </c>
      <c r="H3" s="56" t="s">
        <v>11</v>
      </c>
      <c r="I3" s="56" t="s">
        <v>282</v>
      </c>
    </row>
    <row r="4" spans="1:9" s="24" customFormat="1" ht="15.75">
      <c r="A4" s="25"/>
      <c r="B4" s="46">
        <v>1</v>
      </c>
      <c r="C4" s="80" t="s">
        <v>297</v>
      </c>
      <c r="D4" s="80" t="s">
        <v>298</v>
      </c>
      <c r="E4" s="81" t="s">
        <v>285</v>
      </c>
      <c r="F4" s="81">
        <v>500</v>
      </c>
      <c r="G4" s="66" t="s">
        <v>330</v>
      </c>
      <c r="H4" s="142" t="s">
        <v>302</v>
      </c>
      <c r="I4" s="66" t="s">
        <v>287</v>
      </c>
    </row>
    <row r="5" spans="1:9" s="24" customFormat="1" ht="15">
      <c r="A5" s="25"/>
      <c r="B5" s="46">
        <v>2</v>
      </c>
      <c r="C5" s="50" t="s">
        <v>303</v>
      </c>
      <c r="D5" s="76" t="s">
        <v>304</v>
      </c>
      <c r="E5" s="51" t="s">
        <v>296</v>
      </c>
      <c r="F5" s="51">
        <v>20</v>
      </c>
      <c r="G5" s="66" t="s">
        <v>331</v>
      </c>
      <c r="H5" s="66"/>
      <c r="I5" s="66" t="s">
        <v>287</v>
      </c>
    </row>
    <row r="6" spans="1:9" s="95" customFormat="1" ht="15.75">
      <c r="A6" s="93"/>
      <c r="B6" s="46">
        <v>3</v>
      </c>
      <c r="C6" s="80" t="s">
        <v>1664</v>
      </c>
      <c r="D6" s="80" t="s">
        <v>1665</v>
      </c>
      <c r="E6" s="81" t="s">
        <v>316</v>
      </c>
      <c r="F6" s="81"/>
      <c r="G6" s="91" t="s">
        <v>985</v>
      </c>
      <c r="H6" s="66"/>
      <c r="I6" s="66" t="s">
        <v>287</v>
      </c>
    </row>
    <row r="7" spans="1:9" s="95" customFormat="1" ht="15.75">
      <c r="A7" s="93"/>
      <c r="B7" s="46">
        <v>4</v>
      </c>
      <c r="C7" s="80" t="s">
        <v>1666</v>
      </c>
      <c r="D7" s="80" t="s">
        <v>1667</v>
      </c>
      <c r="E7" s="81" t="s">
        <v>316</v>
      </c>
      <c r="F7" s="81"/>
      <c r="G7" s="91" t="s">
        <v>988</v>
      </c>
      <c r="H7" s="66"/>
      <c r="I7" s="66" t="s">
        <v>287</v>
      </c>
    </row>
    <row r="8" spans="1:9" s="24" customFormat="1" ht="15">
      <c r="A8" s="25"/>
      <c r="B8" s="46">
        <v>5</v>
      </c>
      <c r="C8" s="50" t="s">
        <v>637</v>
      </c>
      <c r="D8" s="50" t="s">
        <v>364</v>
      </c>
      <c r="E8" s="51" t="s">
        <v>296</v>
      </c>
      <c r="F8" s="51">
        <v>20</v>
      </c>
      <c r="G8" s="66" t="s">
        <v>331</v>
      </c>
      <c r="H8" s="66" t="s">
        <v>638</v>
      </c>
      <c r="I8" s="143" t="s">
        <v>639</v>
      </c>
    </row>
    <row r="9" spans="1:9" s="24" customFormat="1" ht="15">
      <c r="A9" s="25"/>
      <c r="B9" s="46">
        <v>6</v>
      </c>
      <c r="C9" s="50" t="s">
        <v>640</v>
      </c>
      <c r="D9" s="76" t="s">
        <v>641</v>
      </c>
      <c r="E9" s="51" t="s">
        <v>418</v>
      </c>
      <c r="F9" s="51">
        <v>11</v>
      </c>
      <c r="G9" s="66" t="s">
        <v>642</v>
      </c>
      <c r="H9" s="66" t="s">
        <v>638</v>
      </c>
      <c r="I9" s="66" t="s">
        <v>639</v>
      </c>
    </row>
    <row r="10" spans="1:9" s="24" customFormat="1" ht="15">
      <c r="A10" s="25"/>
      <c r="B10" s="46">
        <f>B9+1</f>
        <v>7</v>
      </c>
      <c r="C10" s="50" t="s">
        <v>1588</v>
      </c>
      <c r="D10" s="76" t="s">
        <v>1589</v>
      </c>
      <c r="E10" s="51" t="s">
        <v>326</v>
      </c>
      <c r="F10" s="51"/>
      <c r="G10" s="66" t="s">
        <v>1590</v>
      </c>
      <c r="H10" s="66" t="s">
        <v>1591</v>
      </c>
      <c r="I10" s="66" t="s">
        <v>639</v>
      </c>
    </row>
    <row r="11" spans="1:9" s="24" customFormat="1" ht="15">
      <c r="A11" s="25"/>
      <c r="B11" s="46">
        <f>B10+1</f>
        <v>8</v>
      </c>
      <c r="C11" s="50" t="s">
        <v>643</v>
      </c>
      <c r="D11" s="76" t="s">
        <v>644</v>
      </c>
      <c r="E11" s="51" t="s">
        <v>421</v>
      </c>
      <c r="F11" s="51"/>
      <c r="G11" s="66" t="s">
        <v>645</v>
      </c>
      <c r="H11" s="66"/>
      <c r="I11" s="66" t="s">
        <v>639</v>
      </c>
    </row>
    <row r="12" spans="1:9" s="24" customFormat="1" ht="15">
      <c r="A12" s="25"/>
      <c r="B12" s="46">
        <f>B11+1</f>
        <v>9</v>
      </c>
      <c r="C12" s="50" t="s">
        <v>646</v>
      </c>
      <c r="D12" s="76" t="s">
        <v>647</v>
      </c>
      <c r="E12" s="51" t="s">
        <v>421</v>
      </c>
      <c r="F12" s="51"/>
      <c r="G12" s="66" t="s">
        <v>648</v>
      </c>
      <c r="H12" s="66"/>
      <c r="I12" s="66" t="s">
        <v>639</v>
      </c>
    </row>
    <row r="13" spans="1:9" s="24" customFormat="1" ht="15">
      <c r="A13" s="25"/>
      <c r="B13" s="46">
        <f>B12+1</f>
        <v>10</v>
      </c>
      <c r="C13" s="50" t="s">
        <v>649</v>
      </c>
      <c r="D13" s="76" t="s">
        <v>650</v>
      </c>
      <c r="E13" s="51" t="s">
        <v>421</v>
      </c>
      <c r="F13" s="51"/>
      <c r="G13" s="66" t="s">
        <v>645</v>
      </c>
      <c r="H13" s="66"/>
      <c r="I13" s="66" t="s">
        <v>639</v>
      </c>
    </row>
    <row r="14" spans="1:9" s="24" customFormat="1" ht="15">
      <c r="A14" s="25"/>
      <c r="B14" s="46">
        <f>B13+1</f>
        <v>11</v>
      </c>
      <c r="C14" s="50" t="s">
        <v>651</v>
      </c>
      <c r="D14" s="76" t="s">
        <v>652</v>
      </c>
      <c r="E14" s="51" t="s">
        <v>421</v>
      </c>
      <c r="F14" s="51"/>
      <c r="G14" s="66" t="s">
        <v>648</v>
      </c>
      <c r="H14" s="66"/>
      <c r="I14" s="66" t="s">
        <v>639</v>
      </c>
    </row>
    <row r="15" spans="1:9" ht="15.75">
      <c r="A15" s="1"/>
      <c r="B15" s="2"/>
      <c r="C15" s="3"/>
      <c r="D15" s="3"/>
      <c r="E15" s="3"/>
      <c r="F15" s="3"/>
      <c r="G15" s="3"/>
    </row>
    <row r="16" spans="1:9" ht="15.75">
      <c r="A16" s="1"/>
      <c r="B16" s="2"/>
      <c r="C16" s="3"/>
      <c r="D16" s="3"/>
      <c r="E16" s="3"/>
      <c r="F16" s="3"/>
      <c r="G16" s="3"/>
      <c r="H16" s="151"/>
      <c r="I16" s="21"/>
    </row>
    <row r="17" spans="1:9" ht="24">
      <c r="A17" s="1"/>
      <c r="B17" s="204" t="s">
        <v>291</v>
      </c>
      <c r="C17" s="205"/>
      <c r="D17" s="205"/>
      <c r="E17" s="206"/>
      <c r="F17" s="204"/>
      <c r="G17" s="205"/>
      <c r="H17" s="205"/>
      <c r="I17" s="206"/>
    </row>
    <row r="18" spans="1:9" s="8" customFormat="1" ht="15">
      <c r="A18" s="6"/>
      <c r="B18" s="7" t="s">
        <v>276</v>
      </c>
      <c r="C18" s="56" t="s">
        <v>277</v>
      </c>
      <c r="D18" s="56" t="s">
        <v>278</v>
      </c>
      <c r="E18" s="57" t="s">
        <v>279</v>
      </c>
      <c r="F18" s="57" t="s">
        <v>280</v>
      </c>
      <c r="G18" s="56" t="s">
        <v>11</v>
      </c>
      <c r="H18" s="56" t="s">
        <v>292</v>
      </c>
      <c r="I18" s="56" t="s">
        <v>293</v>
      </c>
    </row>
    <row r="19" spans="1:9" s="24" customFormat="1" ht="15.75">
      <c r="A19" s="25"/>
      <c r="B19" s="23">
        <v>1</v>
      </c>
      <c r="C19" s="86" t="s">
        <v>1592</v>
      </c>
      <c r="D19" s="86" t="s">
        <v>1668</v>
      </c>
      <c r="E19" s="87" t="s">
        <v>296</v>
      </c>
      <c r="F19" s="87">
        <v>20</v>
      </c>
      <c r="G19" s="89"/>
      <c r="H19" s="89"/>
      <c r="I19" s="66"/>
    </row>
    <row r="20" spans="1:9" s="24" customFormat="1" ht="15.75">
      <c r="A20" s="25"/>
      <c r="B20" s="23">
        <f>B19+1</f>
        <v>2</v>
      </c>
      <c r="C20" s="26" t="s">
        <v>453</v>
      </c>
      <c r="D20" s="26" t="s">
        <v>304</v>
      </c>
      <c r="E20" s="27" t="s">
        <v>452</v>
      </c>
      <c r="F20" s="27">
        <v>20</v>
      </c>
      <c r="G20" s="29"/>
      <c r="H20" s="28" t="s">
        <v>41</v>
      </c>
      <c r="I20" s="86" t="s">
        <v>304</v>
      </c>
    </row>
    <row r="21" spans="1:9" s="24" customFormat="1" ht="15.75">
      <c r="A21" s="25"/>
      <c r="B21" s="23">
        <f t="shared" ref="B21:B40" si="0">B20+1</f>
        <v>3</v>
      </c>
      <c r="C21" s="86" t="s">
        <v>637</v>
      </c>
      <c r="D21" s="86" t="s">
        <v>364</v>
      </c>
      <c r="E21" s="87" t="s">
        <v>296</v>
      </c>
      <c r="F21" s="87">
        <v>20</v>
      </c>
      <c r="G21" s="88"/>
      <c r="H21" s="28" t="s">
        <v>84</v>
      </c>
      <c r="I21" s="26" t="s">
        <v>364</v>
      </c>
    </row>
    <row r="22" spans="1:9" s="24" customFormat="1" ht="15">
      <c r="A22" s="25"/>
      <c r="B22" s="23">
        <f t="shared" si="0"/>
        <v>4</v>
      </c>
      <c r="C22" s="26" t="s">
        <v>1669</v>
      </c>
      <c r="D22" s="26" t="s">
        <v>1670</v>
      </c>
      <c r="E22" s="27" t="s">
        <v>969</v>
      </c>
      <c r="F22" s="27"/>
      <c r="G22" s="28" t="s">
        <v>1227</v>
      </c>
      <c r="H22" s="28"/>
      <c r="I22" s="66"/>
    </row>
    <row r="23" spans="1:9" s="24" customFormat="1" ht="15">
      <c r="A23" s="25"/>
      <c r="B23" s="23">
        <f t="shared" si="0"/>
        <v>5</v>
      </c>
      <c r="C23" s="26" t="s">
        <v>1671</v>
      </c>
      <c r="D23" s="26" t="s">
        <v>1672</v>
      </c>
      <c r="E23" s="27" t="s">
        <v>969</v>
      </c>
      <c r="F23" s="27"/>
      <c r="G23" s="28" t="s">
        <v>1227</v>
      </c>
      <c r="H23" s="28"/>
      <c r="I23" s="50"/>
    </row>
    <row r="24" spans="1:9" s="24" customFormat="1" ht="15">
      <c r="A24" s="25"/>
      <c r="B24" s="23">
        <f t="shared" si="0"/>
        <v>6</v>
      </c>
      <c r="C24" s="26" t="s">
        <v>1673</v>
      </c>
      <c r="D24" s="26" t="s">
        <v>1674</v>
      </c>
      <c r="E24" s="27" t="s">
        <v>316</v>
      </c>
      <c r="F24" s="27"/>
      <c r="G24" s="28" t="s">
        <v>1675</v>
      </c>
      <c r="H24" s="28"/>
      <c r="I24" s="50"/>
    </row>
    <row r="25" spans="1:9" ht="15">
      <c r="B25" s="23">
        <f t="shared" si="0"/>
        <v>7</v>
      </c>
      <c r="C25" s="26" t="s">
        <v>1676</v>
      </c>
      <c r="D25" s="26" t="s">
        <v>1611</v>
      </c>
      <c r="E25" s="27" t="s">
        <v>285</v>
      </c>
      <c r="F25" s="27">
        <v>500</v>
      </c>
      <c r="G25" s="28"/>
      <c r="H25" s="28"/>
      <c r="I25" s="64"/>
    </row>
    <row r="26" spans="1:9" ht="15">
      <c r="B26" s="23">
        <f t="shared" si="0"/>
        <v>8</v>
      </c>
      <c r="C26" s="26" t="s">
        <v>1677</v>
      </c>
      <c r="D26" s="26" t="s">
        <v>1571</v>
      </c>
      <c r="E26" s="27" t="s">
        <v>285</v>
      </c>
      <c r="F26" s="27">
        <v>6</v>
      </c>
      <c r="G26" s="29" t="s">
        <v>1678</v>
      </c>
      <c r="H26" s="28" t="s">
        <v>1679</v>
      </c>
      <c r="I26" s="64"/>
    </row>
    <row r="27" spans="1:9" ht="30">
      <c r="B27" s="23">
        <f t="shared" si="0"/>
        <v>9</v>
      </c>
      <c r="C27" s="26" t="s">
        <v>1680</v>
      </c>
      <c r="D27" s="26" t="s">
        <v>1681</v>
      </c>
      <c r="E27" s="27" t="s">
        <v>704</v>
      </c>
      <c r="F27" s="27" t="s">
        <v>609</v>
      </c>
      <c r="G27" s="29" t="s">
        <v>1682</v>
      </c>
      <c r="H27" s="28"/>
      <c r="I27" s="26"/>
    </row>
    <row r="28" spans="1:9" ht="15">
      <c r="B28" s="23">
        <f t="shared" si="0"/>
        <v>10</v>
      </c>
      <c r="C28" s="26" t="s">
        <v>1603</v>
      </c>
      <c r="D28" s="26" t="s">
        <v>1646</v>
      </c>
      <c r="E28" s="72" t="s">
        <v>418</v>
      </c>
      <c r="F28" s="72">
        <v>11</v>
      </c>
      <c r="G28" s="28" t="s">
        <v>1605</v>
      </c>
      <c r="H28" s="28"/>
      <c r="I28" s="66"/>
    </row>
    <row r="29" spans="1:9" ht="15">
      <c r="B29" s="23">
        <f t="shared" si="0"/>
        <v>11</v>
      </c>
      <c r="C29" s="26" t="s">
        <v>1683</v>
      </c>
      <c r="D29" s="26" t="s">
        <v>1684</v>
      </c>
      <c r="E29" s="27" t="s">
        <v>704</v>
      </c>
      <c r="F29" s="27" t="s">
        <v>609</v>
      </c>
      <c r="G29" s="28"/>
      <c r="H29" s="28"/>
      <c r="I29" s="73"/>
    </row>
    <row r="30" spans="1:9" ht="15">
      <c r="B30" s="23">
        <f t="shared" si="0"/>
        <v>12</v>
      </c>
      <c r="C30" s="26" t="s">
        <v>1685</v>
      </c>
      <c r="D30" s="26" t="s">
        <v>1686</v>
      </c>
      <c r="E30" s="27" t="s">
        <v>704</v>
      </c>
      <c r="F30" s="27" t="s">
        <v>609</v>
      </c>
      <c r="G30" s="28"/>
      <c r="H30" s="28"/>
      <c r="I30" s="66"/>
    </row>
    <row r="31" spans="1:9" ht="107.25" customHeight="1">
      <c r="B31" s="23">
        <f t="shared" si="0"/>
        <v>13</v>
      </c>
      <c r="C31" s="80" t="s">
        <v>1615</v>
      </c>
      <c r="D31" s="132" t="s">
        <v>1616</v>
      </c>
      <c r="E31" s="87" t="s">
        <v>979</v>
      </c>
      <c r="F31" s="81"/>
      <c r="G31" s="85" t="s">
        <v>1617</v>
      </c>
      <c r="H31" s="89"/>
      <c r="I31" s="19"/>
    </row>
    <row r="32" spans="1:9" ht="15">
      <c r="B32" s="23">
        <f t="shared" si="0"/>
        <v>14</v>
      </c>
      <c r="C32" s="26" t="s">
        <v>11</v>
      </c>
      <c r="D32" s="26" t="s">
        <v>397</v>
      </c>
      <c r="E32" s="27" t="s">
        <v>285</v>
      </c>
      <c r="F32" s="27">
        <v>500</v>
      </c>
      <c r="G32" s="28"/>
      <c r="H32" s="28"/>
      <c r="I32" s="66"/>
    </row>
    <row r="33" spans="2:76" ht="60">
      <c r="B33" s="23">
        <f t="shared" si="0"/>
        <v>15</v>
      </c>
      <c r="C33" s="26" t="s">
        <v>1076</v>
      </c>
      <c r="D33" s="26" t="s">
        <v>1687</v>
      </c>
      <c r="E33" s="27" t="s">
        <v>326</v>
      </c>
      <c r="F33" s="27">
        <v>4</v>
      </c>
      <c r="G33" s="29" t="s">
        <v>1688</v>
      </c>
      <c r="H33" s="89" t="s">
        <v>1620</v>
      </c>
      <c r="I33" s="66"/>
    </row>
    <row r="34" spans="2:76" s="24" customFormat="1" ht="15.75">
      <c r="B34" s="23">
        <f t="shared" si="0"/>
        <v>16</v>
      </c>
      <c r="C34" s="26" t="s">
        <v>1621</v>
      </c>
      <c r="D34" s="26" t="s">
        <v>1622</v>
      </c>
      <c r="E34" s="27" t="s">
        <v>285</v>
      </c>
      <c r="F34" s="27">
        <v>50</v>
      </c>
      <c r="G34" s="29"/>
      <c r="H34" s="89"/>
      <c r="I34" s="66"/>
      <c r="J34" s="4"/>
      <c r="K34" s="4"/>
      <c r="L34" s="4"/>
      <c r="M34" s="4"/>
      <c r="N34" s="4"/>
      <c r="O34" s="4"/>
      <c r="P34" s="4"/>
      <c r="Q34" s="4"/>
      <c r="R34" s="4"/>
      <c r="S34" s="4"/>
      <c r="T34" s="4"/>
      <c r="U34" s="4"/>
      <c r="V34" s="4"/>
      <c r="W34" s="4"/>
      <c r="X34" s="4"/>
      <c r="Y34" s="4"/>
      <c r="Z34" s="4"/>
      <c r="AA34" s="4"/>
      <c r="AB34" s="4"/>
      <c r="AC34" s="4"/>
      <c r="AD34" s="4"/>
      <c r="AE34" s="4"/>
      <c r="AF34" s="4"/>
      <c r="AG34" s="4"/>
      <c r="AH34" s="4"/>
      <c r="AI34" s="4"/>
      <c r="AJ34" s="4"/>
      <c r="AK34" s="4"/>
      <c r="AL34" s="4"/>
      <c r="AM34" s="4"/>
      <c r="AN34" s="4"/>
      <c r="AO34" s="4"/>
      <c r="AP34" s="4"/>
      <c r="AQ34" s="4"/>
      <c r="AR34" s="4"/>
      <c r="AS34" s="4"/>
      <c r="AT34" s="4"/>
      <c r="AU34" s="4"/>
      <c r="AV34" s="4"/>
      <c r="AW34" s="4"/>
      <c r="AX34" s="4"/>
      <c r="AY34" s="4"/>
      <c r="AZ34" s="4"/>
      <c r="BA34" s="4"/>
      <c r="BB34" s="4"/>
      <c r="BC34" s="4"/>
      <c r="BD34" s="4"/>
      <c r="BE34" s="4"/>
      <c r="BF34" s="4"/>
      <c r="BG34" s="4"/>
      <c r="BH34" s="4"/>
      <c r="BI34" s="4"/>
      <c r="BJ34" s="4"/>
      <c r="BK34" s="4"/>
      <c r="BL34" s="4"/>
      <c r="BM34" s="4"/>
      <c r="BN34" s="4"/>
      <c r="BO34" s="4"/>
      <c r="BP34" s="4"/>
      <c r="BQ34" s="4"/>
      <c r="BR34" s="4"/>
      <c r="BS34" s="4"/>
      <c r="BT34" s="4"/>
      <c r="BU34" s="4"/>
      <c r="BV34" s="4"/>
      <c r="BW34" s="4"/>
      <c r="BX34" s="4"/>
    </row>
    <row r="35" spans="2:76" s="24" customFormat="1" ht="15.75">
      <c r="B35" s="23">
        <f t="shared" si="0"/>
        <v>17</v>
      </c>
      <c r="C35" s="26" t="s">
        <v>1588</v>
      </c>
      <c r="D35" s="26" t="s">
        <v>1589</v>
      </c>
      <c r="E35" s="27" t="s">
        <v>326</v>
      </c>
      <c r="F35" s="27">
        <v>4</v>
      </c>
      <c r="G35" s="29" t="s">
        <v>1591</v>
      </c>
      <c r="H35" s="89" t="s">
        <v>1623</v>
      </c>
      <c r="I35" s="66"/>
      <c r="J35" s="4"/>
      <c r="K35" s="4"/>
      <c r="L35" s="4"/>
      <c r="M35" s="4"/>
      <c r="N35" s="4"/>
      <c r="O35" s="4"/>
      <c r="P35" s="4"/>
      <c r="Q35" s="4"/>
      <c r="R35" s="4"/>
      <c r="S35" s="4"/>
      <c r="T35" s="4"/>
      <c r="U35" s="4"/>
      <c r="V35" s="4"/>
      <c r="W35" s="4"/>
      <c r="X35" s="4"/>
      <c r="Y35" s="4"/>
      <c r="Z35" s="4"/>
      <c r="AA35" s="4"/>
      <c r="AB35" s="4"/>
      <c r="AC35" s="4"/>
      <c r="AD35" s="4"/>
      <c r="AE35" s="4"/>
      <c r="AF35" s="4"/>
      <c r="AG35" s="4"/>
      <c r="AH35" s="4"/>
      <c r="AI35" s="4"/>
      <c r="AJ35" s="4"/>
      <c r="AK35" s="4"/>
      <c r="AL35" s="4"/>
      <c r="AM35" s="4"/>
      <c r="AN35" s="4"/>
      <c r="AO35" s="4"/>
      <c r="AP35" s="4"/>
      <c r="AQ35" s="4"/>
      <c r="AR35" s="4"/>
      <c r="AS35" s="4"/>
      <c r="AT35" s="4"/>
      <c r="AU35" s="4"/>
      <c r="AV35" s="4"/>
      <c r="AW35" s="4"/>
      <c r="AX35" s="4"/>
      <c r="AY35" s="4"/>
      <c r="AZ35" s="4"/>
      <c r="BA35" s="4"/>
      <c r="BB35" s="4"/>
      <c r="BC35" s="4"/>
      <c r="BD35" s="4"/>
      <c r="BE35" s="4"/>
      <c r="BF35" s="4"/>
      <c r="BG35" s="4"/>
      <c r="BH35" s="4"/>
      <c r="BI35" s="4"/>
      <c r="BJ35" s="4"/>
      <c r="BK35" s="4"/>
      <c r="BL35" s="4"/>
      <c r="BM35" s="4"/>
      <c r="BN35" s="4"/>
      <c r="BO35" s="4"/>
      <c r="BP35" s="4"/>
      <c r="BQ35" s="4"/>
      <c r="BR35" s="4"/>
      <c r="BS35" s="4"/>
      <c r="BT35" s="4"/>
      <c r="BU35" s="4"/>
      <c r="BV35" s="4"/>
      <c r="BW35" s="4"/>
      <c r="BX35" s="4"/>
    </row>
    <row r="36" spans="2:76" ht="15">
      <c r="B36" s="23">
        <f t="shared" si="0"/>
        <v>18</v>
      </c>
      <c r="C36" s="50" t="s">
        <v>1624</v>
      </c>
      <c r="D36" s="50" t="s">
        <v>1625</v>
      </c>
      <c r="E36" s="51" t="s">
        <v>969</v>
      </c>
      <c r="F36" s="51"/>
      <c r="G36" s="19"/>
      <c r="H36" s="19"/>
      <c r="I36" s="66"/>
    </row>
    <row r="37" spans="2:76" ht="15.75">
      <c r="B37" s="23">
        <f t="shared" si="0"/>
        <v>19</v>
      </c>
      <c r="C37" s="26" t="s">
        <v>1656</v>
      </c>
      <c r="D37" s="26" t="s">
        <v>1657</v>
      </c>
      <c r="E37" s="27" t="s">
        <v>326</v>
      </c>
      <c r="F37" s="27">
        <v>4</v>
      </c>
      <c r="G37" s="134" t="s">
        <v>1689</v>
      </c>
      <c r="H37" s="89" t="s">
        <v>1659</v>
      </c>
      <c r="I37" s="19"/>
    </row>
    <row r="38" spans="2:76" s="24" customFormat="1" ht="15">
      <c r="B38" s="23">
        <f t="shared" si="0"/>
        <v>20</v>
      </c>
      <c r="C38" s="26" t="s">
        <v>1660</v>
      </c>
      <c r="D38" s="26" t="s">
        <v>1661</v>
      </c>
      <c r="E38" s="27" t="s">
        <v>296</v>
      </c>
      <c r="F38" s="27">
        <v>20</v>
      </c>
      <c r="G38" s="28" t="s">
        <v>1662</v>
      </c>
      <c r="H38" s="28"/>
      <c r="I38" s="73"/>
    </row>
    <row r="39" spans="2:76" ht="15">
      <c r="B39" s="23">
        <f t="shared" si="0"/>
        <v>21</v>
      </c>
      <c r="C39" s="26" t="s">
        <v>1626</v>
      </c>
      <c r="D39" s="26" t="s">
        <v>1627</v>
      </c>
      <c r="E39" s="27" t="s">
        <v>969</v>
      </c>
      <c r="F39" s="27"/>
      <c r="G39" s="28"/>
      <c r="H39" s="28"/>
      <c r="I39" s="66"/>
    </row>
    <row r="40" spans="2:76" ht="15">
      <c r="B40" s="23">
        <f t="shared" si="0"/>
        <v>22</v>
      </c>
      <c r="C40" s="71" t="s">
        <v>1628</v>
      </c>
      <c r="D40" s="71" t="s">
        <v>482</v>
      </c>
      <c r="E40" s="74" t="s">
        <v>969</v>
      </c>
      <c r="F40" s="72"/>
      <c r="G40" s="73"/>
      <c r="H40" s="73"/>
      <c r="I40" s="66"/>
    </row>
    <row r="41" spans="2:76" ht="15">
      <c r="B41" s="117"/>
    </row>
    <row r="42" spans="2:76" ht="15">
      <c r="B42" s="45"/>
    </row>
    <row r="43" spans="2:76" ht="15">
      <c r="B43" s="45"/>
    </row>
    <row r="44" spans="2:76" ht="15">
      <c r="B44" s="45"/>
    </row>
    <row r="45" spans="2:76" ht="15">
      <c r="B45" s="45"/>
    </row>
    <row r="46" spans="2:76" ht="15">
      <c r="B46" s="45"/>
    </row>
    <row r="47" spans="2:76" ht="15">
      <c r="B47" s="45"/>
    </row>
  </sheetData>
  <mergeCells count="6">
    <mergeCell ref="B1:E1"/>
    <mergeCell ref="B2:E2"/>
    <mergeCell ref="B17:E17"/>
    <mergeCell ref="F2:I2"/>
    <mergeCell ref="F1:I1"/>
    <mergeCell ref="F17:I17"/>
  </mergeCells>
  <phoneticPr fontId="5" type="noConversion"/>
  <pageMargins left="0.7" right="0.7" top="0.75" bottom="0.75" header="0.3" footer="0.3"/>
  <pageSetup paperSize="9" orientation="portrait" horizontalDpi="0" verticalDpi="0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0F44AFC-C038-43DB-9EB1-FB732725FAAE}">
  <sheetPr codeName="工作表49"/>
  <dimension ref="A1:J63"/>
  <sheetViews>
    <sheetView topLeftCell="A47" workbookViewId="0"/>
  </sheetViews>
  <sheetFormatPr defaultColWidth="6.625" defaultRowHeight="13.5"/>
  <cols>
    <col min="1" max="1" width="3.125" style="4" bestFit="1" customWidth="1"/>
    <col min="2" max="2" width="5.5" style="8" customWidth="1"/>
    <col min="3" max="3" width="39" style="4" customWidth="1"/>
    <col min="4" max="4" width="29.625" style="4" customWidth="1"/>
    <col min="5" max="5" width="11.125" style="4" bestFit="1" customWidth="1"/>
    <col min="6" max="6" width="5.5" style="4" bestFit="1" customWidth="1"/>
    <col min="7" max="7" width="45.625" style="4" customWidth="1"/>
    <col min="8" max="8" width="35.625" style="4" bestFit="1" customWidth="1"/>
    <col min="9" max="9" width="15.5" style="4" customWidth="1"/>
    <col min="10" max="16384" width="6.625" style="4"/>
  </cols>
  <sheetData>
    <row r="1" spans="1:10" ht="24">
      <c r="A1" s="1" t="e">
        <f ca="1">HYPERLINK("#'介面'!E"&amp;MATCH(VALUE(RIGHT(CELL("filename"),LEN(CELL("filename"))-FIND("]",CELL("filename")))),介面!D:D,"0"),"←")</f>
        <v>#VALUE!</v>
      </c>
      <c r="B1" s="207" t="s">
        <v>121</v>
      </c>
      <c r="C1" s="208"/>
      <c r="D1" s="208"/>
      <c r="E1" s="209"/>
      <c r="F1" s="221" t="s">
        <v>1690</v>
      </c>
      <c r="G1" s="222"/>
      <c r="H1" s="222"/>
      <c r="I1" s="223"/>
    </row>
    <row r="2" spans="1:10" ht="24">
      <c r="A2" s="1"/>
      <c r="B2" s="210" t="s">
        <v>275</v>
      </c>
      <c r="C2" s="211"/>
      <c r="D2" s="211"/>
      <c r="E2" s="212"/>
      <c r="F2" s="219"/>
      <c r="G2" s="220"/>
      <c r="H2" s="220"/>
      <c r="I2" s="215"/>
    </row>
    <row r="3" spans="1:10" s="8" customFormat="1" ht="15">
      <c r="A3" s="6"/>
      <c r="B3" s="7" t="s">
        <v>276</v>
      </c>
      <c r="C3" s="56" t="s">
        <v>277</v>
      </c>
      <c r="D3" s="56" t="s">
        <v>278</v>
      </c>
      <c r="E3" s="57" t="s">
        <v>279</v>
      </c>
      <c r="F3" s="57" t="s">
        <v>280</v>
      </c>
      <c r="G3" s="56" t="s">
        <v>281</v>
      </c>
      <c r="H3" s="141" t="s">
        <v>11</v>
      </c>
      <c r="I3" s="56" t="s">
        <v>282</v>
      </c>
      <c r="J3" s="4"/>
    </row>
    <row r="4" spans="1:10" s="24" customFormat="1" ht="15.75">
      <c r="A4" s="25"/>
      <c r="B4" s="46">
        <v>1</v>
      </c>
      <c r="C4" s="80" t="s">
        <v>297</v>
      </c>
      <c r="D4" s="80" t="s">
        <v>298</v>
      </c>
      <c r="E4" s="81" t="s">
        <v>285</v>
      </c>
      <c r="F4" s="81">
        <v>500</v>
      </c>
      <c r="G4" s="66" t="s">
        <v>330</v>
      </c>
      <c r="H4" s="142" t="s">
        <v>302</v>
      </c>
      <c r="I4" s="66" t="s">
        <v>287</v>
      </c>
      <c r="J4" s="4"/>
    </row>
    <row r="5" spans="1:10" s="24" customFormat="1" ht="15">
      <c r="A5" s="25"/>
      <c r="B5" s="46">
        <v>2</v>
      </c>
      <c r="C5" s="50" t="s">
        <v>303</v>
      </c>
      <c r="D5" s="76" t="s">
        <v>304</v>
      </c>
      <c r="E5" s="51" t="s">
        <v>296</v>
      </c>
      <c r="F5" s="51">
        <v>20</v>
      </c>
      <c r="G5" s="66" t="s">
        <v>331</v>
      </c>
      <c r="H5" s="142"/>
      <c r="I5" s="19" t="s">
        <v>287</v>
      </c>
      <c r="J5" s="4"/>
    </row>
    <row r="6" spans="1:10" s="95" customFormat="1" ht="15.75">
      <c r="A6" s="93"/>
      <c r="B6" s="46">
        <v>3</v>
      </c>
      <c r="C6" s="80" t="s">
        <v>1195</v>
      </c>
      <c r="D6" s="80" t="s">
        <v>1196</v>
      </c>
      <c r="E6" s="81" t="s">
        <v>316</v>
      </c>
      <c r="F6" s="81"/>
      <c r="G6" s="91" t="s">
        <v>985</v>
      </c>
      <c r="H6" s="142"/>
      <c r="I6" s="19" t="s">
        <v>287</v>
      </c>
      <c r="J6" s="4"/>
    </row>
    <row r="7" spans="1:10" s="95" customFormat="1" ht="15.75">
      <c r="A7" s="93"/>
      <c r="B7" s="46">
        <v>4</v>
      </c>
      <c r="C7" s="80" t="s">
        <v>1197</v>
      </c>
      <c r="D7" s="80" t="s">
        <v>1198</v>
      </c>
      <c r="E7" s="81" t="s">
        <v>316</v>
      </c>
      <c r="F7" s="81"/>
      <c r="G7" s="91" t="s">
        <v>988</v>
      </c>
      <c r="H7" s="142"/>
      <c r="I7" s="19" t="s">
        <v>287</v>
      </c>
      <c r="J7" s="4"/>
    </row>
    <row r="8" spans="1:10" s="24" customFormat="1" ht="75">
      <c r="A8" s="25"/>
      <c r="B8" s="46">
        <v>5</v>
      </c>
      <c r="C8" s="50" t="s">
        <v>1691</v>
      </c>
      <c r="D8" s="50" t="s">
        <v>1692</v>
      </c>
      <c r="E8" s="87" t="s">
        <v>285</v>
      </c>
      <c r="F8" s="87">
        <v>20</v>
      </c>
      <c r="G8" s="52" t="s">
        <v>1693</v>
      </c>
      <c r="H8" s="63" t="s">
        <v>1694</v>
      </c>
      <c r="I8" s="150" t="s">
        <v>639</v>
      </c>
      <c r="J8" s="4"/>
    </row>
    <row r="9" spans="1:10" s="24" customFormat="1" ht="63">
      <c r="B9" s="46">
        <v>6</v>
      </c>
      <c r="C9" s="129" t="s">
        <v>1695</v>
      </c>
      <c r="D9" s="86" t="s">
        <v>1696</v>
      </c>
      <c r="E9" s="87" t="s">
        <v>285</v>
      </c>
      <c r="F9" s="87">
        <v>20</v>
      </c>
      <c r="G9" s="52" t="s">
        <v>1697</v>
      </c>
      <c r="H9" s="88" t="s">
        <v>1698</v>
      </c>
      <c r="I9" s="150" t="s">
        <v>639</v>
      </c>
      <c r="J9" s="4"/>
    </row>
    <row r="10" spans="1:10" s="24" customFormat="1" ht="63">
      <c r="A10" s="25"/>
      <c r="B10" s="46">
        <v>7</v>
      </c>
      <c r="C10" s="50" t="s">
        <v>1699</v>
      </c>
      <c r="D10" s="86" t="s">
        <v>1700</v>
      </c>
      <c r="E10" s="87" t="s">
        <v>285</v>
      </c>
      <c r="F10" s="87">
        <v>20</v>
      </c>
      <c r="G10" s="88" t="s">
        <v>1701</v>
      </c>
      <c r="H10" s="88" t="s">
        <v>1702</v>
      </c>
      <c r="I10" s="150" t="s">
        <v>639</v>
      </c>
    </row>
    <row r="11" spans="1:10" s="24" customFormat="1" ht="63">
      <c r="B11" s="46">
        <v>8</v>
      </c>
      <c r="C11" s="129" t="s">
        <v>1703</v>
      </c>
      <c r="D11" s="86" t="s">
        <v>1704</v>
      </c>
      <c r="E11" s="87" t="s">
        <v>326</v>
      </c>
      <c r="F11" s="87">
        <v>4</v>
      </c>
      <c r="G11" s="88" t="s">
        <v>1705</v>
      </c>
      <c r="H11" s="88" t="s">
        <v>1706</v>
      </c>
      <c r="I11" s="150" t="s">
        <v>639</v>
      </c>
    </row>
    <row r="12" spans="1:10" s="24" customFormat="1" ht="15">
      <c r="A12" s="25"/>
      <c r="B12" s="46">
        <v>9</v>
      </c>
      <c r="C12" s="50" t="s">
        <v>637</v>
      </c>
      <c r="D12" s="50" t="s">
        <v>364</v>
      </c>
      <c r="E12" s="51" t="s">
        <v>296</v>
      </c>
      <c r="F12" s="51">
        <v>20</v>
      </c>
      <c r="G12" s="66" t="s">
        <v>331</v>
      </c>
      <c r="H12" s="66" t="s">
        <v>638</v>
      </c>
      <c r="I12" s="150" t="s">
        <v>639</v>
      </c>
    </row>
    <row r="13" spans="1:10" s="24" customFormat="1" ht="15">
      <c r="A13" s="25"/>
      <c r="B13" s="46">
        <v>10</v>
      </c>
      <c r="C13" s="50" t="s">
        <v>640</v>
      </c>
      <c r="D13" s="76" t="s">
        <v>641</v>
      </c>
      <c r="E13" s="51" t="s">
        <v>418</v>
      </c>
      <c r="F13" s="51">
        <v>11</v>
      </c>
      <c r="G13" s="66" t="s">
        <v>642</v>
      </c>
      <c r="H13" s="66" t="s">
        <v>638</v>
      </c>
      <c r="I13" s="19" t="s">
        <v>639</v>
      </c>
    </row>
    <row r="14" spans="1:10" ht="15.75">
      <c r="A14" s="1"/>
      <c r="B14" s="2"/>
      <c r="C14" s="3"/>
      <c r="D14" s="3"/>
      <c r="E14" s="3"/>
      <c r="F14" s="3"/>
      <c r="G14" s="3"/>
      <c r="H14" s="3"/>
    </row>
    <row r="15" spans="1:10" ht="24">
      <c r="A15" s="1"/>
      <c r="B15" s="204" t="s">
        <v>291</v>
      </c>
      <c r="C15" s="205"/>
      <c r="D15" s="205"/>
      <c r="E15" s="206"/>
      <c r="F15" s="204"/>
      <c r="G15" s="205"/>
      <c r="H15" s="205"/>
      <c r="I15" s="206"/>
    </row>
    <row r="16" spans="1:10" s="8" customFormat="1" ht="15">
      <c r="A16" s="6"/>
      <c r="B16" s="7" t="s">
        <v>276</v>
      </c>
      <c r="C16" s="56" t="s">
        <v>277</v>
      </c>
      <c r="D16" s="56" t="s">
        <v>278</v>
      </c>
      <c r="E16" s="57" t="s">
        <v>279</v>
      </c>
      <c r="F16" s="57" t="s">
        <v>280</v>
      </c>
      <c r="G16" s="56" t="s">
        <v>11</v>
      </c>
      <c r="H16" s="56" t="s">
        <v>292</v>
      </c>
      <c r="I16" s="56" t="s">
        <v>293</v>
      </c>
    </row>
    <row r="17" spans="1:9" s="24" customFormat="1" ht="15.75">
      <c r="A17" s="25"/>
      <c r="B17" s="23">
        <v>1</v>
      </c>
      <c r="C17" s="86" t="s">
        <v>1592</v>
      </c>
      <c r="D17" s="86" t="s">
        <v>1707</v>
      </c>
      <c r="E17" s="87" t="s">
        <v>296</v>
      </c>
      <c r="F17" s="87">
        <v>20</v>
      </c>
      <c r="G17" s="89"/>
      <c r="H17" s="89"/>
      <c r="I17" s="66"/>
    </row>
    <row r="18" spans="1:9" s="24" customFormat="1" ht="15.75">
      <c r="A18" s="25"/>
      <c r="B18" s="23">
        <f>B17+1</f>
        <v>2</v>
      </c>
      <c r="C18" s="120" t="s">
        <v>453</v>
      </c>
      <c r="D18" s="120" t="s">
        <v>304</v>
      </c>
      <c r="E18" s="74" t="s">
        <v>452</v>
      </c>
      <c r="F18" s="74">
        <v>20</v>
      </c>
      <c r="G18" s="119"/>
      <c r="H18" s="73" t="s">
        <v>41</v>
      </c>
      <c r="I18" s="86" t="s">
        <v>304</v>
      </c>
    </row>
    <row r="19" spans="1:9" s="24" customFormat="1" ht="15.75">
      <c r="A19" s="25"/>
      <c r="B19" s="23">
        <f t="shared" ref="B19:B62" si="0">B18+1</f>
        <v>3</v>
      </c>
      <c r="C19" s="86" t="s">
        <v>637</v>
      </c>
      <c r="D19" s="86" t="s">
        <v>364</v>
      </c>
      <c r="E19" s="87" t="s">
        <v>296</v>
      </c>
      <c r="F19" s="87">
        <v>20</v>
      </c>
      <c r="G19" s="88"/>
      <c r="H19" s="73" t="s">
        <v>84</v>
      </c>
      <c r="I19" s="26" t="s">
        <v>364</v>
      </c>
    </row>
    <row r="20" spans="1:9" s="24" customFormat="1" ht="15.75">
      <c r="A20" s="25"/>
      <c r="B20" s="23">
        <f t="shared" si="0"/>
        <v>4</v>
      </c>
      <c r="C20" s="86" t="s">
        <v>1199</v>
      </c>
      <c r="D20" s="86" t="s">
        <v>1200</v>
      </c>
      <c r="E20" s="87" t="s">
        <v>316</v>
      </c>
      <c r="F20" s="87"/>
      <c r="G20" s="89"/>
      <c r="H20" s="89"/>
      <c r="I20" s="66"/>
    </row>
    <row r="21" spans="1:9" s="24" customFormat="1" ht="15.75">
      <c r="A21" s="25"/>
      <c r="B21" s="23">
        <f t="shared" si="0"/>
        <v>5</v>
      </c>
      <c r="C21" s="129" t="s">
        <v>1708</v>
      </c>
      <c r="D21" s="86" t="s">
        <v>1202</v>
      </c>
      <c r="E21" s="87" t="s">
        <v>326</v>
      </c>
      <c r="F21" s="87">
        <v>4</v>
      </c>
      <c r="G21" s="88" t="s">
        <v>1203</v>
      </c>
      <c r="H21" s="89"/>
      <c r="I21" s="50"/>
    </row>
    <row r="22" spans="1:9" s="24" customFormat="1" ht="63">
      <c r="A22" s="25"/>
      <c r="B22" s="23">
        <f t="shared" si="0"/>
        <v>6</v>
      </c>
      <c r="C22" s="129" t="s">
        <v>1709</v>
      </c>
      <c r="D22" s="86" t="s">
        <v>1710</v>
      </c>
      <c r="E22" s="87" t="s">
        <v>326</v>
      </c>
      <c r="F22" s="87">
        <v>4</v>
      </c>
      <c r="G22" s="88" t="s">
        <v>1711</v>
      </c>
      <c r="H22" s="89" t="s">
        <v>1712</v>
      </c>
      <c r="I22" s="50"/>
    </row>
    <row r="23" spans="1:9" s="24" customFormat="1" ht="63">
      <c r="B23" s="23">
        <f t="shared" si="0"/>
        <v>7</v>
      </c>
      <c r="C23" s="129" t="s">
        <v>1713</v>
      </c>
      <c r="D23" s="86" t="s">
        <v>1714</v>
      </c>
      <c r="E23" s="87" t="s">
        <v>326</v>
      </c>
      <c r="F23" s="87">
        <v>4</v>
      </c>
      <c r="G23" s="88" t="s">
        <v>1715</v>
      </c>
      <c r="H23" s="89"/>
      <c r="I23" s="64"/>
    </row>
    <row r="24" spans="1:9" s="24" customFormat="1" ht="30">
      <c r="B24" s="23">
        <f t="shared" si="0"/>
        <v>8</v>
      </c>
      <c r="C24" s="26" t="s">
        <v>1716</v>
      </c>
      <c r="D24" s="26" t="s">
        <v>1717</v>
      </c>
      <c r="E24" s="87" t="s">
        <v>326</v>
      </c>
      <c r="F24" s="87">
        <v>4</v>
      </c>
      <c r="G24" s="121" t="s">
        <v>1718</v>
      </c>
      <c r="H24" s="28" t="s">
        <v>435</v>
      </c>
      <c r="I24" s="64"/>
    </row>
    <row r="25" spans="1:9" s="24" customFormat="1" ht="30">
      <c r="B25" s="23">
        <f t="shared" si="0"/>
        <v>9</v>
      </c>
      <c r="C25" s="26" t="s">
        <v>1719</v>
      </c>
      <c r="D25" s="26" t="s">
        <v>1720</v>
      </c>
      <c r="E25" s="27" t="s">
        <v>1721</v>
      </c>
      <c r="F25" s="27">
        <v>6</v>
      </c>
      <c r="G25" s="29" t="s">
        <v>1722</v>
      </c>
      <c r="H25" s="28"/>
      <c r="I25" s="26"/>
    </row>
    <row r="26" spans="1:9" s="24" customFormat="1" ht="15.75">
      <c r="B26" s="23">
        <f t="shared" si="0"/>
        <v>10</v>
      </c>
      <c r="C26" s="71" t="s">
        <v>1723</v>
      </c>
      <c r="D26" s="71" t="s">
        <v>1724</v>
      </c>
      <c r="E26" s="87" t="s">
        <v>421</v>
      </c>
      <c r="F26" s="87"/>
      <c r="G26" s="79" t="s">
        <v>1227</v>
      </c>
      <c r="H26" s="73"/>
      <c r="I26" s="66"/>
    </row>
    <row r="27" spans="1:9" s="24" customFormat="1" ht="15.75">
      <c r="B27" s="23">
        <f t="shared" si="0"/>
        <v>11</v>
      </c>
      <c r="C27" s="71" t="s">
        <v>1725</v>
      </c>
      <c r="D27" s="71" t="s">
        <v>1726</v>
      </c>
      <c r="E27" s="87" t="s">
        <v>421</v>
      </c>
      <c r="F27" s="87"/>
      <c r="G27" s="79" t="s">
        <v>1227</v>
      </c>
      <c r="H27" s="73"/>
      <c r="I27" s="73"/>
    </row>
    <row r="28" spans="1:9" s="24" customFormat="1" ht="15.75">
      <c r="B28" s="23">
        <f t="shared" si="0"/>
        <v>12</v>
      </c>
      <c r="C28" s="86" t="s">
        <v>1727</v>
      </c>
      <c r="D28" s="86" t="s">
        <v>1668</v>
      </c>
      <c r="E28" s="87" t="s">
        <v>296</v>
      </c>
      <c r="F28" s="87">
        <v>20</v>
      </c>
      <c r="G28" s="89" t="s">
        <v>1728</v>
      </c>
      <c r="H28" s="73" t="s">
        <v>119</v>
      </c>
      <c r="I28" s="66" t="s">
        <v>1668</v>
      </c>
    </row>
    <row r="29" spans="1:9" s="24" customFormat="1" ht="15.75">
      <c r="B29" s="23">
        <f t="shared" si="0"/>
        <v>13</v>
      </c>
      <c r="C29" s="26" t="s">
        <v>1729</v>
      </c>
      <c r="D29" s="26" t="s">
        <v>1730</v>
      </c>
      <c r="E29" s="87" t="s">
        <v>421</v>
      </c>
      <c r="F29" s="87"/>
      <c r="G29" s="79" t="s">
        <v>1731</v>
      </c>
      <c r="H29" s="28"/>
      <c r="I29" s="19"/>
    </row>
    <row r="30" spans="1:9" s="24" customFormat="1" ht="15.75">
      <c r="B30" s="23">
        <f t="shared" si="0"/>
        <v>14</v>
      </c>
      <c r="C30" s="26" t="s">
        <v>1732</v>
      </c>
      <c r="D30" s="26" t="s">
        <v>1733</v>
      </c>
      <c r="E30" s="87" t="s">
        <v>421</v>
      </c>
      <c r="F30" s="87"/>
      <c r="G30" s="79" t="s">
        <v>1731</v>
      </c>
      <c r="H30" s="28"/>
      <c r="I30" s="66"/>
    </row>
    <row r="31" spans="1:9" s="24" customFormat="1" ht="15.75">
      <c r="B31" s="23">
        <f t="shared" si="0"/>
        <v>15</v>
      </c>
      <c r="C31" s="26" t="s">
        <v>1734</v>
      </c>
      <c r="D31" s="26" t="s">
        <v>1735</v>
      </c>
      <c r="E31" s="87" t="s">
        <v>421</v>
      </c>
      <c r="F31" s="87"/>
      <c r="G31" s="79" t="s">
        <v>1731</v>
      </c>
      <c r="H31" s="28"/>
      <c r="I31" s="66"/>
    </row>
    <row r="32" spans="1:9" s="24" customFormat="1" ht="15.75">
      <c r="B32" s="23">
        <f t="shared" si="0"/>
        <v>16</v>
      </c>
      <c r="C32" s="26" t="s">
        <v>1736</v>
      </c>
      <c r="D32" s="26" t="s">
        <v>1737</v>
      </c>
      <c r="E32" s="87" t="s">
        <v>421</v>
      </c>
      <c r="F32" s="87"/>
      <c r="G32" s="79" t="s">
        <v>1731</v>
      </c>
      <c r="H32" s="28"/>
      <c r="I32" s="66"/>
    </row>
    <row r="33" spans="1:9" s="24" customFormat="1" ht="15.75">
      <c r="B33" s="23">
        <f t="shared" si="0"/>
        <v>17</v>
      </c>
      <c r="C33" s="86" t="s">
        <v>1738</v>
      </c>
      <c r="D33" s="86" t="s">
        <v>1593</v>
      </c>
      <c r="E33" s="87" t="s">
        <v>296</v>
      </c>
      <c r="F33" s="87">
        <v>20</v>
      </c>
      <c r="G33" s="89"/>
      <c r="H33" s="73" t="s">
        <v>115</v>
      </c>
      <c r="I33" s="86" t="s">
        <v>1593</v>
      </c>
    </row>
    <row r="34" spans="1:9" s="24" customFormat="1" ht="15.75">
      <c r="B34" s="23">
        <f t="shared" si="0"/>
        <v>18</v>
      </c>
      <c r="C34" s="86" t="s">
        <v>1739</v>
      </c>
      <c r="D34" s="86" t="s">
        <v>1740</v>
      </c>
      <c r="E34" s="87" t="s">
        <v>326</v>
      </c>
      <c r="F34" s="87">
        <v>4</v>
      </c>
      <c r="G34" s="88" t="s">
        <v>448</v>
      </c>
      <c r="H34" s="89" t="s">
        <v>435</v>
      </c>
      <c r="I34" s="66"/>
    </row>
    <row r="35" spans="1:9" s="24" customFormat="1" ht="15.75">
      <c r="B35" s="23">
        <f t="shared" si="0"/>
        <v>19</v>
      </c>
      <c r="C35" s="129" t="s">
        <v>1741</v>
      </c>
      <c r="D35" s="86" t="s">
        <v>1742</v>
      </c>
      <c r="E35" s="87" t="s">
        <v>421</v>
      </c>
      <c r="F35" s="87"/>
      <c r="G35" s="88" t="s">
        <v>1227</v>
      </c>
      <c r="H35" s="89"/>
      <c r="I35" s="66"/>
    </row>
    <row r="36" spans="1:9" s="24" customFormat="1" ht="15.75">
      <c r="A36" s="25"/>
      <c r="B36" s="46">
        <v>7</v>
      </c>
      <c r="C36" s="71" t="s">
        <v>1743</v>
      </c>
      <c r="D36" s="71" t="s">
        <v>1744</v>
      </c>
      <c r="E36" s="74" t="s">
        <v>285</v>
      </c>
      <c r="F36" s="72">
        <v>1</v>
      </c>
      <c r="G36" s="88" t="s">
        <v>1745</v>
      </c>
      <c r="H36" s="89" t="s">
        <v>1746</v>
      </c>
      <c r="I36" s="66"/>
    </row>
    <row r="37" spans="1:9" s="24" customFormat="1" ht="15.75">
      <c r="A37" s="25"/>
      <c r="B37" s="46">
        <v>8</v>
      </c>
      <c r="C37" s="70" t="s">
        <v>1747</v>
      </c>
      <c r="D37" s="71" t="s">
        <v>1748</v>
      </c>
      <c r="E37" s="72" t="s">
        <v>704</v>
      </c>
      <c r="F37" s="72" t="s">
        <v>705</v>
      </c>
      <c r="G37" s="88"/>
      <c r="H37" s="89"/>
      <c r="I37" s="19"/>
    </row>
    <row r="38" spans="1:9" s="24" customFormat="1" ht="63">
      <c r="B38" s="23">
        <f>B35+1</f>
        <v>20</v>
      </c>
      <c r="C38" s="129" t="s">
        <v>1749</v>
      </c>
      <c r="D38" s="86" t="s">
        <v>1750</v>
      </c>
      <c r="E38" s="87" t="s">
        <v>326</v>
      </c>
      <c r="F38" s="87">
        <v>4</v>
      </c>
      <c r="G38" s="88" t="s">
        <v>1751</v>
      </c>
      <c r="H38" s="89" t="s">
        <v>1752</v>
      </c>
      <c r="I38" s="66"/>
    </row>
    <row r="39" spans="1:9" s="24" customFormat="1" ht="15.75">
      <c r="B39" s="23">
        <f t="shared" si="0"/>
        <v>21</v>
      </c>
      <c r="C39" s="71" t="s">
        <v>1753</v>
      </c>
      <c r="D39" s="86" t="s">
        <v>1754</v>
      </c>
      <c r="E39" s="87" t="s">
        <v>296</v>
      </c>
      <c r="F39" s="87">
        <v>20</v>
      </c>
      <c r="G39" s="88"/>
      <c r="H39" s="73" t="s">
        <v>1755</v>
      </c>
      <c r="I39" s="66" t="s">
        <v>1754</v>
      </c>
    </row>
    <row r="40" spans="1:9" s="24" customFormat="1" ht="75">
      <c r="B40" s="23">
        <f t="shared" si="0"/>
        <v>22</v>
      </c>
      <c r="C40" s="129" t="s">
        <v>1756</v>
      </c>
      <c r="D40" s="86" t="s">
        <v>1757</v>
      </c>
      <c r="E40" s="87" t="s">
        <v>326</v>
      </c>
      <c r="F40" s="87">
        <v>4</v>
      </c>
      <c r="G40" s="146" t="s">
        <v>1694</v>
      </c>
      <c r="H40" s="89" t="s">
        <v>1758</v>
      </c>
      <c r="I40" s="66"/>
    </row>
    <row r="41" spans="1:9" s="24" customFormat="1" ht="63">
      <c r="B41" s="23">
        <f t="shared" si="0"/>
        <v>23</v>
      </c>
      <c r="C41" s="129" t="s">
        <v>1695</v>
      </c>
      <c r="D41" s="86" t="s">
        <v>1696</v>
      </c>
      <c r="E41" s="87" t="s">
        <v>326</v>
      </c>
      <c r="F41" s="87">
        <v>4</v>
      </c>
      <c r="G41" s="88" t="s">
        <v>1698</v>
      </c>
      <c r="H41" s="89" t="s">
        <v>1759</v>
      </c>
      <c r="I41" s="66"/>
    </row>
    <row r="42" spans="1:9" s="24" customFormat="1" ht="15">
      <c r="B42" s="23">
        <f t="shared" si="0"/>
        <v>24</v>
      </c>
      <c r="C42" s="71" t="s">
        <v>1760</v>
      </c>
      <c r="D42" s="71" t="s">
        <v>1761</v>
      </c>
      <c r="E42" s="74" t="s">
        <v>456</v>
      </c>
      <c r="F42" s="72">
        <v>200</v>
      </c>
      <c r="G42" s="73"/>
      <c r="H42" s="73"/>
      <c r="I42" s="66"/>
    </row>
    <row r="43" spans="1:9" s="24" customFormat="1" ht="15">
      <c r="B43" s="23">
        <f t="shared" si="0"/>
        <v>25</v>
      </c>
      <c r="C43" s="26" t="s">
        <v>1762</v>
      </c>
      <c r="D43" s="26" t="s">
        <v>1763</v>
      </c>
      <c r="E43" s="27" t="s">
        <v>421</v>
      </c>
      <c r="F43" s="27"/>
      <c r="G43" s="28"/>
      <c r="H43" s="28"/>
      <c r="I43" s="66"/>
    </row>
    <row r="44" spans="1:9" s="24" customFormat="1" ht="15.75">
      <c r="B44" s="23">
        <f t="shared" si="0"/>
        <v>26</v>
      </c>
      <c r="C44" s="129" t="s">
        <v>1764</v>
      </c>
      <c r="D44" s="71" t="s">
        <v>1765</v>
      </c>
      <c r="E44" s="27" t="s">
        <v>969</v>
      </c>
      <c r="F44" s="27"/>
      <c r="G44" s="88" t="s">
        <v>1227</v>
      </c>
      <c r="H44" s="89"/>
      <c r="I44" s="66"/>
    </row>
    <row r="45" spans="1:9" s="24" customFormat="1" ht="15.75">
      <c r="B45" s="23">
        <f t="shared" si="0"/>
        <v>27</v>
      </c>
      <c r="C45" s="129" t="s">
        <v>1766</v>
      </c>
      <c r="D45" s="71" t="s">
        <v>1767</v>
      </c>
      <c r="E45" s="27" t="s">
        <v>969</v>
      </c>
      <c r="F45" s="27"/>
      <c r="G45" s="88" t="s">
        <v>1227</v>
      </c>
      <c r="H45" s="89"/>
      <c r="I45" s="66"/>
    </row>
    <row r="46" spans="1:9" s="24" customFormat="1" ht="15.75">
      <c r="B46" s="23">
        <f t="shared" si="0"/>
        <v>28</v>
      </c>
      <c r="C46" s="129" t="s">
        <v>1768</v>
      </c>
      <c r="D46" s="71" t="s">
        <v>1769</v>
      </c>
      <c r="E46" s="27" t="s">
        <v>1721</v>
      </c>
      <c r="F46" s="27">
        <v>6</v>
      </c>
      <c r="G46" s="88"/>
      <c r="H46" s="89"/>
      <c r="I46" s="66"/>
    </row>
    <row r="47" spans="1:9" s="24" customFormat="1" ht="15.75">
      <c r="B47" s="23">
        <f t="shared" si="0"/>
        <v>29</v>
      </c>
      <c r="C47" s="129" t="s">
        <v>1770</v>
      </c>
      <c r="D47" s="71" t="s">
        <v>1771</v>
      </c>
      <c r="E47" s="27" t="s">
        <v>1721</v>
      </c>
      <c r="F47" s="27">
        <v>6</v>
      </c>
      <c r="G47" s="88"/>
      <c r="H47" s="89"/>
      <c r="I47" s="66"/>
    </row>
    <row r="48" spans="1:9" s="24" customFormat="1" ht="15.75">
      <c r="B48" s="23">
        <f t="shared" si="0"/>
        <v>30</v>
      </c>
      <c r="C48" s="129" t="s">
        <v>1772</v>
      </c>
      <c r="D48" s="71" t="s">
        <v>1773</v>
      </c>
      <c r="E48" s="27" t="s">
        <v>1721</v>
      </c>
      <c r="F48" s="27">
        <v>6</v>
      </c>
      <c r="G48" s="88"/>
      <c r="H48" s="89"/>
      <c r="I48" s="66"/>
    </row>
    <row r="49" spans="2:9" s="24" customFormat="1" ht="31.5">
      <c r="B49" s="23">
        <f t="shared" si="0"/>
        <v>31</v>
      </c>
      <c r="C49" s="129" t="s">
        <v>1774</v>
      </c>
      <c r="D49" s="26" t="s">
        <v>1775</v>
      </c>
      <c r="E49" s="27" t="s">
        <v>285</v>
      </c>
      <c r="F49" s="27">
        <v>500</v>
      </c>
      <c r="G49" s="88" t="s">
        <v>1776</v>
      </c>
      <c r="H49" s="89"/>
      <c r="I49" s="66"/>
    </row>
    <row r="50" spans="2:9" s="24" customFormat="1" ht="63">
      <c r="B50" s="23">
        <f t="shared" si="0"/>
        <v>32</v>
      </c>
      <c r="C50" s="129" t="s">
        <v>1777</v>
      </c>
      <c r="D50" s="86" t="s">
        <v>1700</v>
      </c>
      <c r="E50" s="87" t="s">
        <v>326</v>
      </c>
      <c r="F50" s="87">
        <v>4</v>
      </c>
      <c r="G50" s="88" t="s">
        <v>1702</v>
      </c>
      <c r="H50" s="89" t="s">
        <v>1778</v>
      </c>
      <c r="I50" s="66"/>
    </row>
    <row r="51" spans="2:9" s="24" customFormat="1" ht="63">
      <c r="B51" s="23">
        <f t="shared" si="0"/>
        <v>33</v>
      </c>
      <c r="C51" s="129" t="s">
        <v>1703</v>
      </c>
      <c r="D51" s="86" t="s">
        <v>1704</v>
      </c>
      <c r="E51" s="87" t="s">
        <v>326</v>
      </c>
      <c r="F51" s="87">
        <v>4</v>
      </c>
      <c r="G51" s="88" t="s">
        <v>1706</v>
      </c>
      <c r="H51" s="89" t="s">
        <v>1779</v>
      </c>
      <c r="I51" s="66"/>
    </row>
    <row r="52" spans="2:9" s="24" customFormat="1" ht="16.5" customHeight="1">
      <c r="B52" s="23">
        <f t="shared" si="0"/>
        <v>34</v>
      </c>
      <c r="C52" s="129" t="s">
        <v>1780</v>
      </c>
      <c r="D52" s="71" t="s">
        <v>1781</v>
      </c>
      <c r="E52" s="72" t="s">
        <v>285</v>
      </c>
      <c r="F52" s="72">
        <v>100</v>
      </c>
      <c r="G52" s="88"/>
      <c r="H52" s="89"/>
      <c r="I52" s="66"/>
    </row>
    <row r="53" spans="2:9" s="24" customFormat="1" ht="16.5" customHeight="1">
      <c r="B53" s="23">
        <f t="shared" si="0"/>
        <v>35</v>
      </c>
      <c r="C53" s="26" t="s">
        <v>1782</v>
      </c>
      <c r="D53" s="26" t="s">
        <v>1783</v>
      </c>
      <c r="E53" s="27" t="s">
        <v>285</v>
      </c>
      <c r="F53" s="27">
        <v>3</v>
      </c>
      <c r="G53" s="29" t="s">
        <v>1784</v>
      </c>
      <c r="H53" s="89" t="s">
        <v>1785</v>
      </c>
      <c r="I53" s="66"/>
    </row>
    <row r="54" spans="2:9" s="24" customFormat="1" ht="16.5" customHeight="1">
      <c r="B54" s="23">
        <f t="shared" si="0"/>
        <v>36</v>
      </c>
      <c r="C54" s="26" t="s">
        <v>1786</v>
      </c>
      <c r="D54" s="26" t="s">
        <v>1787</v>
      </c>
      <c r="E54" s="27" t="s">
        <v>421</v>
      </c>
      <c r="F54" s="27"/>
      <c r="G54" s="28"/>
      <c r="H54" s="28"/>
      <c r="I54" s="66"/>
    </row>
    <row r="55" spans="2:9" s="24" customFormat="1" ht="16.5" customHeight="1">
      <c r="B55" s="23">
        <f t="shared" si="0"/>
        <v>37</v>
      </c>
      <c r="C55" s="26" t="s">
        <v>1788</v>
      </c>
      <c r="D55" s="26" t="s">
        <v>1789</v>
      </c>
      <c r="E55" s="87" t="s">
        <v>421</v>
      </c>
      <c r="F55" s="87"/>
      <c r="G55" s="79"/>
      <c r="H55" s="28"/>
      <c r="I55" s="66"/>
    </row>
    <row r="56" spans="2:9" s="24" customFormat="1" ht="16.5" customHeight="1">
      <c r="B56" s="23">
        <f t="shared" si="0"/>
        <v>38</v>
      </c>
      <c r="C56" s="26" t="s">
        <v>1790</v>
      </c>
      <c r="D56" s="26" t="s">
        <v>1791</v>
      </c>
      <c r="E56" s="87" t="s">
        <v>421</v>
      </c>
      <c r="F56" s="87"/>
      <c r="G56" s="79"/>
      <c r="H56" s="28"/>
      <c r="I56" s="66"/>
    </row>
    <row r="57" spans="2:9" s="24" customFormat="1" ht="16.5" customHeight="1">
      <c r="B57" s="23">
        <f t="shared" si="0"/>
        <v>39</v>
      </c>
      <c r="C57" s="26" t="s">
        <v>1792</v>
      </c>
      <c r="D57" s="26" t="s">
        <v>1793</v>
      </c>
      <c r="E57" s="27" t="s">
        <v>1721</v>
      </c>
      <c r="F57" s="27">
        <v>6</v>
      </c>
      <c r="G57" s="79"/>
      <c r="H57" s="28"/>
      <c r="I57" s="66"/>
    </row>
    <row r="58" spans="2:9" s="24" customFormat="1" ht="16.5" customHeight="1">
      <c r="B58" s="23">
        <f t="shared" si="0"/>
        <v>40</v>
      </c>
      <c r="C58" s="26" t="s">
        <v>1794</v>
      </c>
      <c r="D58" s="26" t="s">
        <v>1795</v>
      </c>
      <c r="E58" s="27" t="s">
        <v>285</v>
      </c>
      <c r="F58" s="27">
        <v>500</v>
      </c>
      <c r="G58" s="79" t="s">
        <v>1796</v>
      </c>
      <c r="H58" s="28"/>
      <c r="I58" s="66"/>
    </row>
    <row r="59" spans="2:9" ht="16.5" customHeight="1">
      <c r="B59" s="23">
        <f t="shared" si="0"/>
        <v>41</v>
      </c>
      <c r="C59" s="26" t="s">
        <v>1797</v>
      </c>
      <c r="D59" s="26" t="s">
        <v>1657</v>
      </c>
      <c r="E59" s="27" t="s">
        <v>326</v>
      </c>
      <c r="F59" s="27">
        <v>4</v>
      </c>
      <c r="G59" s="134" t="s">
        <v>1689</v>
      </c>
      <c r="H59" s="89" t="s">
        <v>1659</v>
      </c>
      <c r="I59" s="66"/>
    </row>
    <row r="60" spans="2:9" s="24" customFormat="1" ht="16.5" customHeight="1">
      <c r="B60" s="23">
        <f t="shared" si="0"/>
        <v>42</v>
      </c>
      <c r="C60" s="26" t="s">
        <v>1660</v>
      </c>
      <c r="D60" s="26" t="s">
        <v>1661</v>
      </c>
      <c r="E60" s="27" t="s">
        <v>296</v>
      </c>
      <c r="F60" s="27">
        <v>20</v>
      </c>
      <c r="G60" s="28" t="s">
        <v>1662</v>
      </c>
      <c r="H60" s="28"/>
      <c r="I60" s="73"/>
    </row>
    <row r="61" spans="2:9" ht="16.5" customHeight="1">
      <c r="B61" s="23">
        <f t="shared" si="0"/>
        <v>43</v>
      </c>
      <c r="C61" s="26" t="s">
        <v>1626</v>
      </c>
      <c r="D61" s="26" t="s">
        <v>1627</v>
      </c>
      <c r="E61" s="27" t="s">
        <v>969</v>
      </c>
      <c r="F61" s="27"/>
      <c r="G61" s="28"/>
      <c r="H61" s="28"/>
      <c r="I61" s="66"/>
    </row>
    <row r="62" spans="2:9" ht="16.5" customHeight="1">
      <c r="B62" s="23">
        <f t="shared" si="0"/>
        <v>44</v>
      </c>
      <c r="C62" s="26" t="s">
        <v>1628</v>
      </c>
      <c r="D62" s="26" t="s">
        <v>482</v>
      </c>
      <c r="E62" s="27" t="s">
        <v>969</v>
      </c>
      <c r="F62" s="27"/>
      <c r="G62" s="28"/>
      <c r="H62" s="28"/>
      <c r="I62" s="66"/>
    </row>
    <row r="63" spans="2:9" ht="16.5" customHeight="1">
      <c r="B63" s="135"/>
      <c r="C63" s="24"/>
      <c r="D63" s="24"/>
      <c r="E63" s="24"/>
      <c r="F63" s="24"/>
      <c r="G63" s="24"/>
      <c r="H63" s="24"/>
    </row>
  </sheetData>
  <mergeCells count="6">
    <mergeCell ref="B1:E1"/>
    <mergeCell ref="B2:E2"/>
    <mergeCell ref="B15:E15"/>
    <mergeCell ref="F2:I2"/>
    <mergeCell ref="F1:I1"/>
    <mergeCell ref="F15:I15"/>
  </mergeCells>
  <phoneticPr fontId="5" type="noConversion"/>
  <pageMargins left="0.7" right="0.7" top="0.75" bottom="0.75" header="0.3" footer="0.3"/>
  <pageSetup paperSize="9" orientation="portrait" verticalDpi="0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323ADC4-90A2-43DC-8BE2-4FC4C8A9A789}">
  <sheetPr codeName="工作表50"/>
  <dimension ref="A1:I359"/>
  <sheetViews>
    <sheetView topLeftCell="A22" workbookViewId="0">
      <selection activeCell="C9" sqref="C9"/>
    </sheetView>
  </sheetViews>
  <sheetFormatPr defaultColWidth="6.625" defaultRowHeight="13.5"/>
  <cols>
    <col min="1" max="1" width="3.125" style="4" bestFit="1" customWidth="1"/>
    <col min="2" max="2" width="5.5" style="8" customWidth="1"/>
    <col min="3" max="3" width="24" style="4" bestFit="1" customWidth="1"/>
    <col min="4" max="4" width="26.375" style="4" customWidth="1"/>
    <col min="5" max="5" width="11.125" style="4" bestFit="1" customWidth="1"/>
    <col min="6" max="6" width="5.5" style="4" bestFit="1" customWidth="1"/>
    <col min="7" max="7" width="28.625" style="4" customWidth="1"/>
    <col min="8" max="8" width="33.625" style="4" bestFit="1" customWidth="1"/>
    <col min="9" max="9" width="10.5" style="4" customWidth="1"/>
    <col min="10" max="16384" width="6.625" style="4"/>
  </cols>
  <sheetData>
    <row r="1" spans="1:9" ht="24">
      <c r="A1" s="1" t="e">
        <f ca="1">HYPERLINK("#'介面'!E"&amp;MATCH(VALUE(RIGHT(CELL("filename"),LEN(CELL("filename"))-FIND("]",CELL("filename")))),介面!D:D,"0"),"←")</f>
        <v>#VALUE!</v>
      </c>
      <c r="B1" s="207" t="s">
        <v>1755</v>
      </c>
      <c r="C1" s="208"/>
      <c r="D1" s="208"/>
      <c r="E1" s="209"/>
      <c r="F1" s="221" t="s">
        <v>1798</v>
      </c>
      <c r="G1" s="222"/>
      <c r="H1" s="222"/>
      <c r="I1" s="223"/>
    </row>
    <row r="2" spans="1:9" ht="24">
      <c r="A2" s="1"/>
      <c r="B2" s="210" t="s">
        <v>275</v>
      </c>
      <c r="C2" s="211"/>
      <c r="D2" s="211"/>
      <c r="E2" s="212"/>
      <c r="F2" s="219"/>
      <c r="G2" s="220"/>
      <c r="H2" s="220"/>
      <c r="I2" s="215"/>
    </row>
    <row r="3" spans="1:9" s="8" customFormat="1" ht="15">
      <c r="A3" s="6"/>
      <c r="B3" s="7" t="s">
        <v>276</v>
      </c>
      <c r="C3" s="56" t="s">
        <v>277</v>
      </c>
      <c r="D3" s="56" t="s">
        <v>278</v>
      </c>
      <c r="E3" s="57" t="s">
        <v>279</v>
      </c>
      <c r="F3" s="57" t="s">
        <v>280</v>
      </c>
      <c r="G3" s="56" t="s">
        <v>281</v>
      </c>
      <c r="H3" s="141" t="s">
        <v>11</v>
      </c>
      <c r="I3" s="56" t="s">
        <v>282</v>
      </c>
    </row>
    <row r="4" spans="1:9" s="24" customFormat="1" ht="15.75">
      <c r="A4" s="25"/>
      <c r="B4" s="46">
        <v>1</v>
      </c>
      <c r="C4" s="80" t="s">
        <v>297</v>
      </c>
      <c r="D4" s="80" t="s">
        <v>298</v>
      </c>
      <c r="E4" s="81" t="s">
        <v>285</v>
      </c>
      <c r="F4" s="81">
        <v>500</v>
      </c>
      <c r="G4" s="66" t="s">
        <v>330</v>
      </c>
      <c r="H4" s="142" t="s">
        <v>302</v>
      </c>
      <c r="I4" s="66" t="s">
        <v>287</v>
      </c>
    </row>
    <row r="5" spans="1:9" s="24" customFormat="1" ht="15">
      <c r="A5" s="25"/>
      <c r="B5" s="46">
        <v>2</v>
      </c>
      <c r="C5" s="50" t="s">
        <v>303</v>
      </c>
      <c r="D5" s="76" t="s">
        <v>304</v>
      </c>
      <c r="E5" s="51" t="s">
        <v>296</v>
      </c>
      <c r="F5" s="51">
        <v>20</v>
      </c>
      <c r="G5" s="66" t="s">
        <v>331</v>
      </c>
      <c r="H5" s="142"/>
      <c r="I5" s="19" t="s">
        <v>287</v>
      </c>
    </row>
    <row r="6" spans="1:9" s="95" customFormat="1" ht="15.75">
      <c r="A6" s="93"/>
      <c r="B6" s="46">
        <v>3</v>
      </c>
      <c r="C6" s="80" t="s">
        <v>1799</v>
      </c>
      <c r="D6" s="80" t="s">
        <v>1800</v>
      </c>
      <c r="E6" s="81" t="s">
        <v>421</v>
      </c>
      <c r="F6" s="81"/>
      <c r="G6" s="91" t="s">
        <v>1801</v>
      </c>
      <c r="H6" s="142"/>
      <c r="I6" s="19" t="s">
        <v>287</v>
      </c>
    </row>
    <row r="7" spans="1:9" s="95" customFormat="1" ht="15.75">
      <c r="A7" s="93"/>
      <c r="B7" s="46">
        <v>4</v>
      </c>
      <c r="C7" s="80" t="s">
        <v>1802</v>
      </c>
      <c r="D7" s="80" t="s">
        <v>1803</v>
      </c>
      <c r="E7" s="81" t="s">
        <v>421</v>
      </c>
      <c r="F7" s="81"/>
      <c r="G7" s="91" t="s">
        <v>1804</v>
      </c>
      <c r="H7" s="142"/>
      <c r="I7" s="19" t="s">
        <v>287</v>
      </c>
    </row>
    <row r="8" spans="1:9" s="24" customFormat="1" ht="15">
      <c r="A8" s="25"/>
      <c r="B8" s="46">
        <v>5</v>
      </c>
      <c r="C8" s="50" t="s">
        <v>637</v>
      </c>
      <c r="D8" s="50" t="s">
        <v>364</v>
      </c>
      <c r="E8" s="51" t="s">
        <v>296</v>
      </c>
      <c r="F8" s="51">
        <v>20</v>
      </c>
      <c r="G8" s="66" t="s">
        <v>331</v>
      </c>
      <c r="H8" s="66" t="s">
        <v>638</v>
      </c>
      <c r="I8" s="150" t="s">
        <v>639</v>
      </c>
    </row>
    <row r="9" spans="1:9" s="24" customFormat="1" ht="15">
      <c r="A9" s="25"/>
      <c r="B9" s="46">
        <v>6</v>
      </c>
      <c r="C9" s="50" t="s">
        <v>640</v>
      </c>
      <c r="D9" s="76" t="s">
        <v>641</v>
      </c>
      <c r="E9" s="51" t="s">
        <v>418</v>
      </c>
      <c r="F9" s="51">
        <v>11</v>
      </c>
      <c r="G9" s="66" t="s">
        <v>642</v>
      </c>
      <c r="H9" s="66" t="s">
        <v>638</v>
      </c>
      <c r="I9" s="19" t="s">
        <v>639</v>
      </c>
    </row>
    <row r="10" spans="1:9" ht="15.75">
      <c r="A10" s="1"/>
      <c r="B10" s="2"/>
      <c r="C10" s="3"/>
      <c r="D10" s="3"/>
      <c r="E10" s="3"/>
      <c r="F10" s="3"/>
      <c r="G10" s="3"/>
      <c r="H10" s="3"/>
    </row>
    <row r="11" spans="1:9" ht="24">
      <c r="A11" s="1"/>
      <c r="B11" s="204" t="s">
        <v>291</v>
      </c>
      <c r="C11" s="205"/>
      <c r="D11" s="205"/>
      <c r="E11" s="206"/>
      <c r="F11" s="204"/>
      <c r="G11" s="205"/>
      <c r="H11" s="205"/>
      <c r="I11" s="206"/>
    </row>
    <row r="12" spans="1:9" s="8" customFormat="1" ht="15">
      <c r="A12" s="6"/>
      <c r="B12" s="7" t="s">
        <v>276</v>
      </c>
      <c r="C12" s="56" t="s">
        <v>277</v>
      </c>
      <c r="D12" s="56" t="s">
        <v>278</v>
      </c>
      <c r="E12" s="57" t="s">
        <v>279</v>
      </c>
      <c r="F12" s="57" t="s">
        <v>280</v>
      </c>
      <c r="G12" s="56" t="s">
        <v>11</v>
      </c>
      <c r="H12" s="56" t="s">
        <v>292</v>
      </c>
      <c r="I12" s="56" t="s">
        <v>293</v>
      </c>
    </row>
    <row r="13" spans="1:9" s="24" customFormat="1" ht="15.75">
      <c r="A13" s="25"/>
      <c r="B13" s="46">
        <v>1</v>
      </c>
      <c r="C13" s="80" t="s">
        <v>1592</v>
      </c>
      <c r="D13" s="80" t="s">
        <v>1754</v>
      </c>
      <c r="E13" s="81" t="s">
        <v>296</v>
      </c>
      <c r="F13" s="81">
        <v>20</v>
      </c>
      <c r="G13" s="82"/>
      <c r="H13" s="82"/>
      <c r="I13" s="66"/>
    </row>
    <row r="14" spans="1:9" s="24" customFormat="1" ht="15.75">
      <c r="A14" s="25"/>
      <c r="B14" s="46">
        <v>2</v>
      </c>
      <c r="C14" s="67" t="s">
        <v>453</v>
      </c>
      <c r="D14" s="67" t="s">
        <v>304</v>
      </c>
      <c r="E14" s="68" t="s">
        <v>452</v>
      </c>
      <c r="F14" s="68">
        <v>20</v>
      </c>
      <c r="G14" s="69"/>
      <c r="H14" s="66" t="s">
        <v>41</v>
      </c>
      <c r="I14" s="86" t="s">
        <v>304</v>
      </c>
    </row>
    <row r="15" spans="1:9" s="24" customFormat="1" ht="15.75">
      <c r="A15" s="25"/>
      <c r="B15" s="46">
        <v>3</v>
      </c>
      <c r="C15" s="80" t="s">
        <v>637</v>
      </c>
      <c r="D15" s="80" t="s">
        <v>364</v>
      </c>
      <c r="E15" s="81" t="s">
        <v>296</v>
      </c>
      <c r="F15" s="81">
        <v>20</v>
      </c>
      <c r="G15" s="85"/>
      <c r="H15" s="66" t="s">
        <v>84</v>
      </c>
      <c r="I15" s="26" t="s">
        <v>364</v>
      </c>
    </row>
    <row r="16" spans="1:9" s="24" customFormat="1" ht="15.75">
      <c r="A16" s="25"/>
      <c r="B16" s="46">
        <v>4</v>
      </c>
      <c r="C16" s="80" t="s">
        <v>1805</v>
      </c>
      <c r="D16" s="80" t="s">
        <v>654</v>
      </c>
      <c r="E16" s="81" t="s">
        <v>285</v>
      </c>
      <c r="F16" s="81">
        <v>20</v>
      </c>
      <c r="G16" s="82"/>
      <c r="H16" s="89"/>
      <c r="I16" s="66"/>
    </row>
    <row r="17" spans="1:9" s="24" customFormat="1" ht="15.75">
      <c r="A17" s="25"/>
      <c r="B17" s="46">
        <v>5</v>
      </c>
      <c r="C17" s="92" t="s">
        <v>1806</v>
      </c>
      <c r="D17" s="80" t="s">
        <v>960</v>
      </c>
      <c r="E17" s="81" t="s">
        <v>285</v>
      </c>
      <c r="F17" s="81">
        <v>20</v>
      </c>
      <c r="G17" s="88"/>
      <c r="H17" s="89"/>
      <c r="I17" s="50"/>
    </row>
    <row r="18" spans="1:9" s="24" customFormat="1" ht="15.75">
      <c r="A18" s="25"/>
      <c r="B18" s="46">
        <v>6</v>
      </c>
      <c r="C18" s="92" t="s">
        <v>1807</v>
      </c>
      <c r="D18" s="80" t="s">
        <v>1742</v>
      </c>
      <c r="E18" s="81" t="s">
        <v>421</v>
      </c>
      <c r="F18" s="81"/>
      <c r="G18" s="88" t="s">
        <v>1227</v>
      </c>
      <c r="H18" s="89"/>
      <c r="I18" s="50"/>
    </row>
    <row r="19" spans="1:9" s="24" customFormat="1" ht="15.75">
      <c r="A19" s="25"/>
      <c r="B19" s="46">
        <v>7</v>
      </c>
      <c r="C19" s="71" t="s">
        <v>1743</v>
      </c>
      <c r="D19" s="71" t="s">
        <v>1744</v>
      </c>
      <c r="E19" s="74" t="s">
        <v>285</v>
      </c>
      <c r="F19" s="72">
        <v>1</v>
      </c>
      <c r="G19" s="88" t="s">
        <v>1745</v>
      </c>
      <c r="H19" s="89" t="s">
        <v>1746</v>
      </c>
      <c r="I19" s="64"/>
    </row>
    <row r="20" spans="1:9" s="24" customFormat="1" ht="15.75">
      <c r="A20" s="25"/>
      <c r="B20" s="46">
        <v>8</v>
      </c>
      <c r="C20" s="70" t="s">
        <v>1747</v>
      </c>
      <c r="D20" s="71" t="s">
        <v>1748</v>
      </c>
      <c r="E20" s="72" t="s">
        <v>704</v>
      </c>
      <c r="F20" s="72" t="s">
        <v>705</v>
      </c>
      <c r="G20" s="88"/>
      <c r="H20" s="89"/>
      <c r="I20" s="64"/>
    </row>
    <row r="21" spans="1:9" ht="94.5">
      <c r="B21" s="46">
        <v>9</v>
      </c>
      <c r="C21" s="92" t="s">
        <v>1808</v>
      </c>
      <c r="D21" s="80" t="s">
        <v>1710</v>
      </c>
      <c r="E21" s="81" t="s">
        <v>326</v>
      </c>
      <c r="F21" s="81">
        <v>4</v>
      </c>
      <c r="G21" s="88" t="s">
        <v>1809</v>
      </c>
      <c r="H21" s="89" t="s">
        <v>1712</v>
      </c>
      <c r="I21" s="26"/>
    </row>
    <row r="22" spans="1:9" ht="78.75">
      <c r="B22" s="46">
        <v>10</v>
      </c>
      <c r="C22" s="92" t="s">
        <v>1076</v>
      </c>
      <c r="D22" s="80" t="s">
        <v>1750</v>
      </c>
      <c r="E22" s="81" t="s">
        <v>326</v>
      </c>
      <c r="F22" s="81">
        <v>4</v>
      </c>
      <c r="G22" s="88" t="s">
        <v>1810</v>
      </c>
      <c r="H22" s="89" t="s">
        <v>1752</v>
      </c>
      <c r="I22" s="66"/>
    </row>
    <row r="23" spans="1:9" ht="31.5">
      <c r="B23" s="46">
        <v>11</v>
      </c>
      <c r="C23" s="92" t="s">
        <v>1811</v>
      </c>
      <c r="D23" s="80" t="s">
        <v>1812</v>
      </c>
      <c r="E23" s="81" t="s">
        <v>285</v>
      </c>
      <c r="F23" s="81">
        <v>1</v>
      </c>
      <c r="G23" s="88" t="s">
        <v>1813</v>
      </c>
      <c r="H23" s="89" t="s">
        <v>1814</v>
      </c>
      <c r="I23" s="73"/>
    </row>
    <row r="24" spans="1:9" ht="16.5" customHeight="1">
      <c r="B24" s="46">
        <v>12</v>
      </c>
      <c r="C24" s="26" t="s">
        <v>1621</v>
      </c>
      <c r="D24" s="26" t="s">
        <v>1622</v>
      </c>
      <c r="E24" s="27" t="s">
        <v>285</v>
      </c>
      <c r="F24" s="27">
        <v>50</v>
      </c>
      <c r="G24" s="29"/>
      <c r="H24" s="89"/>
      <c r="I24" s="19"/>
    </row>
    <row r="25" spans="1:9" ht="16.5" customHeight="1">
      <c r="B25" s="46">
        <v>13</v>
      </c>
      <c r="C25" s="26" t="s">
        <v>1588</v>
      </c>
      <c r="D25" s="26" t="s">
        <v>1589</v>
      </c>
      <c r="E25" s="27" t="s">
        <v>326</v>
      </c>
      <c r="F25" s="27">
        <v>4</v>
      </c>
      <c r="G25" s="29" t="s">
        <v>1591</v>
      </c>
      <c r="H25" s="89" t="s">
        <v>1623</v>
      </c>
      <c r="I25" s="66"/>
    </row>
    <row r="26" spans="1:9" ht="16.5" customHeight="1">
      <c r="B26" s="46">
        <v>14</v>
      </c>
      <c r="C26" s="26" t="s">
        <v>1624</v>
      </c>
      <c r="D26" s="26" t="s">
        <v>1625</v>
      </c>
      <c r="E26" s="27" t="s">
        <v>969</v>
      </c>
      <c r="F26" s="27"/>
      <c r="G26" s="28"/>
      <c r="H26" s="28"/>
      <c r="I26" s="66"/>
    </row>
    <row r="27" spans="1:9" ht="16.5" customHeight="1">
      <c r="B27" s="46">
        <v>15</v>
      </c>
      <c r="C27" s="50" t="s">
        <v>1626</v>
      </c>
      <c r="D27" s="50" t="s">
        <v>1627</v>
      </c>
      <c r="E27" s="51" t="s">
        <v>969</v>
      </c>
      <c r="F27" s="51"/>
      <c r="G27" s="19"/>
      <c r="H27" s="19"/>
      <c r="I27" s="86"/>
    </row>
    <row r="28" spans="1:9" ht="16.5" customHeight="1">
      <c r="B28" s="46">
        <v>16</v>
      </c>
      <c r="C28" s="50" t="s">
        <v>1628</v>
      </c>
      <c r="D28" s="50" t="s">
        <v>482</v>
      </c>
      <c r="E28" s="51" t="s">
        <v>969</v>
      </c>
      <c r="F28" s="51"/>
      <c r="G28" s="19"/>
      <c r="H28" s="19"/>
      <c r="I28" s="66"/>
    </row>
    <row r="29" spans="1:9" ht="16.5" customHeight="1">
      <c r="B29" s="21"/>
    </row>
    <row r="30" spans="1:9" ht="16.5" customHeight="1">
      <c r="B30" s="45"/>
    </row>
    <row r="31" spans="1:9" ht="16.5" customHeight="1">
      <c r="B31" s="45"/>
    </row>
    <row r="32" spans="1:9" ht="16.5" customHeight="1">
      <c r="B32" s="45"/>
    </row>
    <row r="33" spans="2:2" ht="16.5" customHeight="1">
      <c r="B33" s="45"/>
    </row>
    <row r="34" spans="2:2" ht="16.5" customHeight="1">
      <c r="B34" s="45"/>
    </row>
    <row r="35" spans="2:2" ht="16.5" customHeight="1"/>
    <row r="36" spans="2:2" ht="16.5" customHeight="1">
      <c r="B36" s="45"/>
    </row>
    <row r="37" spans="2:2" ht="16.5" customHeight="1"/>
    <row r="38" spans="2:2" ht="16.5" customHeight="1"/>
    <row r="39" spans="2:2" ht="16.5" customHeight="1"/>
    <row r="40" spans="2:2" ht="16.5" customHeight="1"/>
    <row r="41" spans="2:2" ht="16.5" customHeight="1"/>
    <row r="42" spans="2:2" ht="16.5" customHeight="1"/>
    <row r="43" spans="2:2" ht="16.5" customHeight="1"/>
    <row r="44" spans="2:2" ht="16.5" customHeight="1"/>
    <row r="45" spans="2:2" ht="16.5" customHeight="1"/>
    <row r="46" spans="2:2" ht="16.5" customHeight="1"/>
    <row r="47" spans="2:2" ht="16.5" customHeight="1"/>
    <row r="48" spans="2:2" ht="16.5" customHeight="1"/>
    <row r="49" ht="16.5" customHeight="1"/>
    <row r="50" ht="16.5" customHeight="1"/>
    <row r="51" ht="16.5" customHeight="1"/>
    <row r="52" ht="16.5" customHeight="1"/>
    <row r="53" ht="16.5" customHeight="1"/>
    <row r="54" ht="16.5" customHeight="1"/>
    <row r="55" ht="16.5" customHeight="1"/>
    <row r="56" ht="16.5" customHeight="1"/>
    <row r="57" ht="16.5" customHeight="1"/>
    <row r="58" ht="16.5" customHeight="1"/>
    <row r="59" ht="16.5" customHeight="1"/>
    <row r="60" ht="16.5" customHeight="1"/>
    <row r="61" ht="16.5" customHeight="1"/>
    <row r="62" ht="16.5" customHeight="1"/>
    <row r="63" ht="16.5" customHeight="1"/>
    <row r="64" ht="16.5" customHeight="1"/>
    <row r="65" ht="16.5" customHeight="1"/>
    <row r="66" ht="16.5" customHeight="1"/>
    <row r="67" ht="16.5" customHeight="1"/>
    <row r="68" ht="16.5" customHeight="1"/>
    <row r="69" ht="16.5" customHeight="1"/>
    <row r="70" ht="16.5" customHeight="1"/>
    <row r="71" ht="16.5" customHeight="1"/>
    <row r="72" ht="16.5" customHeight="1"/>
    <row r="73" ht="16.5" customHeight="1"/>
    <row r="74" ht="16.5" customHeight="1"/>
    <row r="75" ht="16.5" customHeight="1"/>
    <row r="76" ht="16.5" customHeight="1"/>
    <row r="77" ht="16.5" customHeight="1"/>
    <row r="78" ht="16.5" customHeight="1"/>
    <row r="79" ht="16.5" customHeight="1"/>
    <row r="80" ht="16.5" customHeight="1"/>
    <row r="81" ht="16.5" customHeight="1"/>
    <row r="82" ht="16.5" customHeight="1"/>
    <row r="83" ht="16.5" customHeight="1"/>
    <row r="84" ht="16.5" customHeight="1"/>
    <row r="85" ht="16.5" customHeight="1"/>
    <row r="86" ht="16.5" customHeight="1"/>
    <row r="87" ht="16.5" customHeight="1"/>
    <row r="88" ht="16.5" customHeight="1"/>
    <row r="89" ht="16.5" customHeight="1"/>
    <row r="90" ht="16.5" customHeight="1"/>
    <row r="91" ht="16.5" customHeight="1"/>
    <row r="92" ht="16.5" customHeight="1"/>
    <row r="93" ht="16.5" customHeight="1"/>
    <row r="94" ht="16.5" customHeight="1"/>
    <row r="95" ht="16.5" customHeight="1"/>
    <row r="96" ht="16.5" customHeight="1"/>
    <row r="97" ht="16.5" customHeight="1"/>
    <row r="98" ht="16.5" customHeight="1"/>
    <row r="99" ht="16.5" customHeight="1"/>
    <row r="100" ht="16.5" customHeight="1"/>
    <row r="101" ht="16.5" customHeight="1"/>
    <row r="102" ht="16.5" customHeight="1"/>
    <row r="103" ht="16.5" customHeight="1"/>
    <row r="104" ht="16.5" customHeight="1"/>
    <row r="105" ht="16.5" customHeight="1"/>
    <row r="106" ht="16.5" customHeight="1"/>
    <row r="107" ht="16.5" customHeight="1"/>
    <row r="108" ht="16.5" customHeight="1"/>
    <row r="109" ht="16.5" customHeight="1"/>
    <row r="110" ht="16.5" customHeight="1"/>
    <row r="111" ht="16.5" customHeight="1"/>
    <row r="112" ht="16.5" customHeight="1"/>
    <row r="113" ht="16.5" customHeight="1"/>
    <row r="114" ht="16.5" customHeight="1"/>
    <row r="115" ht="16.5" customHeight="1"/>
    <row r="116" ht="16.5" customHeight="1"/>
    <row r="117" ht="16.5" customHeight="1"/>
    <row r="118" ht="16.5" customHeight="1"/>
    <row r="119" ht="16.5" customHeight="1"/>
    <row r="120" ht="16.5" customHeight="1"/>
    <row r="121" ht="16.5" customHeight="1"/>
    <row r="122" ht="16.5" customHeight="1"/>
    <row r="123" ht="16.5" customHeight="1"/>
    <row r="124" ht="16.5" customHeight="1"/>
    <row r="125" ht="16.5" customHeight="1"/>
    <row r="126" ht="16.5" customHeight="1"/>
    <row r="127" ht="16.5" customHeight="1"/>
    <row r="128" ht="16.5" customHeight="1"/>
    <row r="129" ht="16.5" customHeight="1"/>
    <row r="130" ht="16.5" customHeight="1"/>
    <row r="131" ht="16.5" customHeight="1"/>
    <row r="132" ht="16.5" customHeight="1"/>
    <row r="133" ht="16.5" customHeight="1"/>
    <row r="134" ht="16.5" customHeight="1"/>
    <row r="135" ht="16.5" customHeight="1"/>
    <row r="136" ht="16.5" customHeight="1"/>
    <row r="137" ht="16.5" customHeight="1"/>
    <row r="138" ht="16.5" customHeight="1"/>
    <row r="139" ht="16.5" customHeight="1"/>
    <row r="140" ht="16.5" customHeight="1"/>
    <row r="141" ht="16.5" customHeight="1"/>
    <row r="142" ht="16.5" customHeight="1"/>
    <row r="143" ht="16.5" customHeight="1"/>
    <row r="144" ht="16.5" customHeight="1"/>
    <row r="145" ht="16.5" customHeight="1"/>
    <row r="146" ht="16.5" customHeight="1"/>
    <row r="147" ht="16.5" customHeight="1"/>
    <row r="148" ht="16.5" customHeight="1"/>
    <row r="149" ht="16.5" customHeight="1"/>
    <row r="150" ht="16.5" customHeight="1"/>
    <row r="151" ht="16.5" customHeight="1"/>
    <row r="152" ht="16.5" customHeight="1"/>
    <row r="153" ht="16.5" customHeight="1"/>
    <row r="154" ht="16.5" customHeight="1"/>
    <row r="155" ht="16.5" customHeight="1"/>
    <row r="156" ht="16.5" customHeight="1"/>
    <row r="157" ht="16.5" customHeight="1"/>
    <row r="158" ht="16.5" customHeight="1"/>
    <row r="159" ht="16.5" customHeight="1"/>
    <row r="160" ht="16.5" customHeight="1"/>
    <row r="161" ht="16.5" customHeight="1"/>
    <row r="162" ht="16.5" customHeight="1"/>
    <row r="163" ht="16.5" customHeight="1"/>
    <row r="164" ht="16.5" customHeight="1"/>
    <row r="165" ht="16.5" customHeight="1"/>
    <row r="166" ht="16.5" customHeight="1"/>
    <row r="167" ht="16.5" customHeight="1"/>
    <row r="168" ht="16.5" customHeight="1"/>
    <row r="169" ht="16.5" customHeight="1"/>
    <row r="170" ht="16.5" customHeight="1"/>
    <row r="171" ht="16.5" customHeight="1"/>
    <row r="172" ht="16.5" customHeight="1"/>
    <row r="173" ht="16.5" customHeight="1"/>
    <row r="174" ht="16.5" customHeight="1"/>
    <row r="175" ht="16.5" customHeight="1"/>
    <row r="176" ht="16.5" customHeight="1"/>
    <row r="177" ht="16.5" customHeight="1"/>
    <row r="178" ht="16.5" customHeight="1"/>
    <row r="179" ht="16.5" customHeight="1"/>
    <row r="180" ht="16.5" customHeight="1"/>
    <row r="181" ht="16.5" customHeight="1"/>
    <row r="182" ht="16.5" customHeight="1"/>
    <row r="183" ht="16.5" customHeight="1"/>
    <row r="184" ht="16.5" customHeight="1"/>
    <row r="185" ht="16.5" customHeight="1"/>
    <row r="186" ht="16.5" customHeight="1"/>
    <row r="187" ht="16.5" customHeight="1"/>
    <row r="188" ht="16.5" customHeight="1"/>
    <row r="189" ht="16.5" customHeight="1"/>
    <row r="190" ht="16.5" customHeight="1"/>
    <row r="191" ht="16.5" customHeight="1"/>
    <row r="192" ht="16.5" customHeight="1"/>
    <row r="193" ht="16.5" customHeight="1"/>
    <row r="194" ht="16.5" customHeight="1"/>
    <row r="195" ht="16.5" customHeight="1"/>
    <row r="196" ht="16.5" customHeight="1"/>
    <row r="197" ht="16.5" customHeight="1"/>
    <row r="198" ht="16.5" customHeight="1"/>
    <row r="199" ht="16.5" customHeight="1"/>
    <row r="200" ht="16.5" customHeight="1"/>
    <row r="201" ht="16.5" customHeight="1"/>
    <row r="202" ht="16.5" customHeight="1"/>
    <row r="203" ht="16.5" customHeight="1"/>
    <row r="204" ht="16.5" customHeight="1"/>
    <row r="205" ht="16.5" customHeight="1"/>
    <row r="206" ht="16.5" customHeight="1"/>
    <row r="207" ht="16.5" customHeight="1"/>
    <row r="208" ht="16.5" customHeight="1"/>
    <row r="209" ht="16.5" customHeight="1"/>
    <row r="210" ht="16.5" customHeight="1"/>
    <row r="211" ht="16.5" customHeight="1"/>
    <row r="212" ht="16.5" customHeight="1"/>
    <row r="213" ht="16.5" customHeight="1"/>
    <row r="214" ht="16.5" customHeight="1"/>
    <row r="215" ht="16.5" customHeight="1"/>
    <row r="216" ht="16.5" customHeight="1"/>
    <row r="217" ht="16.5" customHeight="1"/>
    <row r="218" ht="16.5" customHeight="1"/>
    <row r="219" ht="16.5" customHeight="1"/>
    <row r="220" ht="16.5" customHeight="1"/>
    <row r="221" ht="16.5" customHeight="1"/>
    <row r="222" ht="16.5" customHeight="1"/>
    <row r="223" ht="16.5" customHeight="1"/>
    <row r="224" ht="16.5" customHeight="1"/>
    <row r="225" ht="16.5" customHeight="1"/>
    <row r="226" ht="16.5" customHeight="1"/>
    <row r="227" ht="16.5" customHeight="1"/>
    <row r="228" ht="16.5" customHeight="1"/>
    <row r="229" ht="16.5" customHeight="1"/>
    <row r="230" ht="16.5" customHeight="1"/>
    <row r="231" ht="16.5" customHeight="1"/>
    <row r="232" ht="16.5" customHeight="1"/>
    <row r="233" ht="16.5" customHeight="1"/>
    <row r="234" ht="16.5" customHeight="1"/>
    <row r="235" ht="16.5" customHeight="1"/>
    <row r="236" ht="16.5" customHeight="1"/>
    <row r="237" ht="16.5" customHeight="1"/>
    <row r="238" ht="16.5" customHeight="1"/>
    <row r="239" ht="16.5" customHeight="1"/>
    <row r="240" ht="16.5" customHeight="1"/>
    <row r="241" ht="16.5" customHeight="1"/>
    <row r="242" ht="16.5" customHeight="1"/>
    <row r="243" ht="16.5" customHeight="1"/>
    <row r="244" ht="16.5" customHeight="1"/>
    <row r="245" ht="16.5" customHeight="1"/>
    <row r="246" ht="16.5" customHeight="1"/>
    <row r="247" ht="16.5" customHeight="1"/>
    <row r="248" ht="16.5" customHeight="1"/>
    <row r="249" ht="16.5" customHeight="1"/>
    <row r="250" ht="16.5" customHeight="1"/>
    <row r="251" ht="16.5" customHeight="1"/>
    <row r="252" ht="16.5" customHeight="1"/>
    <row r="253" ht="16.5" customHeight="1"/>
    <row r="254" ht="16.5" customHeight="1"/>
    <row r="255" ht="16.5" customHeight="1"/>
    <row r="256" ht="16.5" customHeight="1"/>
    <row r="257" ht="16.5" customHeight="1"/>
    <row r="258" ht="16.5" customHeight="1"/>
    <row r="259" ht="16.5" customHeight="1"/>
    <row r="260" ht="16.5" customHeight="1"/>
    <row r="261" ht="16.5" customHeight="1"/>
    <row r="262" ht="16.5" customHeight="1"/>
    <row r="263" ht="16.5" customHeight="1"/>
    <row r="264" ht="16.5" customHeight="1"/>
    <row r="265" ht="16.5" customHeight="1"/>
    <row r="266" ht="16.5" customHeight="1"/>
    <row r="267" ht="16.5" customHeight="1"/>
    <row r="268" ht="16.5" customHeight="1"/>
    <row r="269" ht="16.5" customHeight="1"/>
    <row r="270" ht="16.5" customHeight="1"/>
    <row r="271" ht="16.5" customHeight="1"/>
    <row r="272" ht="16.5" customHeight="1"/>
    <row r="273" ht="16.5" customHeight="1"/>
    <row r="274" ht="16.5" customHeight="1"/>
    <row r="275" ht="16.5" customHeight="1"/>
    <row r="276" ht="16.5" customHeight="1"/>
    <row r="277" ht="16.5" customHeight="1"/>
    <row r="278" ht="16.5" customHeight="1"/>
    <row r="279" ht="16.5" customHeight="1"/>
    <row r="280" ht="16.5" customHeight="1"/>
    <row r="281" ht="16.5" customHeight="1"/>
    <row r="282" ht="16.5" customHeight="1"/>
    <row r="283" ht="16.5" customHeight="1"/>
    <row r="284" ht="16.5" customHeight="1"/>
    <row r="285" ht="16.5" customHeight="1"/>
    <row r="286" ht="16.5" customHeight="1"/>
    <row r="287" ht="16.5" customHeight="1"/>
    <row r="288" ht="16.5" customHeight="1"/>
    <row r="289" ht="16.5" customHeight="1"/>
    <row r="290" ht="16.5" customHeight="1"/>
    <row r="291" ht="16.5" customHeight="1"/>
    <row r="292" ht="16.5" customHeight="1"/>
    <row r="293" ht="16.5" customHeight="1"/>
    <row r="294" ht="16.5" customHeight="1"/>
    <row r="295" ht="16.5" customHeight="1"/>
    <row r="296" ht="16.5" customHeight="1"/>
    <row r="297" ht="16.5" customHeight="1"/>
    <row r="298" ht="16.5" customHeight="1"/>
    <row r="299" ht="16.5" customHeight="1"/>
    <row r="300" ht="16.5" customHeight="1"/>
    <row r="301" ht="16.5" customHeight="1"/>
    <row r="302" ht="16.5" customHeight="1"/>
    <row r="303" ht="16.5" customHeight="1"/>
    <row r="304" ht="16.5" customHeight="1"/>
    <row r="305" ht="16.5" customHeight="1"/>
    <row r="306" ht="16.5" customHeight="1"/>
    <row r="307" ht="16.5" customHeight="1"/>
    <row r="308" ht="16.5" customHeight="1"/>
    <row r="309" ht="16.5" customHeight="1"/>
    <row r="310" ht="16.5" customHeight="1"/>
    <row r="311" ht="16.5" customHeight="1"/>
    <row r="312" ht="16.5" customHeight="1"/>
    <row r="313" ht="16.5" customHeight="1"/>
    <row r="314" ht="16.5" customHeight="1"/>
    <row r="315" ht="16.5" customHeight="1"/>
    <row r="316" ht="16.5" customHeight="1"/>
    <row r="317" ht="16.5" customHeight="1"/>
    <row r="318" ht="16.5" customHeight="1"/>
    <row r="319" ht="16.5" customHeight="1"/>
    <row r="320" ht="16.5" customHeight="1"/>
    <row r="321" ht="16.5" customHeight="1"/>
    <row r="322" ht="16.5" customHeight="1"/>
    <row r="323" ht="16.5" customHeight="1"/>
    <row r="324" ht="16.5" customHeight="1"/>
    <row r="325" ht="16.5" customHeight="1"/>
    <row r="326" ht="16.5" customHeight="1"/>
    <row r="327" ht="16.5" customHeight="1"/>
    <row r="328" ht="16.5" customHeight="1"/>
    <row r="329" ht="16.5" customHeight="1"/>
    <row r="330" ht="16.5" customHeight="1"/>
    <row r="331" ht="16.5" customHeight="1"/>
    <row r="332" ht="16.5" customHeight="1"/>
    <row r="333" ht="16.5" customHeight="1"/>
    <row r="334" ht="16.5" customHeight="1"/>
    <row r="335" ht="16.5" customHeight="1"/>
    <row r="336" ht="16.5" customHeight="1"/>
    <row r="337" ht="16.5" customHeight="1"/>
    <row r="338" ht="16.5" customHeight="1"/>
    <row r="339" ht="16.5" customHeight="1"/>
    <row r="340" ht="16.5" customHeight="1"/>
    <row r="341" ht="16.5" customHeight="1"/>
    <row r="342" ht="16.5" customHeight="1"/>
    <row r="343" ht="16.5" customHeight="1"/>
    <row r="344" ht="16.5" customHeight="1"/>
    <row r="345" ht="16.5" customHeight="1"/>
    <row r="346" ht="16.5" customHeight="1"/>
    <row r="347" ht="16.5" customHeight="1"/>
    <row r="348" ht="16.5" customHeight="1"/>
    <row r="349" ht="16.5" customHeight="1"/>
    <row r="350" ht="16.5" customHeight="1"/>
    <row r="351" ht="16.5" customHeight="1"/>
    <row r="352" ht="16.5" customHeight="1"/>
    <row r="353" ht="16.5" customHeight="1"/>
    <row r="354" ht="16.5" customHeight="1"/>
    <row r="355" ht="16.5" customHeight="1"/>
    <row r="356" ht="16.5" customHeight="1"/>
    <row r="357" ht="16.5" customHeight="1"/>
    <row r="358" ht="16.5" customHeight="1"/>
    <row r="359" ht="16.5" customHeight="1"/>
  </sheetData>
  <mergeCells count="6">
    <mergeCell ref="B1:E1"/>
    <mergeCell ref="B2:E2"/>
    <mergeCell ref="B11:E11"/>
    <mergeCell ref="F2:I2"/>
    <mergeCell ref="F1:I1"/>
    <mergeCell ref="F11:I11"/>
  </mergeCells>
  <phoneticPr fontId="5" type="noConversion"/>
  <pageMargins left="0.7" right="0.7" top="0.75" bottom="0.75" header="0.3" footer="0.3"/>
  <pageSetup paperSize="9" orientation="portrait" horizontalDpi="0" verticalDpi="0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D88F92D-38AF-4F48-9A70-0E62EA23BB6F}">
  <sheetPr codeName="工作表86"/>
  <dimension ref="A1:I18"/>
  <sheetViews>
    <sheetView workbookViewId="0"/>
  </sheetViews>
  <sheetFormatPr defaultColWidth="6.625" defaultRowHeight="13.5"/>
  <cols>
    <col min="1" max="1" width="3.125" style="4" bestFit="1" customWidth="1"/>
    <col min="2" max="2" width="5.5" style="8" customWidth="1"/>
    <col min="3" max="3" width="18.5" style="4" bestFit="1" customWidth="1"/>
    <col min="4" max="4" width="23.625" style="4" customWidth="1"/>
    <col min="5" max="5" width="11.125" style="4" bestFit="1" customWidth="1"/>
    <col min="6" max="6" width="15.5" style="4" customWidth="1"/>
    <col min="7" max="7" width="27.125" style="4" customWidth="1"/>
    <col min="8" max="8" width="28.625" style="4" customWidth="1"/>
    <col min="9" max="9" width="27" style="4" customWidth="1"/>
    <col min="10" max="16384" width="6.625" style="4"/>
  </cols>
  <sheetData>
    <row r="1" spans="1:9" ht="24">
      <c r="A1" s="1" t="e">
        <f ca="1">HYPERLINK("#'介面'!E"&amp;MATCH(VALUE(RIGHT(CELL("filename"),LEN(CELL("filename"))-FIND("]",CELL("filename")))),介面!D:D,"0"),"←")</f>
        <v>#VALUE!</v>
      </c>
      <c r="B1" s="207" t="s">
        <v>1815</v>
      </c>
      <c r="C1" s="208"/>
      <c r="D1" s="208"/>
      <c r="E1" s="209"/>
      <c r="F1" s="207" t="s">
        <v>1816</v>
      </c>
      <c r="G1" s="208"/>
      <c r="H1" s="208"/>
      <c r="I1" s="208"/>
    </row>
    <row r="2" spans="1:9" ht="24">
      <c r="A2" s="1"/>
      <c r="B2" s="210" t="s">
        <v>275</v>
      </c>
      <c r="C2" s="211"/>
      <c r="D2" s="211"/>
      <c r="E2" s="212"/>
      <c r="F2" s="210"/>
      <c r="G2" s="211"/>
      <c r="H2" s="211"/>
      <c r="I2" s="212"/>
    </row>
    <row r="3" spans="1:9" s="8" customFormat="1" ht="15">
      <c r="A3" s="6"/>
      <c r="B3" s="7" t="s">
        <v>276</v>
      </c>
      <c r="C3" s="56" t="s">
        <v>277</v>
      </c>
      <c r="D3" s="56" t="s">
        <v>278</v>
      </c>
      <c r="E3" s="57" t="s">
        <v>279</v>
      </c>
      <c r="F3" s="57" t="s">
        <v>280</v>
      </c>
      <c r="G3" s="56" t="s">
        <v>281</v>
      </c>
      <c r="H3" s="56" t="s">
        <v>11</v>
      </c>
      <c r="I3" s="56" t="s">
        <v>282</v>
      </c>
    </row>
    <row r="4" spans="1:9" s="24" customFormat="1" ht="15.75">
      <c r="A4" s="25"/>
      <c r="B4" s="46">
        <v>1</v>
      </c>
      <c r="C4" s="80" t="s">
        <v>297</v>
      </c>
      <c r="D4" s="80" t="s">
        <v>298</v>
      </c>
      <c r="E4" s="81" t="s">
        <v>285</v>
      </c>
      <c r="F4" s="81">
        <v>500</v>
      </c>
      <c r="G4" s="66" t="s">
        <v>330</v>
      </c>
      <c r="H4" s="142" t="s">
        <v>302</v>
      </c>
      <c r="I4" s="66" t="s">
        <v>287</v>
      </c>
    </row>
    <row r="5" spans="1:9" s="24" customFormat="1" ht="15">
      <c r="A5" s="25"/>
      <c r="B5" s="46">
        <f>B4+1</f>
        <v>2</v>
      </c>
      <c r="C5" s="50" t="s">
        <v>303</v>
      </c>
      <c r="D5" s="76" t="s">
        <v>304</v>
      </c>
      <c r="E5" s="51" t="s">
        <v>296</v>
      </c>
      <c r="F5" s="51">
        <v>20</v>
      </c>
      <c r="G5" s="66" t="s">
        <v>331</v>
      </c>
      <c r="H5" s="66"/>
      <c r="I5" s="66" t="s">
        <v>287</v>
      </c>
    </row>
    <row r="6" spans="1:9" ht="15.75">
      <c r="A6" s="1"/>
      <c r="B6" s="2"/>
      <c r="C6" s="3"/>
      <c r="D6" s="3"/>
      <c r="E6" s="3"/>
      <c r="F6" s="3"/>
      <c r="G6" s="3"/>
      <c r="H6" s="3"/>
      <c r="I6" s="3"/>
    </row>
    <row r="7" spans="1:9" ht="24">
      <c r="A7" s="1"/>
      <c r="B7" s="204" t="s">
        <v>291</v>
      </c>
      <c r="C7" s="205"/>
      <c r="D7" s="205"/>
      <c r="E7" s="206"/>
      <c r="F7" s="204"/>
      <c r="G7" s="205"/>
      <c r="H7" s="205"/>
      <c r="I7" s="206"/>
    </row>
    <row r="8" spans="1:9" s="8" customFormat="1" ht="15">
      <c r="A8" s="6"/>
      <c r="B8" s="7" t="s">
        <v>276</v>
      </c>
      <c r="C8" s="56" t="s">
        <v>277</v>
      </c>
      <c r="D8" s="56" t="s">
        <v>278</v>
      </c>
      <c r="E8" s="57" t="s">
        <v>279</v>
      </c>
      <c r="F8" s="57" t="s">
        <v>280</v>
      </c>
      <c r="G8" s="56" t="s">
        <v>11</v>
      </c>
      <c r="H8" s="56" t="s">
        <v>292</v>
      </c>
      <c r="I8" s="56" t="s">
        <v>293</v>
      </c>
    </row>
    <row r="9" spans="1:9" s="24" customFormat="1" ht="15">
      <c r="A9" s="25"/>
      <c r="B9" s="23">
        <f>1</f>
        <v>1</v>
      </c>
      <c r="C9" s="64" t="s">
        <v>1817</v>
      </c>
      <c r="D9" s="64" t="s">
        <v>1818</v>
      </c>
      <c r="E9" s="62" t="s">
        <v>452</v>
      </c>
      <c r="F9" s="62">
        <v>20</v>
      </c>
      <c r="G9" s="73"/>
      <c r="H9" s="73"/>
      <c r="I9" s="73"/>
    </row>
    <row r="10" spans="1:9" s="24" customFormat="1" ht="15">
      <c r="A10" s="25"/>
      <c r="B10" s="23">
        <f t="shared" ref="B10:B15" si="0">B9+1</f>
        <v>2</v>
      </c>
      <c r="C10" s="67" t="s">
        <v>453</v>
      </c>
      <c r="D10" s="67" t="s">
        <v>304</v>
      </c>
      <c r="E10" s="68" t="s">
        <v>452</v>
      </c>
      <c r="F10" s="68">
        <v>20</v>
      </c>
      <c r="G10" s="119"/>
      <c r="H10" s="73" t="s">
        <v>41</v>
      </c>
      <c r="I10" s="73" t="s">
        <v>304</v>
      </c>
    </row>
    <row r="11" spans="1:9" s="24" customFormat="1" ht="15">
      <c r="A11" s="25"/>
      <c r="B11" s="23">
        <f t="shared" si="0"/>
        <v>3</v>
      </c>
      <c r="C11" s="64" t="s">
        <v>1819</v>
      </c>
      <c r="D11" s="64" t="s">
        <v>1820</v>
      </c>
      <c r="E11" s="68" t="s">
        <v>456</v>
      </c>
      <c r="F11" s="62">
        <v>20</v>
      </c>
      <c r="G11" s="73"/>
      <c r="H11" s="73"/>
      <c r="I11" s="73"/>
    </row>
    <row r="12" spans="1:9" s="24" customFormat="1" ht="15">
      <c r="A12" s="22"/>
      <c r="B12" s="23">
        <f t="shared" si="0"/>
        <v>4</v>
      </c>
      <c r="C12" s="64" t="s">
        <v>1821</v>
      </c>
      <c r="D12" s="64" t="s">
        <v>1822</v>
      </c>
      <c r="E12" s="68" t="s">
        <v>456</v>
      </c>
      <c r="F12" s="62">
        <v>100</v>
      </c>
      <c r="G12" s="73"/>
      <c r="H12" s="73"/>
      <c r="I12" s="73"/>
    </row>
    <row r="13" spans="1:9" s="24" customFormat="1" ht="15">
      <c r="A13" s="22"/>
      <c r="B13" s="23">
        <f t="shared" si="0"/>
        <v>5</v>
      </c>
      <c r="C13" s="64" t="s">
        <v>1823</v>
      </c>
      <c r="D13" s="64" t="s">
        <v>1824</v>
      </c>
      <c r="E13" s="68" t="s">
        <v>456</v>
      </c>
      <c r="F13" s="62">
        <v>1000</v>
      </c>
      <c r="G13" s="73"/>
      <c r="H13" s="73"/>
      <c r="I13" s="73"/>
    </row>
    <row r="14" spans="1:9" s="24" customFormat="1" ht="15">
      <c r="A14" s="22"/>
      <c r="B14" s="23">
        <f t="shared" si="0"/>
        <v>6</v>
      </c>
      <c r="C14" s="70" t="s">
        <v>398</v>
      </c>
      <c r="D14" s="71" t="s">
        <v>325</v>
      </c>
      <c r="E14" s="72" t="s">
        <v>326</v>
      </c>
      <c r="F14" s="72">
        <v>4</v>
      </c>
      <c r="G14" s="73" t="s">
        <v>327</v>
      </c>
      <c r="H14" s="28" t="s">
        <v>435</v>
      </c>
      <c r="I14" s="73"/>
    </row>
    <row r="15" spans="1:9" s="24" customFormat="1" ht="15">
      <c r="A15" s="22"/>
      <c r="B15" s="23">
        <f t="shared" si="0"/>
        <v>7</v>
      </c>
      <c r="C15" s="64" t="s">
        <v>493</v>
      </c>
      <c r="D15" s="64" t="s">
        <v>494</v>
      </c>
      <c r="E15" s="74" t="s">
        <v>313</v>
      </c>
      <c r="F15" s="77"/>
      <c r="G15" s="73"/>
      <c r="H15" s="73"/>
      <c r="I15" s="73"/>
    </row>
    <row r="16" spans="1:9" ht="15">
      <c r="B16" s="21"/>
    </row>
    <row r="17" spans="2:2" ht="15">
      <c r="B17" s="45"/>
    </row>
    <row r="18" spans="2:2" ht="15">
      <c r="B18" s="45"/>
    </row>
  </sheetData>
  <mergeCells count="6">
    <mergeCell ref="B1:E1"/>
    <mergeCell ref="F1:I1"/>
    <mergeCell ref="B2:E2"/>
    <mergeCell ref="F2:I2"/>
    <mergeCell ref="B7:E7"/>
    <mergeCell ref="F7:I7"/>
  </mergeCells>
  <phoneticPr fontId="5" type="noConversion"/>
  <pageMargins left="0.7" right="0.7" top="0.75" bottom="0.75" header="0.3" footer="0.3"/>
  <pageSetup paperSize="9" orientation="portrait" horizontalDpi="0" verticalDpi="0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6EA27DF-10DB-440A-9587-AFFCFAEC7544}">
  <sheetPr codeName="工作表99"/>
  <dimension ref="A1:J39"/>
  <sheetViews>
    <sheetView workbookViewId="0"/>
  </sheetViews>
  <sheetFormatPr defaultColWidth="6.625" defaultRowHeight="13.5"/>
  <cols>
    <col min="1" max="1" width="3.125" style="4" bestFit="1" customWidth="1"/>
    <col min="2" max="2" width="5.5" style="8" customWidth="1"/>
    <col min="3" max="3" width="26.5" style="4" customWidth="1"/>
    <col min="4" max="4" width="30.125" style="4" customWidth="1"/>
    <col min="5" max="5" width="11.125" style="4" bestFit="1" customWidth="1"/>
    <col min="6" max="6" width="10.375" style="4" customWidth="1"/>
    <col min="7" max="7" width="50.625" style="4" customWidth="1"/>
    <col min="8" max="8" width="45.625" style="4" customWidth="1"/>
    <col min="9" max="9" width="30.125" style="4" customWidth="1"/>
    <col min="10" max="16384" width="6.625" style="4"/>
  </cols>
  <sheetData>
    <row r="1" spans="1:10" ht="24">
      <c r="A1" s="1" t="e">
        <f ca="1">HYPERLINK("#'介面'!E"&amp;MATCH(VALUE(RIGHT(CELL("filename"),LEN(CELL("filename"))-FIND("]",CELL("filename")))),介面!D:D,"0"),"←")</f>
        <v>#VALUE!</v>
      </c>
      <c r="B1" s="207" t="s">
        <v>125</v>
      </c>
      <c r="C1" s="208"/>
      <c r="D1" s="208"/>
      <c r="E1" s="209"/>
      <c r="F1" s="207" t="s">
        <v>126</v>
      </c>
      <c r="G1" s="208"/>
      <c r="H1" s="208"/>
      <c r="I1" s="208"/>
    </row>
    <row r="2" spans="1:10" ht="24">
      <c r="A2" s="1"/>
      <c r="B2" s="210" t="s">
        <v>275</v>
      </c>
      <c r="C2" s="211"/>
      <c r="D2" s="211"/>
      <c r="E2" s="212"/>
      <c r="F2" s="210"/>
      <c r="G2" s="211"/>
      <c r="H2" s="211"/>
      <c r="I2" s="212"/>
    </row>
    <row r="3" spans="1:10" s="8" customFormat="1" ht="15">
      <c r="A3" s="6"/>
      <c r="B3" s="7" t="s">
        <v>276</v>
      </c>
      <c r="C3" s="56" t="s">
        <v>277</v>
      </c>
      <c r="D3" s="56" t="s">
        <v>278</v>
      </c>
      <c r="E3" s="57" t="s">
        <v>279</v>
      </c>
      <c r="F3" s="57" t="s">
        <v>280</v>
      </c>
      <c r="G3" s="56" t="s">
        <v>281</v>
      </c>
      <c r="H3" s="141" t="s">
        <v>11</v>
      </c>
      <c r="I3" s="56" t="s">
        <v>282</v>
      </c>
    </row>
    <row r="4" spans="1:10" s="24" customFormat="1" ht="15">
      <c r="A4" s="25"/>
      <c r="B4" s="46">
        <v>1</v>
      </c>
      <c r="C4" s="64" t="s">
        <v>1825</v>
      </c>
      <c r="D4" s="64" t="s">
        <v>1826</v>
      </c>
      <c r="E4" s="62" t="s">
        <v>285</v>
      </c>
      <c r="F4" s="62">
        <v>50</v>
      </c>
      <c r="G4" s="66" t="s">
        <v>330</v>
      </c>
      <c r="H4" s="142" t="s">
        <v>302</v>
      </c>
      <c r="I4" s="66" t="s">
        <v>287</v>
      </c>
    </row>
    <row r="5" spans="1:10" s="24" customFormat="1" ht="15">
      <c r="A5" s="25"/>
      <c r="B5" s="46">
        <v>2</v>
      </c>
      <c r="C5" s="50" t="s">
        <v>303</v>
      </c>
      <c r="D5" s="50" t="s">
        <v>304</v>
      </c>
      <c r="E5" s="51" t="s">
        <v>452</v>
      </c>
      <c r="F5" s="51">
        <v>20</v>
      </c>
      <c r="G5" s="66" t="s">
        <v>331</v>
      </c>
      <c r="H5" s="142"/>
      <c r="I5" s="66" t="s">
        <v>287</v>
      </c>
    </row>
    <row r="6" spans="1:10" s="95" customFormat="1" ht="15.75">
      <c r="A6" s="93"/>
      <c r="B6" s="46">
        <v>3</v>
      </c>
      <c r="C6" s="80" t="s">
        <v>1827</v>
      </c>
      <c r="D6" s="80" t="s">
        <v>1196</v>
      </c>
      <c r="E6" s="81" t="s">
        <v>316</v>
      </c>
      <c r="F6" s="81"/>
      <c r="G6" s="91" t="s">
        <v>985</v>
      </c>
      <c r="H6" s="142"/>
      <c r="I6" s="19" t="s">
        <v>287</v>
      </c>
      <c r="J6" s="4"/>
    </row>
    <row r="7" spans="1:10" s="95" customFormat="1" ht="15.75">
      <c r="A7" s="93"/>
      <c r="B7" s="46">
        <v>4</v>
      </c>
      <c r="C7" s="80" t="s">
        <v>1828</v>
      </c>
      <c r="D7" s="80" t="s">
        <v>1198</v>
      </c>
      <c r="E7" s="81" t="s">
        <v>316</v>
      </c>
      <c r="F7" s="81"/>
      <c r="G7" s="91" t="s">
        <v>1829</v>
      </c>
      <c r="H7" s="142"/>
      <c r="I7" s="19" t="s">
        <v>287</v>
      </c>
      <c r="J7" s="4"/>
    </row>
    <row r="8" spans="1:10" s="24" customFormat="1" ht="15">
      <c r="A8" s="25"/>
      <c r="B8" s="46">
        <v>6</v>
      </c>
      <c r="C8" s="50" t="s">
        <v>1830</v>
      </c>
      <c r="D8" s="50" t="s">
        <v>1831</v>
      </c>
      <c r="E8" s="51" t="s">
        <v>1832</v>
      </c>
      <c r="F8" s="51"/>
      <c r="G8" s="66"/>
      <c r="H8" s="142" t="s">
        <v>1833</v>
      </c>
      <c r="I8" s="66" t="s">
        <v>287</v>
      </c>
    </row>
    <row r="9" spans="1:10" s="24" customFormat="1" ht="15">
      <c r="A9" s="25"/>
      <c r="B9" s="152"/>
      <c r="C9" s="153"/>
      <c r="D9" s="154"/>
      <c r="E9" s="155"/>
      <c r="F9" s="156"/>
      <c r="G9" s="151"/>
      <c r="H9" s="151"/>
      <c r="I9" s="158"/>
    </row>
    <row r="10" spans="1:10" ht="24">
      <c r="A10" s="1"/>
      <c r="B10" s="227" t="s">
        <v>291</v>
      </c>
      <c r="C10" s="228"/>
      <c r="D10" s="228"/>
      <c r="E10" s="229"/>
      <c r="F10" s="227"/>
      <c r="G10" s="228"/>
      <c r="H10" s="228"/>
      <c r="I10" s="229"/>
    </row>
    <row r="11" spans="1:10" s="8" customFormat="1" ht="15">
      <c r="A11" s="6"/>
      <c r="B11" s="7" t="s">
        <v>276</v>
      </c>
      <c r="C11" s="56" t="s">
        <v>277</v>
      </c>
      <c r="D11" s="56" t="s">
        <v>278</v>
      </c>
      <c r="E11" s="57" t="s">
        <v>279</v>
      </c>
      <c r="F11" s="57" t="s">
        <v>280</v>
      </c>
      <c r="G11" s="56" t="s">
        <v>11</v>
      </c>
      <c r="H11" s="56" t="s">
        <v>292</v>
      </c>
      <c r="I11" s="56" t="s">
        <v>293</v>
      </c>
    </row>
    <row r="12" spans="1:10" s="24" customFormat="1" ht="15.75">
      <c r="A12" s="25"/>
      <c r="B12" s="46">
        <v>1</v>
      </c>
      <c r="C12" s="86" t="s">
        <v>1834</v>
      </c>
      <c r="D12" s="86" t="s">
        <v>1835</v>
      </c>
      <c r="E12" s="87"/>
      <c r="F12" s="87"/>
      <c r="G12" s="85" t="s">
        <v>1836</v>
      </c>
      <c r="H12" s="28"/>
      <c r="I12" s="86"/>
    </row>
    <row r="13" spans="1:10" s="24" customFormat="1" ht="15.75">
      <c r="A13" s="25"/>
      <c r="B13" s="46">
        <v>2</v>
      </c>
      <c r="C13" s="86" t="s">
        <v>1837</v>
      </c>
      <c r="D13" s="86" t="s">
        <v>1838</v>
      </c>
      <c r="E13" s="87"/>
      <c r="F13" s="87"/>
      <c r="G13" s="85" t="s">
        <v>1836</v>
      </c>
      <c r="H13" s="28"/>
      <c r="I13" s="86"/>
    </row>
    <row r="14" spans="1:10" ht="16.5" customHeight="1"/>
    <row r="15" spans="1:10" ht="16.5" customHeight="1"/>
    <row r="16" spans="1:10" ht="16.5" customHeight="1"/>
    <row r="17" ht="16.5" customHeight="1"/>
    <row r="18" ht="16.5" customHeight="1"/>
    <row r="19" ht="16.5" customHeight="1"/>
    <row r="20" ht="16.5" customHeight="1"/>
    <row r="21" ht="16.5" customHeight="1"/>
    <row r="22" ht="16.5" customHeight="1"/>
    <row r="23" ht="16.5" customHeight="1"/>
    <row r="24" ht="16.5" customHeight="1"/>
    <row r="25" ht="16.5" customHeight="1"/>
    <row r="26" ht="16.5" customHeight="1"/>
    <row r="27" ht="16.5" customHeight="1"/>
    <row r="28" ht="16.5" customHeight="1"/>
    <row r="29" ht="16.5" customHeight="1"/>
    <row r="30" ht="16.5" customHeight="1"/>
    <row r="31" ht="16.5" customHeight="1"/>
    <row r="32" ht="16.5" customHeight="1"/>
    <row r="33" ht="16.5" customHeight="1"/>
    <row r="34" ht="16.5" customHeight="1"/>
    <row r="35" ht="16.5" customHeight="1"/>
    <row r="36" ht="16.5" customHeight="1"/>
    <row r="37" ht="16.5" customHeight="1"/>
    <row r="38" ht="16.5" customHeight="1"/>
    <row r="39" ht="16.5" customHeight="1"/>
  </sheetData>
  <mergeCells count="6">
    <mergeCell ref="B1:E1"/>
    <mergeCell ref="F1:I1"/>
    <mergeCell ref="B2:E2"/>
    <mergeCell ref="F2:I2"/>
    <mergeCell ref="B10:E10"/>
    <mergeCell ref="F10:I10"/>
  </mergeCells>
  <phoneticPr fontId="5" type="noConversion"/>
  <pageMargins left="0.7" right="0.7" top="0.75" bottom="0.75" header="0.3" footer="0.3"/>
  <pageSetup paperSize="9" orientation="portrait" horizontalDpi="0" verticalDpi="0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88DC01C-809A-4559-ABE8-EF754081A54F}">
  <sheetPr codeName="工作表95"/>
  <dimension ref="A1:I41"/>
  <sheetViews>
    <sheetView workbookViewId="0"/>
  </sheetViews>
  <sheetFormatPr defaultColWidth="6.625" defaultRowHeight="13.5"/>
  <cols>
    <col min="1" max="1" width="3.125" style="4" bestFit="1" customWidth="1"/>
    <col min="2" max="2" width="5.5" style="8" customWidth="1"/>
    <col min="3" max="3" width="26.5" style="4" customWidth="1"/>
    <col min="4" max="4" width="30.125" style="4" customWidth="1"/>
    <col min="5" max="5" width="11.125" style="4" bestFit="1" customWidth="1"/>
    <col min="6" max="6" width="10.375" style="4" customWidth="1"/>
    <col min="7" max="7" width="50.625" style="4" customWidth="1"/>
    <col min="8" max="8" width="45.625" style="4" customWidth="1"/>
    <col min="9" max="9" width="30.125" style="4" customWidth="1"/>
    <col min="10" max="16384" width="6.625" style="4"/>
  </cols>
  <sheetData>
    <row r="1" spans="1:9" ht="24">
      <c r="A1" s="1" t="e">
        <f ca="1">HYPERLINK("#'介面'!E"&amp;MATCH(VALUE(RIGHT(CELL("filename"),LEN(CELL("filename"))-FIND("]",CELL("filename")))),介面!D:D,"0"),"←")</f>
        <v>#VALUE!</v>
      </c>
      <c r="B1" s="207" t="s">
        <v>127</v>
      </c>
      <c r="C1" s="208"/>
      <c r="D1" s="208"/>
      <c r="E1" s="209"/>
      <c r="F1" s="207" t="s">
        <v>128</v>
      </c>
      <c r="G1" s="208"/>
      <c r="H1" s="208"/>
      <c r="I1" s="208"/>
    </row>
    <row r="2" spans="1:9" ht="24">
      <c r="A2" s="1"/>
      <c r="B2" s="210" t="s">
        <v>275</v>
      </c>
      <c r="C2" s="211"/>
      <c r="D2" s="211"/>
      <c r="E2" s="212"/>
      <c r="F2" s="210"/>
      <c r="G2" s="211"/>
      <c r="H2" s="211"/>
      <c r="I2" s="212"/>
    </row>
    <row r="3" spans="1:9" s="8" customFormat="1" ht="15">
      <c r="A3" s="6"/>
      <c r="B3" s="7" t="s">
        <v>276</v>
      </c>
      <c r="C3" s="56" t="s">
        <v>277</v>
      </c>
      <c r="D3" s="56" t="s">
        <v>278</v>
      </c>
      <c r="E3" s="57" t="s">
        <v>279</v>
      </c>
      <c r="F3" s="57" t="s">
        <v>280</v>
      </c>
      <c r="G3" s="56" t="s">
        <v>281</v>
      </c>
      <c r="H3" s="141" t="s">
        <v>11</v>
      </c>
      <c r="I3" s="56" t="s">
        <v>282</v>
      </c>
    </row>
    <row r="4" spans="1:9" s="24" customFormat="1" ht="15">
      <c r="A4" s="25"/>
      <c r="B4" s="46">
        <v>1</v>
      </c>
      <c r="C4" s="64" t="s">
        <v>1825</v>
      </c>
      <c r="D4" s="64" t="s">
        <v>1826</v>
      </c>
      <c r="E4" s="62" t="s">
        <v>285</v>
      </c>
      <c r="F4" s="62">
        <v>50</v>
      </c>
      <c r="G4" s="66" t="s">
        <v>330</v>
      </c>
      <c r="H4" s="142" t="s">
        <v>302</v>
      </c>
      <c r="I4" s="66" t="s">
        <v>287</v>
      </c>
    </row>
    <row r="5" spans="1:9" s="24" customFormat="1" ht="15">
      <c r="A5" s="25"/>
      <c r="B5" s="46">
        <v>2</v>
      </c>
      <c r="C5" s="50" t="s">
        <v>303</v>
      </c>
      <c r="D5" s="50" t="s">
        <v>304</v>
      </c>
      <c r="E5" s="51" t="s">
        <v>452</v>
      </c>
      <c r="F5" s="51">
        <v>20</v>
      </c>
      <c r="G5" s="66" t="s">
        <v>331</v>
      </c>
      <c r="H5" s="142"/>
      <c r="I5" s="66" t="s">
        <v>287</v>
      </c>
    </row>
    <row r="6" spans="1:9" s="24" customFormat="1" ht="15">
      <c r="A6" s="25"/>
      <c r="B6" s="46">
        <v>3</v>
      </c>
      <c r="C6" s="64" t="s">
        <v>637</v>
      </c>
      <c r="D6" s="64" t="s">
        <v>364</v>
      </c>
      <c r="E6" s="51" t="s">
        <v>452</v>
      </c>
      <c r="F6" s="51">
        <v>20</v>
      </c>
      <c r="G6" s="91" t="s">
        <v>331</v>
      </c>
      <c r="H6" s="142"/>
      <c r="I6" s="66" t="s">
        <v>287</v>
      </c>
    </row>
    <row r="7" spans="1:9" s="24" customFormat="1" ht="15">
      <c r="A7" s="25"/>
      <c r="B7" s="46">
        <v>4</v>
      </c>
      <c r="C7" s="50" t="s">
        <v>1807</v>
      </c>
      <c r="D7" s="50" t="s">
        <v>1742</v>
      </c>
      <c r="E7" s="27" t="s">
        <v>421</v>
      </c>
      <c r="F7" s="27"/>
      <c r="G7" s="28" t="s">
        <v>1839</v>
      </c>
      <c r="H7" s="142"/>
      <c r="I7" s="66" t="s">
        <v>287</v>
      </c>
    </row>
    <row r="8" spans="1:9" s="24" customFormat="1" ht="90">
      <c r="A8" s="25"/>
      <c r="B8" s="46">
        <v>5</v>
      </c>
      <c r="C8" s="26" t="s">
        <v>1709</v>
      </c>
      <c r="D8" s="26" t="s">
        <v>1710</v>
      </c>
      <c r="E8" s="27" t="s">
        <v>326</v>
      </c>
      <c r="F8" s="27">
        <v>4</v>
      </c>
      <c r="G8" s="28" t="s">
        <v>331</v>
      </c>
      <c r="H8" s="173" t="s">
        <v>1809</v>
      </c>
      <c r="I8" s="66" t="s">
        <v>639</v>
      </c>
    </row>
    <row r="9" spans="1:9" s="24" customFormat="1" ht="15.75">
      <c r="A9" s="25"/>
      <c r="B9" s="46">
        <v>6</v>
      </c>
      <c r="C9" s="71" t="s">
        <v>1743</v>
      </c>
      <c r="D9" s="71" t="s">
        <v>1744</v>
      </c>
      <c r="E9" s="74" t="s">
        <v>285</v>
      </c>
      <c r="F9" s="72">
        <v>1</v>
      </c>
      <c r="G9" s="89" t="s">
        <v>1840</v>
      </c>
      <c r="H9" s="142" t="s">
        <v>1745</v>
      </c>
      <c r="I9" s="66" t="s">
        <v>639</v>
      </c>
    </row>
    <row r="10" spans="1:9" s="24" customFormat="1" ht="15">
      <c r="A10" s="25"/>
      <c r="B10" s="46">
        <v>7</v>
      </c>
      <c r="C10" s="70" t="s">
        <v>1747</v>
      </c>
      <c r="D10" s="71" t="s">
        <v>1748</v>
      </c>
      <c r="E10" s="72" t="s">
        <v>704</v>
      </c>
      <c r="F10" s="51" t="s">
        <v>705</v>
      </c>
      <c r="G10" s="147" t="s">
        <v>1841</v>
      </c>
      <c r="H10" s="142"/>
      <c r="I10" s="66" t="s">
        <v>639</v>
      </c>
    </row>
    <row r="11" spans="1:9" s="24" customFormat="1" ht="15">
      <c r="A11" s="25"/>
      <c r="B11" s="152"/>
      <c r="C11" s="153"/>
      <c r="D11" s="154"/>
      <c r="E11" s="155"/>
      <c r="F11" s="156"/>
      <c r="G11" s="151"/>
      <c r="H11" s="151"/>
      <c r="I11" s="158"/>
    </row>
    <row r="12" spans="1:9" ht="24">
      <c r="A12" s="1"/>
      <c r="B12" s="227" t="s">
        <v>291</v>
      </c>
      <c r="C12" s="228"/>
      <c r="D12" s="228"/>
      <c r="E12" s="229"/>
      <c r="F12" s="227"/>
      <c r="G12" s="228"/>
      <c r="H12" s="228"/>
      <c r="I12" s="229"/>
    </row>
    <row r="13" spans="1:9" s="8" customFormat="1" ht="15">
      <c r="A13" s="6"/>
      <c r="B13" s="7" t="s">
        <v>276</v>
      </c>
      <c r="C13" s="56" t="s">
        <v>277</v>
      </c>
      <c r="D13" s="56" t="s">
        <v>278</v>
      </c>
      <c r="E13" s="57" t="s">
        <v>279</v>
      </c>
      <c r="F13" s="57" t="s">
        <v>280</v>
      </c>
      <c r="G13" s="56" t="s">
        <v>11</v>
      </c>
      <c r="H13" s="56" t="s">
        <v>292</v>
      </c>
      <c r="I13" s="56" t="s">
        <v>293</v>
      </c>
    </row>
    <row r="14" spans="1:9" s="24" customFormat="1" ht="15.75">
      <c r="A14" s="25"/>
      <c r="B14" s="46">
        <v>1</v>
      </c>
      <c r="C14" s="86" t="s">
        <v>1834</v>
      </c>
      <c r="D14" s="86" t="s">
        <v>1835</v>
      </c>
      <c r="E14" s="87"/>
      <c r="F14" s="87"/>
      <c r="G14" s="85" t="s">
        <v>1836</v>
      </c>
      <c r="H14" s="28"/>
      <c r="I14" s="86"/>
    </row>
    <row r="15" spans="1:9" s="24" customFormat="1" ht="15.75">
      <c r="A15" s="25"/>
      <c r="B15" s="46">
        <v>2</v>
      </c>
      <c r="C15" s="86" t="s">
        <v>1837</v>
      </c>
      <c r="D15" s="86" t="s">
        <v>1838</v>
      </c>
      <c r="E15" s="87"/>
      <c r="F15" s="87"/>
      <c r="G15" s="85" t="s">
        <v>1836</v>
      </c>
      <c r="H15" s="28"/>
      <c r="I15" s="86"/>
    </row>
    <row r="16" spans="1:9" ht="16.5" customHeight="1"/>
    <row r="17" ht="16.5" customHeight="1"/>
    <row r="18" ht="16.5" customHeight="1"/>
    <row r="19" ht="16.5" customHeight="1"/>
    <row r="20" ht="16.5" customHeight="1"/>
    <row r="21" ht="16.5" customHeight="1"/>
    <row r="22" ht="16.5" customHeight="1"/>
    <row r="23" ht="16.5" customHeight="1"/>
    <row r="24" ht="16.5" customHeight="1"/>
    <row r="25" ht="16.5" customHeight="1"/>
    <row r="26" ht="16.5" customHeight="1"/>
    <row r="27" ht="16.5" customHeight="1"/>
    <row r="28" ht="16.5" customHeight="1"/>
    <row r="29" ht="16.5" customHeight="1"/>
    <row r="30" ht="16.5" customHeight="1"/>
    <row r="31" ht="16.5" customHeight="1"/>
    <row r="32" ht="16.5" customHeight="1"/>
    <row r="33" ht="16.5" customHeight="1"/>
    <row r="34" ht="16.5" customHeight="1"/>
    <row r="35" ht="16.5" customHeight="1"/>
    <row r="36" ht="16.5" customHeight="1"/>
    <row r="37" ht="16.5" customHeight="1"/>
    <row r="38" ht="16.5" customHeight="1"/>
    <row r="39" ht="16.5" customHeight="1"/>
    <row r="40" ht="16.5" customHeight="1"/>
    <row r="41" ht="16.5" customHeight="1"/>
  </sheetData>
  <mergeCells count="6">
    <mergeCell ref="B1:E1"/>
    <mergeCell ref="F1:I1"/>
    <mergeCell ref="B2:E2"/>
    <mergeCell ref="F2:I2"/>
    <mergeCell ref="B12:E12"/>
    <mergeCell ref="F12:I12"/>
  </mergeCells>
  <phoneticPr fontId="5" type="noConversion"/>
  <pageMargins left="0.7" right="0.7" top="0.75" bottom="0.75" header="0.3" footer="0.3"/>
  <pageSetup paperSize="9" orientation="portrait" horizontalDpi="0" verticalDpi="0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319C423-601D-41BE-A23A-71F475BA4E40}">
  <sheetPr codeName="工作表101"/>
  <dimension ref="A1:I36"/>
  <sheetViews>
    <sheetView workbookViewId="0"/>
  </sheetViews>
  <sheetFormatPr defaultColWidth="6.625" defaultRowHeight="13.5"/>
  <cols>
    <col min="1" max="1" width="3.125" style="4" bestFit="1" customWidth="1"/>
    <col min="2" max="2" width="5.5" style="8" customWidth="1"/>
    <col min="3" max="3" width="26.5" style="4" customWidth="1"/>
    <col min="4" max="4" width="30.125" style="4" customWidth="1"/>
    <col min="5" max="5" width="11.125" style="4" bestFit="1" customWidth="1"/>
    <col min="6" max="6" width="10.375" style="4" customWidth="1"/>
    <col min="7" max="7" width="50.625" style="4" customWidth="1"/>
    <col min="8" max="8" width="45.625" style="4" customWidth="1"/>
    <col min="9" max="9" width="30.125" style="4" customWidth="1"/>
    <col min="10" max="16384" width="6.625" style="4"/>
  </cols>
  <sheetData>
    <row r="1" spans="1:9" ht="24">
      <c r="A1" s="1" t="e">
        <f ca="1">HYPERLINK("#'介面'!E"&amp;MATCH(VALUE(RIGHT(CELL("filename"),LEN(CELL("filename"))-FIND("]",CELL("filename")))),介面!D:D,"0"),"←")</f>
        <v>#VALUE!</v>
      </c>
      <c r="B1" s="207" t="s">
        <v>129</v>
      </c>
      <c r="C1" s="208"/>
      <c r="D1" s="208"/>
      <c r="E1" s="209"/>
      <c r="F1" s="207" t="s">
        <v>130</v>
      </c>
      <c r="G1" s="208"/>
      <c r="H1" s="208"/>
      <c r="I1" s="208"/>
    </row>
    <row r="2" spans="1:9" ht="24">
      <c r="A2" s="1"/>
      <c r="B2" s="210" t="s">
        <v>275</v>
      </c>
      <c r="C2" s="211"/>
      <c r="D2" s="211"/>
      <c r="E2" s="212"/>
      <c r="F2" s="210"/>
      <c r="G2" s="211"/>
      <c r="H2" s="211"/>
      <c r="I2" s="212"/>
    </row>
    <row r="3" spans="1:9" s="8" customFormat="1" ht="15">
      <c r="A3" s="6"/>
      <c r="B3" s="7" t="s">
        <v>276</v>
      </c>
      <c r="C3" s="56" t="s">
        <v>277</v>
      </c>
      <c r="D3" s="56" t="s">
        <v>278</v>
      </c>
      <c r="E3" s="57" t="s">
        <v>279</v>
      </c>
      <c r="F3" s="57" t="s">
        <v>280</v>
      </c>
      <c r="G3" s="56" t="s">
        <v>281</v>
      </c>
      <c r="H3" s="141" t="s">
        <v>11</v>
      </c>
      <c r="I3" s="56" t="s">
        <v>282</v>
      </c>
    </row>
    <row r="4" spans="1:9" s="24" customFormat="1" ht="15.75">
      <c r="A4" s="25"/>
      <c r="B4" s="46">
        <v>1</v>
      </c>
      <c r="C4" s="80" t="s">
        <v>297</v>
      </c>
      <c r="D4" s="80" t="s">
        <v>298</v>
      </c>
      <c r="E4" s="81" t="s">
        <v>285</v>
      </c>
      <c r="F4" s="81">
        <v>500</v>
      </c>
      <c r="G4" s="66" t="s">
        <v>330</v>
      </c>
      <c r="H4" s="142" t="s">
        <v>302</v>
      </c>
      <c r="I4" s="66" t="s">
        <v>287</v>
      </c>
    </row>
    <row r="5" spans="1:9" s="24" customFormat="1" ht="15">
      <c r="A5" s="25"/>
      <c r="B5" s="152"/>
      <c r="C5" s="153"/>
      <c r="D5" s="154"/>
      <c r="E5" s="155"/>
      <c r="F5" s="156"/>
      <c r="G5" s="151"/>
      <c r="H5" s="151"/>
      <c r="I5" s="158"/>
    </row>
    <row r="6" spans="1:9" ht="24">
      <c r="A6" s="1"/>
      <c r="B6" s="227" t="s">
        <v>291</v>
      </c>
      <c r="C6" s="228"/>
      <c r="D6" s="228"/>
      <c r="E6" s="229"/>
      <c r="F6" s="227"/>
      <c r="G6" s="228"/>
      <c r="H6" s="228"/>
      <c r="I6" s="229"/>
    </row>
    <row r="7" spans="1:9" s="8" customFormat="1" ht="15">
      <c r="A7" s="6"/>
      <c r="B7" s="7" t="s">
        <v>276</v>
      </c>
      <c r="C7" s="56" t="s">
        <v>277</v>
      </c>
      <c r="D7" s="56" t="s">
        <v>278</v>
      </c>
      <c r="E7" s="57" t="s">
        <v>279</v>
      </c>
      <c r="F7" s="57" t="s">
        <v>280</v>
      </c>
      <c r="G7" s="56" t="s">
        <v>11</v>
      </c>
      <c r="H7" s="56" t="s">
        <v>292</v>
      </c>
      <c r="I7" s="56" t="s">
        <v>293</v>
      </c>
    </row>
    <row r="8" spans="1:9" s="24" customFormat="1" ht="15.75">
      <c r="A8" s="25"/>
      <c r="B8" s="46">
        <v>1</v>
      </c>
      <c r="C8" s="50" t="s">
        <v>303</v>
      </c>
      <c r="D8" s="50" t="s">
        <v>304</v>
      </c>
      <c r="E8" s="87" t="s">
        <v>296</v>
      </c>
      <c r="F8" s="87">
        <v>20</v>
      </c>
      <c r="G8" s="85"/>
      <c r="H8" s="28" t="s">
        <v>41</v>
      </c>
      <c r="I8" s="86" t="s">
        <v>304</v>
      </c>
    </row>
    <row r="9" spans="1:9" s="24" customFormat="1" ht="15.75">
      <c r="A9" s="25"/>
      <c r="B9" s="46">
        <v>2</v>
      </c>
      <c r="C9" s="50" t="s">
        <v>307</v>
      </c>
      <c r="D9" s="50" t="s">
        <v>308</v>
      </c>
      <c r="E9" s="87" t="s">
        <v>456</v>
      </c>
      <c r="F9" s="87">
        <v>200</v>
      </c>
      <c r="G9" s="85"/>
      <c r="H9" s="28"/>
      <c r="I9" s="86"/>
    </row>
    <row r="10" spans="1:9" s="24" customFormat="1" ht="15.75">
      <c r="A10" s="25"/>
      <c r="B10" s="46">
        <v>3</v>
      </c>
      <c r="C10" s="80" t="s">
        <v>1842</v>
      </c>
      <c r="D10" s="80" t="s">
        <v>1843</v>
      </c>
      <c r="E10" s="87" t="s">
        <v>296</v>
      </c>
      <c r="F10" s="87">
        <v>20</v>
      </c>
      <c r="G10" s="85" t="s">
        <v>331</v>
      </c>
      <c r="H10" s="89"/>
      <c r="I10" s="86"/>
    </row>
    <row r="11" spans="1:9" s="24" customFormat="1" ht="15.75">
      <c r="A11" s="25"/>
      <c r="B11" s="46">
        <v>4</v>
      </c>
      <c r="C11" s="71" t="s">
        <v>1844</v>
      </c>
      <c r="D11" s="71" t="s">
        <v>1845</v>
      </c>
      <c r="E11" s="74" t="s">
        <v>456</v>
      </c>
      <c r="F11" s="72">
        <v>100</v>
      </c>
      <c r="G11" s="85" t="s">
        <v>1846</v>
      </c>
      <c r="H11" s="89"/>
      <c r="I11" s="86"/>
    </row>
    <row r="12" spans="1:9" s="24" customFormat="1" ht="15.75">
      <c r="A12" s="25"/>
      <c r="B12" s="46">
        <v>5</v>
      </c>
      <c r="C12" s="71" t="s">
        <v>1847</v>
      </c>
      <c r="D12" s="71" t="s">
        <v>1848</v>
      </c>
      <c r="E12" s="74" t="s">
        <v>326</v>
      </c>
      <c r="F12" s="72">
        <v>4</v>
      </c>
      <c r="G12" s="85" t="s">
        <v>331</v>
      </c>
      <c r="H12" s="89" t="s">
        <v>1849</v>
      </c>
      <c r="I12" s="86"/>
    </row>
    <row r="13" spans="1:9" ht="16.5" customHeight="1"/>
    <row r="14" spans="1:9" ht="16.5" customHeight="1"/>
    <row r="15" spans="1:9" ht="16.5" customHeight="1"/>
    <row r="16" spans="1:9" ht="16.5" customHeight="1"/>
    <row r="17" ht="16.5" customHeight="1"/>
    <row r="18" ht="16.5" customHeight="1"/>
    <row r="19" ht="16.5" customHeight="1"/>
    <row r="20" ht="16.5" customHeight="1"/>
    <row r="21" ht="16.5" customHeight="1"/>
    <row r="22" ht="16.5" customHeight="1"/>
    <row r="23" ht="16.5" customHeight="1"/>
    <row r="24" ht="16.5" customHeight="1"/>
    <row r="25" ht="16.5" customHeight="1"/>
    <row r="26" ht="16.5" customHeight="1"/>
    <row r="27" ht="16.5" customHeight="1"/>
    <row r="28" ht="16.5" customHeight="1"/>
    <row r="29" ht="16.5" customHeight="1"/>
    <row r="30" ht="16.5" customHeight="1"/>
    <row r="31" ht="16.5" customHeight="1"/>
    <row r="32" ht="16.5" customHeight="1"/>
    <row r="33" ht="16.5" customHeight="1"/>
    <row r="34" ht="16.5" customHeight="1"/>
    <row r="35" ht="16.5" customHeight="1"/>
    <row r="36" ht="16.5" customHeight="1"/>
  </sheetData>
  <mergeCells count="6">
    <mergeCell ref="B1:E1"/>
    <mergeCell ref="F1:I1"/>
    <mergeCell ref="B2:E2"/>
    <mergeCell ref="F2:I2"/>
    <mergeCell ref="B6:E6"/>
    <mergeCell ref="F6:I6"/>
  </mergeCells>
  <phoneticPr fontId="5" type="noConversion"/>
  <pageMargins left="0.7" right="0.7" top="0.75" bottom="0.75" header="0.3" footer="0.3"/>
  <pageSetup paperSize="9" orientation="portrait" horizontalDpi="0" verticalDpi="0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34EB7E3-B1C8-44B5-A15C-9AA62F04DF73}">
  <sheetPr codeName="工作表100"/>
  <dimension ref="A1:J38"/>
  <sheetViews>
    <sheetView workbookViewId="0">
      <selection activeCell="B1" sqref="B1:E1"/>
    </sheetView>
  </sheetViews>
  <sheetFormatPr defaultColWidth="6.625" defaultRowHeight="13.5"/>
  <cols>
    <col min="1" max="1" width="3.125" style="4" bestFit="1" customWidth="1"/>
    <col min="2" max="2" width="5.5" style="8" customWidth="1"/>
    <col min="3" max="3" width="26.5" style="4" customWidth="1"/>
    <col min="4" max="4" width="30.125" style="4" customWidth="1"/>
    <col min="5" max="5" width="11.125" style="4" bestFit="1" customWidth="1"/>
    <col min="6" max="6" width="10.375" style="4" customWidth="1"/>
    <col min="7" max="7" width="50.625" style="4" customWidth="1"/>
    <col min="8" max="8" width="45.625" style="4" customWidth="1"/>
    <col min="9" max="9" width="30.125" style="4" customWidth="1"/>
    <col min="10" max="16384" width="6.625" style="4"/>
  </cols>
  <sheetData>
    <row r="1" spans="1:10" ht="24">
      <c r="A1" s="1" t="e">
        <f ca="1">HYPERLINK("#'介面'!E"&amp;MATCH(VALUE(RIGHT(CELL("filename"),LEN(CELL("filename"))-FIND("]",CELL("filename")))),介面!D:D,"0"),"←")</f>
        <v>#VALUE!</v>
      </c>
      <c r="B1" s="207" t="s">
        <v>131</v>
      </c>
      <c r="C1" s="208"/>
      <c r="D1" s="208"/>
      <c r="E1" s="209"/>
      <c r="F1" s="207" t="s">
        <v>132</v>
      </c>
      <c r="G1" s="208"/>
      <c r="H1" s="208"/>
      <c r="I1" s="208"/>
    </row>
    <row r="2" spans="1:10" ht="24">
      <c r="A2" s="1"/>
      <c r="B2" s="210" t="s">
        <v>275</v>
      </c>
      <c r="C2" s="211"/>
      <c r="D2" s="211"/>
      <c r="E2" s="212"/>
      <c r="F2" s="210"/>
      <c r="G2" s="211"/>
      <c r="H2" s="211"/>
      <c r="I2" s="212"/>
    </row>
    <row r="3" spans="1:10" s="8" customFormat="1" ht="15">
      <c r="A3" s="6"/>
      <c r="B3" s="7" t="s">
        <v>276</v>
      </c>
      <c r="C3" s="56" t="s">
        <v>277</v>
      </c>
      <c r="D3" s="56" t="s">
        <v>278</v>
      </c>
      <c r="E3" s="57" t="s">
        <v>279</v>
      </c>
      <c r="F3" s="57" t="s">
        <v>280</v>
      </c>
      <c r="G3" s="56" t="s">
        <v>281</v>
      </c>
      <c r="H3" s="141" t="s">
        <v>11</v>
      </c>
      <c r="I3" s="56" t="s">
        <v>282</v>
      </c>
    </row>
    <row r="4" spans="1:10" s="24" customFormat="1" ht="15">
      <c r="A4" s="25"/>
      <c r="B4" s="46">
        <v>1</v>
      </c>
      <c r="C4" s="64" t="s">
        <v>1825</v>
      </c>
      <c r="D4" s="64" t="s">
        <v>1826</v>
      </c>
      <c r="E4" s="62" t="s">
        <v>285</v>
      </c>
      <c r="F4" s="62">
        <v>50</v>
      </c>
      <c r="G4" s="66" t="s">
        <v>330</v>
      </c>
      <c r="H4" s="142" t="s">
        <v>302</v>
      </c>
      <c r="I4" s="66" t="s">
        <v>287</v>
      </c>
    </row>
    <row r="5" spans="1:10" s="24" customFormat="1" ht="15">
      <c r="A5" s="25"/>
      <c r="B5" s="46">
        <v>2</v>
      </c>
      <c r="C5" s="50" t="s">
        <v>303</v>
      </c>
      <c r="D5" s="50" t="s">
        <v>304</v>
      </c>
      <c r="E5" s="51" t="s">
        <v>452</v>
      </c>
      <c r="F5" s="51">
        <v>20</v>
      </c>
      <c r="G5" s="66" t="s">
        <v>331</v>
      </c>
      <c r="H5" s="142"/>
      <c r="I5" s="66" t="s">
        <v>287</v>
      </c>
    </row>
    <row r="6" spans="1:10" s="95" customFormat="1" ht="15.75">
      <c r="A6" s="93"/>
      <c r="B6" s="46">
        <v>3</v>
      </c>
      <c r="C6" s="80" t="s">
        <v>1842</v>
      </c>
      <c r="D6" s="80" t="s">
        <v>1843</v>
      </c>
      <c r="E6" s="51" t="s">
        <v>452</v>
      </c>
      <c r="F6" s="51">
        <v>20</v>
      </c>
      <c r="G6" s="91" t="s">
        <v>1590</v>
      </c>
      <c r="H6" s="142"/>
      <c r="I6" s="19" t="s">
        <v>287</v>
      </c>
      <c r="J6" s="4"/>
    </row>
    <row r="7" spans="1:10" s="24" customFormat="1" ht="15">
      <c r="A7" s="25"/>
      <c r="B7" s="46">
        <v>4</v>
      </c>
      <c r="C7" s="50" t="s">
        <v>1830</v>
      </c>
      <c r="D7" s="50" t="s">
        <v>1831</v>
      </c>
      <c r="E7" s="51" t="s">
        <v>1832</v>
      </c>
      <c r="F7" s="51"/>
      <c r="G7" s="66"/>
      <c r="H7" s="142" t="s">
        <v>1850</v>
      </c>
      <c r="I7" s="66" t="s">
        <v>287</v>
      </c>
    </row>
    <row r="8" spans="1:10" s="24" customFormat="1" ht="15">
      <c r="A8" s="25"/>
      <c r="B8" s="152"/>
      <c r="C8" s="153"/>
      <c r="D8" s="154"/>
      <c r="E8" s="155"/>
      <c r="F8" s="156"/>
      <c r="G8" s="151"/>
      <c r="H8" s="151"/>
      <c r="I8" s="158"/>
    </row>
    <row r="9" spans="1:10" ht="24">
      <c r="A9" s="1"/>
      <c r="B9" s="227" t="s">
        <v>291</v>
      </c>
      <c r="C9" s="228"/>
      <c r="D9" s="228"/>
      <c r="E9" s="229"/>
      <c r="F9" s="227"/>
      <c r="G9" s="228"/>
      <c r="H9" s="228"/>
      <c r="I9" s="229"/>
    </row>
    <row r="10" spans="1:10" s="8" customFormat="1" ht="15">
      <c r="A10" s="6"/>
      <c r="B10" s="7" t="s">
        <v>276</v>
      </c>
      <c r="C10" s="56" t="s">
        <v>277</v>
      </c>
      <c r="D10" s="56" t="s">
        <v>278</v>
      </c>
      <c r="E10" s="57" t="s">
        <v>279</v>
      </c>
      <c r="F10" s="57" t="s">
        <v>280</v>
      </c>
      <c r="G10" s="56" t="s">
        <v>11</v>
      </c>
      <c r="H10" s="56" t="s">
        <v>292</v>
      </c>
      <c r="I10" s="56" t="s">
        <v>293</v>
      </c>
    </row>
    <row r="11" spans="1:10" s="24" customFormat="1" ht="15.75">
      <c r="A11" s="25"/>
      <c r="B11" s="46">
        <v>1</v>
      </c>
      <c r="C11" s="86" t="s">
        <v>1834</v>
      </c>
      <c r="D11" s="86" t="s">
        <v>1835</v>
      </c>
      <c r="E11" s="87"/>
      <c r="F11" s="87"/>
      <c r="G11" s="85" t="s">
        <v>1836</v>
      </c>
      <c r="H11" s="28"/>
      <c r="I11" s="86"/>
    </row>
    <row r="12" spans="1:10" s="24" customFormat="1" ht="15.75">
      <c r="A12" s="25"/>
      <c r="B12" s="46">
        <v>2</v>
      </c>
      <c r="C12" s="86" t="s">
        <v>1837</v>
      </c>
      <c r="D12" s="86" t="s">
        <v>1838</v>
      </c>
      <c r="E12" s="87"/>
      <c r="F12" s="87"/>
      <c r="G12" s="85" t="s">
        <v>1836</v>
      </c>
      <c r="H12" s="28"/>
      <c r="I12" s="86"/>
    </row>
    <row r="13" spans="1:10" ht="16.5" customHeight="1"/>
    <row r="14" spans="1:10" ht="16.5" customHeight="1"/>
    <row r="15" spans="1:10" ht="16.5" customHeight="1"/>
    <row r="16" spans="1:10" ht="16.5" customHeight="1"/>
    <row r="17" ht="16.5" customHeight="1"/>
    <row r="18" ht="16.5" customHeight="1"/>
    <row r="19" ht="16.5" customHeight="1"/>
    <row r="20" ht="16.5" customHeight="1"/>
    <row r="21" ht="16.5" customHeight="1"/>
    <row r="22" ht="16.5" customHeight="1"/>
    <row r="23" ht="16.5" customHeight="1"/>
    <row r="24" ht="16.5" customHeight="1"/>
    <row r="25" ht="16.5" customHeight="1"/>
    <row r="26" ht="16.5" customHeight="1"/>
    <row r="27" ht="16.5" customHeight="1"/>
    <row r="28" ht="16.5" customHeight="1"/>
    <row r="29" ht="16.5" customHeight="1"/>
    <row r="30" ht="16.5" customHeight="1"/>
    <row r="31" ht="16.5" customHeight="1"/>
    <row r="32" ht="16.5" customHeight="1"/>
    <row r="33" ht="16.5" customHeight="1"/>
    <row r="34" ht="16.5" customHeight="1"/>
    <row r="35" ht="16.5" customHeight="1"/>
    <row r="36" ht="16.5" customHeight="1"/>
    <row r="37" ht="16.5" customHeight="1"/>
    <row r="38" ht="16.5" customHeight="1"/>
  </sheetData>
  <mergeCells count="6">
    <mergeCell ref="B1:E1"/>
    <mergeCell ref="F1:I1"/>
    <mergeCell ref="B2:E2"/>
    <mergeCell ref="F2:I2"/>
    <mergeCell ref="B9:E9"/>
    <mergeCell ref="F9:I9"/>
  </mergeCells>
  <phoneticPr fontId="5" type="noConversion"/>
  <pageMargins left="0.7" right="0.7" top="0.75" bottom="0.75" header="0.3" footer="0.3"/>
  <pageSetup paperSize="9" orientation="portrait" horizontalDpi="0" verticalDpi="0"/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A8A69DB-C5CE-4C6A-B69F-798CFFA59F01}">
  <sheetPr codeName="工作表115"/>
  <dimension ref="A1:I43"/>
  <sheetViews>
    <sheetView zoomScale="120" zoomScaleNormal="120" workbookViewId="0"/>
  </sheetViews>
  <sheetFormatPr defaultColWidth="6.625" defaultRowHeight="13.5"/>
  <cols>
    <col min="1" max="1" width="3.125" style="4" bestFit="1" customWidth="1"/>
    <col min="2" max="2" width="5.5" style="8" customWidth="1"/>
    <col min="3" max="3" width="23.625" style="4" bestFit="1" customWidth="1"/>
    <col min="4" max="4" width="25" style="4" bestFit="1" customWidth="1"/>
    <col min="5" max="5" width="16.625" style="4" customWidth="1"/>
    <col min="6" max="6" width="5.5" style="4" bestFit="1" customWidth="1"/>
    <col min="7" max="7" width="38" style="4" customWidth="1"/>
    <col min="8" max="8" width="46.625" style="4" bestFit="1" customWidth="1"/>
    <col min="9" max="9" width="19.5" style="4" bestFit="1" customWidth="1"/>
    <col min="10" max="16384" width="6.625" style="4"/>
  </cols>
  <sheetData>
    <row r="1" spans="1:9" ht="24">
      <c r="A1" s="1" t="e">
        <f ca="1">HYPERLINK("#'介面'!E"&amp;MATCH(VALUE(RIGHT(CELL("filename"),LEN(CELL("filename"))-FIND("]",CELL("filename")))),介面!D:D,"0"),"←")</f>
        <v>#VALUE!</v>
      </c>
      <c r="B1" s="207" t="s">
        <v>133</v>
      </c>
      <c r="C1" s="208"/>
      <c r="D1" s="208"/>
      <c r="E1" s="209"/>
      <c r="F1" s="221" t="s">
        <v>134</v>
      </c>
      <c r="G1" s="222"/>
      <c r="H1" s="222"/>
      <c r="I1" s="223"/>
    </row>
    <row r="2" spans="1:9" ht="24">
      <c r="A2" s="1"/>
      <c r="B2" s="210" t="s">
        <v>275</v>
      </c>
      <c r="C2" s="211"/>
      <c r="D2" s="211"/>
      <c r="E2" s="212"/>
      <c r="F2" s="219"/>
      <c r="G2" s="220"/>
      <c r="H2" s="220"/>
      <c r="I2" s="215"/>
    </row>
    <row r="3" spans="1:9" s="8" customFormat="1" ht="15">
      <c r="A3" s="6"/>
      <c r="B3" s="7" t="s">
        <v>276</v>
      </c>
      <c r="C3" s="56" t="s">
        <v>277</v>
      </c>
      <c r="D3" s="56" t="s">
        <v>278</v>
      </c>
      <c r="E3" s="57" t="s">
        <v>279</v>
      </c>
      <c r="F3" s="57" t="s">
        <v>280</v>
      </c>
      <c r="G3" s="56" t="s">
        <v>281</v>
      </c>
      <c r="H3" s="56" t="s">
        <v>11</v>
      </c>
      <c r="I3" s="56" t="s">
        <v>282</v>
      </c>
    </row>
    <row r="4" spans="1:9" s="24" customFormat="1" ht="15.75">
      <c r="A4" s="25"/>
      <c r="B4" s="46">
        <v>1</v>
      </c>
      <c r="C4" s="80" t="s">
        <v>297</v>
      </c>
      <c r="D4" s="80" t="s">
        <v>298</v>
      </c>
      <c r="E4" s="81" t="s">
        <v>285</v>
      </c>
      <c r="F4" s="81">
        <v>500</v>
      </c>
      <c r="G4" s="66" t="s">
        <v>330</v>
      </c>
      <c r="H4" s="142" t="s">
        <v>302</v>
      </c>
      <c r="I4" s="66" t="s">
        <v>287</v>
      </c>
    </row>
    <row r="5" spans="1:9" s="24" customFormat="1" ht="15">
      <c r="A5" s="25"/>
      <c r="B5" s="46">
        <v>2</v>
      </c>
      <c r="C5" s="50" t="s">
        <v>303</v>
      </c>
      <c r="D5" s="76" t="s">
        <v>304</v>
      </c>
      <c r="E5" s="51" t="s">
        <v>296</v>
      </c>
      <c r="F5" s="51">
        <v>20</v>
      </c>
      <c r="G5" s="66" t="s">
        <v>331</v>
      </c>
      <c r="H5" s="66"/>
      <c r="I5" s="66" t="s">
        <v>287</v>
      </c>
    </row>
    <row r="6" spans="1:9" s="95" customFormat="1" ht="15.75">
      <c r="A6" s="93"/>
      <c r="B6" s="46">
        <v>3</v>
      </c>
      <c r="C6" s="80" t="s">
        <v>1851</v>
      </c>
      <c r="D6" s="80" t="s">
        <v>1852</v>
      </c>
      <c r="E6" s="81" t="s">
        <v>316</v>
      </c>
      <c r="F6" s="81"/>
      <c r="G6" s="28" t="s">
        <v>1853</v>
      </c>
      <c r="H6" s="66"/>
      <c r="I6" s="66" t="s">
        <v>287</v>
      </c>
    </row>
    <row r="7" spans="1:9" s="95" customFormat="1" ht="15.75">
      <c r="A7" s="93"/>
      <c r="B7" s="46">
        <v>4</v>
      </c>
      <c r="C7" s="80" t="s">
        <v>1854</v>
      </c>
      <c r="D7" s="80" t="s">
        <v>1855</v>
      </c>
      <c r="E7" s="81" t="s">
        <v>316</v>
      </c>
      <c r="F7" s="81"/>
      <c r="G7" s="28" t="s">
        <v>1856</v>
      </c>
      <c r="H7" s="66"/>
      <c r="I7" s="66" t="s">
        <v>287</v>
      </c>
    </row>
    <row r="8" spans="1:9" s="24" customFormat="1" ht="15">
      <c r="A8" s="25"/>
      <c r="B8" s="46">
        <v>5</v>
      </c>
      <c r="C8" s="50" t="s">
        <v>637</v>
      </c>
      <c r="D8" s="50" t="s">
        <v>364</v>
      </c>
      <c r="E8" s="51" t="s">
        <v>296</v>
      </c>
      <c r="F8" s="51">
        <v>20</v>
      </c>
      <c r="G8" s="66" t="s">
        <v>331</v>
      </c>
      <c r="H8" s="66"/>
      <c r="I8" s="143" t="s">
        <v>639</v>
      </c>
    </row>
    <row r="9" spans="1:9" s="24" customFormat="1" ht="15">
      <c r="A9" s="25"/>
      <c r="B9" s="46">
        <v>6</v>
      </c>
      <c r="C9" s="50" t="s">
        <v>640</v>
      </c>
      <c r="D9" s="76" t="s">
        <v>641</v>
      </c>
      <c r="E9" s="51" t="s">
        <v>418</v>
      </c>
      <c r="F9" s="51">
        <v>11</v>
      </c>
      <c r="G9" s="66" t="s">
        <v>642</v>
      </c>
      <c r="H9" s="66"/>
      <c r="I9" s="66" t="s">
        <v>639</v>
      </c>
    </row>
    <row r="10" spans="1:9" ht="15.75">
      <c r="A10" s="1"/>
      <c r="B10" s="2"/>
      <c r="C10" s="3"/>
      <c r="D10" s="3"/>
      <c r="E10" s="3"/>
      <c r="F10" s="3"/>
      <c r="G10" s="3"/>
      <c r="H10" s="151"/>
      <c r="I10" s="21"/>
    </row>
    <row r="11" spans="1:9" ht="24">
      <c r="A11" s="1"/>
      <c r="B11" s="204" t="s">
        <v>291</v>
      </c>
      <c r="C11" s="205"/>
      <c r="D11" s="205"/>
      <c r="E11" s="206"/>
      <c r="F11" s="204"/>
      <c r="G11" s="205"/>
      <c r="H11" s="205"/>
      <c r="I11" s="206"/>
    </row>
    <row r="12" spans="1:9" s="8" customFormat="1" ht="15">
      <c r="A12" s="6"/>
      <c r="B12" s="7" t="s">
        <v>276</v>
      </c>
      <c r="C12" s="56" t="s">
        <v>277</v>
      </c>
      <c r="D12" s="56" t="s">
        <v>278</v>
      </c>
      <c r="E12" s="57" t="s">
        <v>279</v>
      </c>
      <c r="F12" s="57" t="s">
        <v>280</v>
      </c>
      <c r="G12" s="56" t="s">
        <v>11</v>
      </c>
      <c r="H12" s="56" t="s">
        <v>292</v>
      </c>
      <c r="I12" s="56" t="s">
        <v>293</v>
      </c>
    </row>
    <row r="13" spans="1:9" s="24" customFormat="1" ht="15.75">
      <c r="A13" s="25"/>
      <c r="B13" s="23">
        <v>1</v>
      </c>
      <c r="C13" s="86" t="s">
        <v>1857</v>
      </c>
      <c r="D13" s="86" t="s">
        <v>1858</v>
      </c>
      <c r="E13" s="87" t="s">
        <v>296</v>
      </c>
      <c r="F13" s="87">
        <v>20</v>
      </c>
      <c r="G13" s="89"/>
      <c r="H13" s="29"/>
      <c r="I13" s="66"/>
    </row>
    <row r="14" spans="1:9" s="24" customFormat="1" ht="15.75">
      <c r="A14" s="25"/>
      <c r="B14" s="23">
        <f>B13+1</f>
        <v>2</v>
      </c>
      <c r="C14" s="26" t="s">
        <v>1859</v>
      </c>
      <c r="D14" s="86" t="s">
        <v>1860</v>
      </c>
      <c r="E14" s="87" t="s">
        <v>296</v>
      </c>
      <c r="F14" s="27">
        <v>20</v>
      </c>
      <c r="G14" s="29" t="s">
        <v>1861</v>
      </c>
      <c r="H14" s="29"/>
      <c r="I14" s="86"/>
    </row>
    <row r="15" spans="1:9" s="24" customFormat="1" ht="15.75">
      <c r="A15" s="25"/>
      <c r="B15" s="23">
        <f>B14+1</f>
        <v>3</v>
      </c>
      <c r="C15" s="26" t="s">
        <v>453</v>
      </c>
      <c r="D15" s="26" t="s">
        <v>304</v>
      </c>
      <c r="E15" s="87" t="s">
        <v>296</v>
      </c>
      <c r="F15" s="27">
        <v>20</v>
      </c>
      <c r="G15" s="29"/>
      <c r="H15" s="29" t="s">
        <v>41</v>
      </c>
      <c r="I15" s="86" t="s">
        <v>304</v>
      </c>
    </row>
    <row r="16" spans="1:9" s="24" customFormat="1" ht="15.75">
      <c r="A16" s="25"/>
      <c r="B16" s="23">
        <f t="shared" ref="B16:B37" si="0">B15+1</f>
        <v>4</v>
      </c>
      <c r="C16" s="86" t="s">
        <v>637</v>
      </c>
      <c r="D16" s="86" t="s">
        <v>364</v>
      </c>
      <c r="E16" s="87" t="s">
        <v>296</v>
      </c>
      <c r="F16" s="87">
        <v>20</v>
      </c>
      <c r="G16" s="88"/>
      <c r="H16" s="29" t="s">
        <v>84</v>
      </c>
      <c r="I16" s="26" t="s">
        <v>364</v>
      </c>
    </row>
    <row r="17" spans="1:9" s="24" customFormat="1" ht="15.75">
      <c r="A17" s="25"/>
      <c r="B17" s="23">
        <f t="shared" si="0"/>
        <v>5</v>
      </c>
      <c r="C17" s="80" t="s">
        <v>653</v>
      </c>
      <c r="D17" s="80" t="s">
        <v>654</v>
      </c>
      <c r="E17" s="87" t="s">
        <v>285</v>
      </c>
      <c r="F17" s="81">
        <v>20</v>
      </c>
      <c r="G17" s="91" t="s">
        <v>655</v>
      </c>
      <c r="H17" s="29"/>
      <c r="I17" s="26"/>
    </row>
    <row r="18" spans="1:9" s="24" customFormat="1" ht="15.75">
      <c r="A18" s="25"/>
      <c r="B18" s="23">
        <f t="shared" si="0"/>
        <v>6</v>
      </c>
      <c r="C18" s="26" t="s">
        <v>1862</v>
      </c>
      <c r="D18" s="26" t="s">
        <v>1863</v>
      </c>
      <c r="E18" s="87" t="s">
        <v>296</v>
      </c>
      <c r="F18" s="87">
        <v>20</v>
      </c>
      <c r="G18" s="28"/>
      <c r="H18" s="29" t="s">
        <v>137</v>
      </c>
      <c r="I18" s="89" t="s">
        <v>1863</v>
      </c>
    </row>
    <row r="19" spans="1:9" s="24" customFormat="1" ht="15.75">
      <c r="A19" s="25"/>
      <c r="B19" s="23">
        <f t="shared" si="0"/>
        <v>7</v>
      </c>
      <c r="C19" s="26" t="s">
        <v>1864</v>
      </c>
      <c r="D19" s="26" t="s">
        <v>1865</v>
      </c>
      <c r="E19" s="87" t="s">
        <v>296</v>
      </c>
      <c r="F19" s="27">
        <v>20</v>
      </c>
      <c r="G19" s="28"/>
      <c r="H19" s="29" t="s">
        <v>84</v>
      </c>
      <c r="I19" s="26" t="s">
        <v>364</v>
      </c>
    </row>
    <row r="20" spans="1:9" s="24" customFormat="1" ht="15.75">
      <c r="A20" s="25"/>
      <c r="B20" s="23">
        <f t="shared" si="0"/>
        <v>8</v>
      </c>
      <c r="C20" s="26" t="s">
        <v>1851</v>
      </c>
      <c r="D20" s="80" t="s">
        <v>1852</v>
      </c>
      <c r="E20" s="87" t="s">
        <v>421</v>
      </c>
      <c r="F20" s="27"/>
      <c r="G20" s="28" t="s">
        <v>1227</v>
      </c>
      <c r="H20" s="29"/>
      <c r="I20" s="66"/>
    </row>
    <row r="21" spans="1:9" s="24" customFormat="1" ht="15.75">
      <c r="A21" s="25"/>
      <c r="B21" s="23">
        <f t="shared" si="0"/>
        <v>9</v>
      </c>
      <c r="C21" s="26" t="s">
        <v>1854</v>
      </c>
      <c r="D21" s="80" t="s">
        <v>1855</v>
      </c>
      <c r="E21" s="87" t="s">
        <v>421</v>
      </c>
      <c r="F21" s="27"/>
      <c r="G21" s="28" t="s">
        <v>1227</v>
      </c>
      <c r="H21" s="29"/>
      <c r="I21" s="50"/>
    </row>
    <row r="22" spans="1:9" s="24" customFormat="1" ht="15.75">
      <c r="A22" s="25"/>
      <c r="B22" s="23">
        <f t="shared" si="0"/>
        <v>10</v>
      </c>
      <c r="C22" s="26" t="s">
        <v>1866</v>
      </c>
      <c r="D22" s="26" t="s">
        <v>1867</v>
      </c>
      <c r="E22" s="87" t="s">
        <v>704</v>
      </c>
      <c r="F22" s="27" t="s">
        <v>609</v>
      </c>
      <c r="G22" s="29" t="s">
        <v>1868</v>
      </c>
      <c r="H22" s="29"/>
      <c r="I22" s="50"/>
    </row>
    <row r="23" spans="1:9" s="24" customFormat="1" ht="30">
      <c r="A23" s="25"/>
      <c r="B23" s="23">
        <f t="shared" si="0"/>
        <v>11</v>
      </c>
      <c r="C23" s="26" t="s">
        <v>1869</v>
      </c>
      <c r="D23" s="26" t="s">
        <v>1571</v>
      </c>
      <c r="E23" s="87" t="s">
        <v>285</v>
      </c>
      <c r="F23" s="27">
        <v>6</v>
      </c>
      <c r="G23" s="29" t="s">
        <v>1609</v>
      </c>
      <c r="H23" s="29" t="s">
        <v>1870</v>
      </c>
      <c r="I23" s="50"/>
    </row>
    <row r="24" spans="1:9" s="24" customFormat="1" ht="15.75">
      <c r="A24" s="25"/>
      <c r="B24" s="23">
        <f t="shared" si="0"/>
        <v>12</v>
      </c>
      <c r="C24" s="26" t="s">
        <v>1871</v>
      </c>
      <c r="D24" s="26" t="s">
        <v>1872</v>
      </c>
      <c r="E24" s="87" t="s">
        <v>326</v>
      </c>
      <c r="F24" s="27">
        <v>4</v>
      </c>
      <c r="G24" s="29" t="s">
        <v>1873</v>
      </c>
      <c r="H24" s="29" t="s">
        <v>1874</v>
      </c>
      <c r="I24" s="50"/>
    </row>
    <row r="25" spans="1:9" s="24" customFormat="1" ht="15.75">
      <c r="A25" s="25"/>
      <c r="B25" s="23">
        <f t="shared" si="0"/>
        <v>13</v>
      </c>
      <c r="C25" s="26" t="s">
        <v>1875</v>
      </c>
      <c r="D25" s="26" t="s">
        <v>1876</v>
      </c>
      <c r="E25" s="87" t="s">
        <v>296</v>
      </c>
      <c r="F25" s="27">
        <v>20</v>
      </c>
      <c r="G25" s="29"/>
      <c r="H25" s="29" t="s">
        <v>135</v>
      </c>
      <c r="I25" s="89" t="s">
        <v>1876</v>
      </c>
    </row>
    <row r="26" spans="1:9" s="24" customFormat="1" ht="15.75">
      <c r="A26" s="25"/>
      <c r="B26" s="23">
        <f t="shared" si="0"/>
        <v>14</v>
      </c>
      <c r="C26" s="26" t="s">
        <v>1877</v>
      </c>
      <c r="D26" s="26" t="s">
        <v>1878</v>
      </c>
      <c r="E26" s="87" t="s">
        <v>285</v>
      </c>
      <c r="F26" s="27">
        <v>1000</v>
      </c>
      <c r="G26" s="29" t="s">
        <v>1879</v>
      </c>
      <c r="H26" s="29" t="s">
        <v>141</v>
      </c>
      <c r="I26" s="89" t="s">
        <v>1880</v>
      </c>
    </row>
    <row r="27" spans="1:9" s="24" customFormat="1" ht="15.75">
      <c r="A27" s="25"/>
      <c r="B27" s="23">
        <f t="shared" si="0"/>
        <v>15</v>
      </c>
      <c r="C27" s="26" t="s">
        <v>1881</v>
      </c>
      <c r="D27" s="26" t="s">
        <v>1882</v>
      </c>
      <c r="E27" s="87" t="s">
        <v>285</v>
      </c>
      <c r="F27" s="27">
        <v>1000</v>
      </c>
      <c r="G27" s="29" t="s">
        <v>1879</v>
      </c>
      <c r="H27" s="29" t="s">
        <v>139</v>
      </c>
      <c r="I27" s="89" t="s">
        <v>1883</v>
      </c>
    </row>
    <row r="28" spans="1:9" ht="15.75">
      <c r="B28" s="23">
        <f t="shared" si="0"/>
        <v>16</v>
      </c>
      <c r="C28" s="26" t="s">
        <v>1884</v>
      </c>
      <c r="D28" s="26" t="s">
        <v>1611</v>
      </c>
      <c r="E28" s="87" t="s">
        <v>285</v>
      </c>
      <c r="F28" s="27">
        <v>500</v>
      </c>
      <c r="G28" s="28"/>
      <c r="H28" s="29"/>
      <c r="I28" s="64"/>
    </row>
    <row r="29" spans="1:9" ht="157.5">
      <c r="B29" s="23">
        <f t="shared" si="0"/>
        <v>17</v>
      </c>
      <c r="C29" s="80" t="s">
        <v>1615</v>
      </c>
      <c r="D29" s="132" t="s">
        <v>1616</v>
      </c>
      <c r="E29" s="87" t="s">
        <v>979</v>
      </c>
      <c r="F29" s="81"/>
      <c r="G29" s="85" t="s">
        <v>1617</v>
      </c>
      <c r="H29" s="29"/>
      <c r="I29" s="89"/>
    </row>
    <row r="30" spans="1:9" ht="30">
      <c r="B30" s="23">
        <f t="shared" si="0"/>
        <v>18</v>
      </c>
      <c r="C30" s="26" t="s">
        <v>1076</v>
      </c>
      <c r="D30" s="26" t="s">
        <v>1885</v>
      </c>
      <c r="E30" s="87" t="s">
        <v>326</v>
      </c>
      <c r="F30" s="27">
        <v>4</v>
      </c>
      <c r="G30" s="29" t="s">
        <v>1886</v>
      </c>
      <c r="H30" s="29" t="s">
        <v>1887</v>
      </c>
      <c r="I30" s="26"/>
    </row>
    <row r="31" spans="1:9" ht="15.75">
      <c r="B31" s="23">
        <f t="shared" si="0"/>
        <v>19</v>
      </c>
      <c r="C31" s="26" t="s">
        <v>1621</v>
      </c>
      <c r="D31" s="26" t="s">
        <v>1622</v>
      </c>
      <c r="E31" s="87" t="s">
        <v>285</v>
      </c>
      <c r="F31" s="27">
        <v>50</v>
      </c>
      <c r="G31" s="29"/>
      <c r="H31" s="29"/>
      <c r="I31" s="66"/>
    </row>
    <row r="32" spans="1:9" ht="15.75">
      <c r="B32" s="23">
        <f t="shared" si="0"/>
        <v>20</v>
      </c>
      <c r="C32" s="26" t="s">
        <v>1588</v>
      </c>
      <c r="D32" s="26" t="s">
        <v>1589</v>
      </c>
      <c r="E32" s="87" t="s">
        <v>326</v>
      </c>
      <c r="F32" s="27">
        <v>4</v>
      </c>
      <c r="G32" s="29" t="s">
        <v>1888</v>
      </c>
      <c r="H32" s="29" t="s">
        <v>1889</v>
      </c>
      <c r="I32" s="73"/>
    </row>
    <row r="33" spans="2:9" ht="15.75">
      <c r="B33" s="23">
        <f t="shared" si="0"/>
        <v>21</v>
      </c>
      <c r="C33" s="50" t="s">
        <v>1624</v>
      </c>
      <c r="D33" s="50" t="s">
        <v>1625</v>
      </c>
      <c r="E33" s="87" t="s">
        <v>421</v>
      </c>
      <c r="F33" s="51"/>
      <c r="G33" s="19"/>
      <c r="H33" s="29"/>
      <c r="I33" s="66"/>
    </row>
    <row r="34" spans="2:9" ht="15.75">
      <c r="B34" s="23">
        <f t="shared" si="0"/>
        <v>22</v>
      </c>
      <c r="C34" s="50" t="s">
        <v>1890</v>
      </c>
      <c r="D34" s="50" t="s">
        <v>1891</v>
      </c>
      <c r="E34" s="109" t="s">
        <v>326</v>
      </c>
      <c r="F34" s="109">
        <v>4</v>
      </c>
      <c r="G34" s="110" t="s">
        <v>1892</v>
      </c>
      <c r="H34" s="29"/>
      <c r="I34" s="66"/>
    </row>
    <row r="35" spans="2:9" ht="16.350000000000001" customHeight="1">
      <c r="B35" s="23">
        <f t="shared" si="0"/>
        <v>23</v>
      </c>
      <c r="C35" s="26" t="s">
        <v>1626</v>
      </c>
      <c r="D35" s="26" t="s">
        <v>1627</v>
      </c>
      <c r="E35" s="87" t="s">
        <v>421</v>
      </c>
      <c r="F35" s="27"/>
      <c r="G35" s="134"/>
      <c r="H35" s="29"/>
      <c r="I35" s="19"/>
    </row>
    <row r="36" spans="2:9" ht="15.75">
      <c r="B36" s="23">
        <f t="shared" si="0"/>
        <v>24</v>
      </c>
      <c r="C36" s="71" t="s">
        <v>1628</v>
      </c>
      <c r="D36" s="71" t="s">
        <v>482</v>
      </c>
      <c r="E36" s="87" t="s">
        <v>421</v>
      </c>
      <c r="F36" s="81"/>
      <c r="G36" s="85"/>
      <c r="H36" s="29"/>
      <c r="I36" s="66"/>
    </row>
    <row r="37" spans="2:9" ht="15.75">
      <c r="B37" s="23">
        <f t="shared" si="0"/>
        <v>25</v>
      </c>
      <c r="C37" s="108" t="s">
        <v>423</v>
      </c>
      <c r="D37" s="108" t="s">
        <v>424</v>
      </c>
      <c r="E37" s="81" t="s">
        <v>296</v>
      </c>
      <c r="F37" s="81">
        <v>20</v>
      </c>
      <c r="G37" s="110" t="s">
        <v>425</v>
      </c>
      <c r="H37" s="28"/>
      <c r="I37" s="26"/>
    </row>
    <row r="38" spans="2:9" ht="15">
      <c r="B38" s="45"/>
    </row>
    <row r="39" spans="2:9" ht="15">
      <c r="B39" s="45"/>
    </row>
    <row r="40" spans="2:9" ht="15">
      <c r="B40" s="45"/>
    </row>
    <row r="41" spans="2:9" ht="15">
      <c r="B41" s="45"/>
    </row>
    <row r="42" spans="2:9" ht="15">
      <c r="B42" s="45"/>
    </row>
    <row r="43" spans="2:9" ht="15">
      <c r="B43" s="45"/>
    </row>
  </sheetData>
  <mergeCells count="6">
    <mergeCell ref="B1:E1"/>
    <mergeCell ref="F1:I1"/>
    <mergeCell ref="B2:E2"/>
    <mergeCell ref="F2:I2"/>
    <mergeCell ref="B11:E11"/>
    <mergeCell ref="F11:I11"/>
  </mergeCells>
  <phoneticPr fontId="5" type="noConversion"/>
  <pageMargins left="0.7" right="0.7" top="0.75" bottom="0.75" header="0.3" footer="0.3"/>
  <pageSetup paperSize="9" orientation="portrait" horizontalDpi="0" verticalDpi="0"/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5FF3C7C-63FF-4E17-BD48-F0BE8CC9A968}">
  <sheetPr codeName="工作表116"/>
  <dimension ref="A1:I18"/>
  <sheetViews>
    <sheetView workbookViewId="0"/>
  </sheetViews>
  <sheetFormatPr defaultColWidth="6.625" defaultRowHeight="13.5"/>
  <cols>
    <col min="1" max="1" width="3.125" style="4" bestFit="1" customWidth="1"/>
    <col min="2" max="2" width="5.5" style="8" customWidth="1"/>
    <col min="3" max="3" width="18.5" style="4" bestFit="1" customWidth="1"/>
    <col min="4" max="4" width="23" style="4" customWidth="1"/>
    <col min="5" max="5" width="11.125" style="4" bestFit="1" customWidth="1"/>
    <col min="6" max="6" width="12.625" style="4" customWidth="1"/>
    <col min="7" max="7" width="18.625" style="4" customWidth="1"/>
    <col min="8" max="8" width="29.125" style="4" customWidth="1"/>
    <col min="9" max="9" width="13.625" style="4" customWidth="1"/>
    <col min="10" max="16384" width="6.625" style="4"/>
  </cols>
  <sheetData>
    <row r="1" spans="1:9" ht="24">
      <c r="A1" s="1" t="e">
        <f ca="1">HYPERLINK("#'介面'!E"&amp;MATCH(VALUE(RIGHT(CELL("filename"),LEN(CELL("filename"))-FIND("]",CELL("filename")))),介面!D:D,"0"),"←")</f>
        <v>#VALUE!</v>
      </c>
      <c r="B1" s="207" t="s">
        <v>135</v>
      </c>
      <c r="C1" s="208"/>
      <c r="D1" s="208"/>
      <c r="E1" s="209"/>
      <c r="F1" s="207" t="s">
        <v>1893</v>
      </c>
      <c r="G1" s="208"/>
      <c r="H1" s="208"/>
      <c r="I1" s="208"/>
    </row>
    <row r="2" spans="1:9" ht="24">
      <c r="A2" s="1"/>
      <c r="B2" s="210" t="s">
        <v>275</v>
      </c>
      <c r="C2" s="211"/>
      <c r="D2" s="211"/>
      <c r="E2" s="212"/>
      <c r="F2" s="210"/>
      <c r="G2" s="211"/>
      <c r="H2" s="211"/>
      <c r="I2" s="212"/>
    </row>
    <row r="3" spans="1:9" s="8" customFormat="1" ht="15">
      <c r="A3" s="6"/>
      <c r="B3" s="7" t="s">
        <v>276</v>
      </c>
      <c r="C3" s="56" t="s">
        <v>277</v>
      </c>
      <c r="D3" s="56" t="s">
        <v>278</v>
      </c>
      <c r="E3" s="57" t="s">
        <v>279</v>
      </c>
      <c r="F3" s="57" t="s">
        <v>280</v>
      </c>
      <c r="G3" s="56" t="s">
        <v>281</v>
      </c>
      <c r="H3" s="56" t="s">
        <v>11</v>
      </c>
      <c r="I3" s="56" t="s">
        <v>282</v>
      </c>
    </row>
    <row r="4" spans="1:9" s="24" customFormat="1" ht="15.75">
      <c r="A4" s="25"/>
      <c r="B4" s="46">
        <v>1</v>
      </c>
      <c r="C4" s="80" t="s">
        <v>297</v>
      </c>
      <c r="D4" s="80" t="s">
        <v>298</v>
      </c>
      <c r="E4" s="81" t="s">
        <v>285</v>
      </c>
      <c r="F4" s="81">
        <v>500</v>
      </c>
      <c r="G4" s="66" t="s">
        <v>330</v>
      </c>
      <c r="H4" s="142" t="s">
        <v>302</v>
      </c>
      <c r="I4" s="66" t="s">
        <v>287</v>
      </c>
    </row>
    <row r="5" spans="1:9" s="24" customFormat="1" ht="15">
      <c r="A5" s="25"/>
      <c r="B5" s="46">
        <f>B4+1</f>
        <v>2</v>
      </c>
      <c r="C5" s="50" t="s">
        <v>303</v>
      </c>
      <c r="D5" s="76" t="s">
        <v>304</v>
      </c>
      <c r="E5" s="51" t="s">
        <v>296</v>
      </c>
      <c r="F5" s="51">
        <v>20</v>
      </c>
      <c r="G5" s="66" t="s">
        <v>331</v>
      </c>
      <c r="H5" s="66"/>
      <c r="I5" s="66" t="s">
        <v>287</v>
      </c>
    </row>
    <row r="6" spans="1:9" ht="15.75">
      <c r="A6" s="1"/>
      <c r="B6" s="2"/>
      <c r="C6" s="3"/>
      <c r="D6" s="3"/>
      <c r="E6" s="3"/>
      <c r="F6" s="3"/>
      <c r="G6" s="3"/>
      <c r="H6" s="3"/>
      <c r="I6" s="3"/>
    </row>
    <row r="7" spans="1:9" ht="24">
      <c r="A7" s="1"/>
      <c r="B7" s="204" t="s">
        <v>291</v>
      </c>
      <c r="C7" s="205"/>
      <c r="D7" s="205"/>
      <c r="E7" s="206"/>
      <c r="F7" s="204"/>
      <c r="G7" s="205"/>
      <c r="H7" s="205"/>
      <c r="I7" s="206"/>
    </row>
    <row r="8" spans="1:9" s="8" customFormat="1" ht="15">
      <c r="A8" s="6"/>
      <c r="B8" s="7" t="s">
        <v>276</v>
      </c>
      <c r="C8" s="56" t="s">
        <v>277</v>
      </c>
      <c r="D8" s="56" t="s">
        <v>278</v>
      </c>
      <c r="E8" s="57" t="s">
        <v>279</v>
      </c>
      <c r="F8" s="57" t="s">
        <v>280</v>
      </c>
      <c r="G8" s="56" t="s">
        <v>11</v>
      </c>
      <c r="H8" s="56" t="s">
        <v>292</v>
      </c>
      <c r="I8" s="56" t="s">
        <v>293</v>
      </c>
    </row>
    <row r="9" spans="1:9" ht="15">
      <c r="A9" s="5"/>
      <c r="B9" s="46">
        <v>1</v>
      </c>
      <c r="C9" s="64" t="s">
        <v>1875</v>
      </c>
      <c r="D9" s="64" t="s">
        <v>1876</v>
      </c>
      <c r="E9" s="62" t="s">
        <v>452</v>
      </c>
      <c r="F9" s="62">
        <v>20</v>
      </c>
      <c r="G9" s="66"/>
      <c r="H9" s="66"/>
      <c r="I9" s="66"/>
    </row>
    <row r="10" spans="1:9" ht="15">
      <c r="A10" s="5"/>
      <c r="B10" s="46">
        <f t="shared" ref="B10:B15" si="0">B9+1</f>
        <v>2</v>
      </c>
      <c r="C10" s="67" t="s">
        <v>453</v>
      </c>
      <c r="D10" s="67" t="s">
        <v>304</v>
      </c>
      <c r="E10" s="68" t="s">
        <v>452</v>
      </c>
      <c r="F10" s="68">
        <v>20</v>
      </c>
      <c r="G10" s="69"/>
      <c r="H10" s="66" t="s">
        <v>41</v>
      </c>
      <c r="I10" s="66" t="s">
        <v>304</v>
      </c>
    </row>
    <row r="11" spans="1:9" ht="15">
      <c r="A11" s="5"/>
      <c r="B11" s="46">
        <f t="shared" si="0"/>
        <v>3</v>
      </c>
      <c r="C11" s="64" t="s">
        <v>1894</v>
      </c>
      <c r="D11" s="64" t="s">
        <v>1895</v>
      </c>
      <c r="E11" s="62" t="s">
        <v>456</v>
      </c>
      <c r="F11" s="62">
        <v>20</v>
      </c>
      <c r="G11" s="66"/>
      <c r="H11" s="66"/>
      <c r="I11" s="66"/>
    </row>
    <row r="12" spans="1:9" ht="15">
      <c r="A12" s="58"/>
      <c r="B12" s="46">
        <f t="shared" si="0"/>
        <v>4</v>
      </c>
      <c r="C12" s="64" t="s">
        <v>1896</v>
      </c>
      <c r="D12" s="64" t="s">
        <v>540</v>
      </c>
      <c r="E12" s="68" t="s">
        <v>456</v>
      </c>
      <c r="F12" s="62">
        <v>100</v>
      </c>
      <c r="G12" s="66"/>
      <c r="H12" s="66"/>
      <c r="I12" s="66"/>
    </row>
    <row r="13" spans="1:9" ht="15">
      <c r="A13" s="58"/>
      <c r="B13" s="46">
        <f t="shared" si="0"/>
        <v>5</v>
      </c>
      <c r="C13" s="64" t="s">
        <v>1897</v>
      </c>
      <c r="D13" s="64" t="s">
        <v>1898</v>
      </c>
      <c r="E13" s="68" t="s">
        <v>456</v>
      </c>
      <c r="F13" s="62">
        <v>1000</v>
      </c>
      <c r="G13" s="66"/>
      <c r="H13" s="66"/>
      <c r="I13" s="66"/>
    </row>
    <row r="14" spans="1:9" ht="15">
      <c r="A14" s="58"/>
      <c r="B14" s="46">
        <f t="shared" si="0"/>
        <v>6</v>
      </c>
      <c r="C14" s="70" t="s">
        <v>398</v>
      </c>
      <c r="D14" s="71" t="s">
        <v>325</v>
      </c>
      <c r="E14" s="72" t="s">
        <v>326</v>
      </c>
      <c r="F14" s="72">
        <v>4</v>
      </c>
      <c r="G14" s="66" t="s">
        <v>327</v>
      </c>
      <c r="H14" s="28" t="s">
        <v>435</v>
      </c>
      <c r="I14" s="73"/>
    </row>
    <row r="15" spans="1:9" ht="15">
      <c r="A15" s="58"/>
      <c r="B15" s="46">
        <f t="shared" si="0"/>
        <v>7</v>
      </c>
      <c r="C15" s="64" t="s">
        <v>493</v>
      </c>
      <c r="D15" s="64" t="s">
        <v>494</v>
      </c>
      <c r="E15" s="74" t="s">
        <v>313</v>
      </c>
      <c r="F15" s="77"/>
      <c r="G15" s="66"/>
      <c r="H15" s="66"/>
      <c r="I15" s="66"/>
    </row>
    <row r="16" spans="1:9" ht="15">
      <c r="B16" s="21"/>
    </row>
    <row r="17" spans="2:2" ht="15">
      <c r="B17" s="45"/>
    </row>
    <row r="18" spans="2:2" ht="15">
      <c r="B18" s="45"/>
    </row>
  </sheetData>
  <mergeCells count="6">
    <mergeCell ref="B1:E1"/>
    <mergeCell ref="F1:I1"/>
    <mergeCell ref="B2:E2"/>
    <mergeCell ref="F2:I2"/>
    <mergeCell ref="B7:E7"/>
    <mergeCell ref="F7:I7"/>
  </mergeCells>
  <phoneticPr fontId="5" type="noConversion"/>
  <pageMargins left="0.7" right="0.7" top="0.75" bottom="0.75" header="0.3" footer="0.3"/>
  <pageSetup paperSize="9" orientation="portrait" horizontalDpi="0" verticalDpi="0"/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C05D321-9F99-409C-84A6-EBBC2217F276}">
  <sheetPr codeName="工作表117"/>
  <dimension ref="A1:I18"/>
  <sheetViews>
    <sheetView workbookViewId="0">
      <selection activeCell="G20" sqref="G20"/>
    </sheetView>
  </sheetViews>
  <sheetFormatPr defaultColWidth="6.625" defaultRowHeight="13.5"/>
  <cols>
    <col min="1" max="1" width="3.125" style="4" bestFit="1" customWidth="1"/>
    <col min="2" max="2" width="5.5" style="8" customWidth="1"/>
    <col min="3" max="3" width="18.5" style="4" bestFit="1" customWidth="1"/>
    <col min="4" max="4" width="23" style="4" customWidth="1"/>
    <col min="5" max="5" width="11.125" style="4" bestFit="1" customWidth="1"/>
    <col min="6" max="6" width="12.625" style="4" customWidth="1"/>
    <col min="7" max="7" width="18.625" style="4" customWidth="1"/>
    <col min="8" max="8" width="29.125" style="4" customWidth="1"/>
    <col min="9" max="9" width="13.625" style="4" customWidth="1"/>
    <col min="10" max="16384" width="6.625" style="4"/>
  </cols>
  <sheetData>
    <row r="1" spans="1:9" ht="24">
      <c r="A1" s="1" t="e">
        <f ca="1">HYPERLINK("#'介面'!E"&amp;MATCH(VALUE(RIGHT(CELL("filename"),LEN(CELL("filename"))-FIND("]",CELL("filename")))),介面!D:D,"0"),"←")</f>
        <v>#VALUE!</v>
      </c>
      <c r="B1" s="207" t="s">
        <v>137</v>
      </c>
      <c r="C1" s="208"/>
      <c r="D1" s="208"/>
      <c r="E1" s="209"/>
      <c r="F1" s="207" t="s">
        <v>1899</v>
      </c>
      <c r="G1" s="208"/>
      <c r="H1" s="208"/>
      <c r="I1" s="208"/>
    </row>
    <row r="2" spans="1:9" ht="24">
      <c r="A2" s="1"/>
      <c r="B2" s="210" t="s">
        <v>275</v>
      </c>
      <c r="C2" s="211"/>
      <c r="D2" s="211"/>
      <c r="E2" s="212"/>
      <c r="F2" s="210"/>
      <c r="G2" s="211"/>
      <c r="H2" s="211"/>
      <c r="I2" s="212"/>
    </row>
    <row r="3" spans="1:9" s="8" customFormat="1" ht="15">
      <c r="A3" s="6"/>
      <c r="B3" s="7" t="s">
        <v>276</v>
      </c>
      <c r="C3" s="56" t="s">
        <v>277</v>
      </c>
      <c r="D3" s="56" t="s">
        <v>278</v>
      </c>
      <c r="E3" s="57" t="s">
        <v>279</v>
      </c>
      <c r="F3" s="57" t="s">
        <v>280</v>
      </c>
      <c r="G3" s="56" t="s">
        <v>281</v>
      </c>
      <c r="H3" s="56" t="s">
        <v>11</v>
      </c>
      <c r="I3" s="56" t="s">
        <v>282</v>
      </c>
    </row>
    <row r="4" spans="1:9" s="24" customFormat="1" ht="15.75">
      <c r="A4" s="25"/>
      <c r="B4" s="46">
        <v>1</v>
      </c>
      <c r="C4" s="80" t="s">
        <v>297</v>
      </c>
      <c r="D4" s="80" t="s">
        <v>298</v>
      </c>
      <c r="E4" s="81" t="s">
        <v>285</v>
      </c>
      <c r="F4" s="81">
        <v>500</v>
      </c>
      <c r="G4" s="66" t="s">
        <v>330</v>
      </c>
      <c r="H4" s="142" t="s">
        <v>302</v>
      </c>
      <c r="I4" s="66" t="s">
        <v>287</v>
      </c>
    </row>
    <row r="5" spans="1:9" s="24" customFormat="1" ht="15">
      <c r="A5" s="25"/>
      <c r="B5" s="46">
        <f>B4+1</f>
        <v>2</v>
      </c>
      <c r="C5" s="50" t="s">
        <v>303</v>
      </c>
      <c r="D5" s="76" t="s">
        <v>304</v>
      </c>
      <c r="E5" s="51" t="s">
        <v>296</v>
      </c>
      <c r="F5" s="51">
        <v>20</v>
      </c>
      <c r="G5" s="66" t="s">
        <v>331</v>
      </c>
      <c r="H5" s="66"/>
      <c r="I5" s="66" t="s">
        <v>287</v>
      </c>
    </row>
    <row r="6" spans="1:9" ht="15.75">
      <c r="A6" s="1"/>
      <c r="B6" s="2"/>
      <c r="C6" s="3"/>
      <c r="D6" s="3"/>
      <c r="E6" s="3"/>
      <c r="F6" s="3"/>
      <c r="G6" s="3"/>
      <c r="H6" s="3"/>
      <c r="I6" s="3"/>
    </row>
    <row r="7" spans="1:9" ht="24">
      <c r="A7" s="1"/>
      <c r="B7" s="204" t="s">
        <v>291</v>
      </c>
      <c r="C7" s="205"/>
      <c r="D7" s="205"/>
      <c r="E7" s="206"/>
      <c r="F7" s="204"/>
      <c r="G7" s="205"/>
      <c r="H7" s="205"/>
      <c r="I7" s="206"/>
    </row>
    <row r="8" spans="1:9" s="8" customFormat="1" ht="15">
      <c r="A8" s="6"/>
      <c r="B8" s="7" t="s">
        <v>276</v>
      </c>
      <c r="C8" s="56" t="s">
        <v>277</v>
      </c>
      <c r="D8" s="56" t="s">
        <v>278</v>
      </c>
      <c r="E8" s="57" t="s">
        <v>279</v>
      </c>
      <c r="F8" s="57" t="s">
        <v>280</v>
      </c>
      <c r="G8" s="56" t="s">
        <v>11</v>
      </c>
      <c r="H8" s="56" t="s">
        <v>292</v>
      </c>
      <c r="I8" s="56" t="s">
        <v>293</v>
      </c>
    </row>
    <row r="9" spans="1:9" ht="15">
      <c r="A9" s="5"/>
      <c r="B9" s="46">
        <v>1</v>
      </c>
      <c r="C9" s="64" t="s">
        <v>1862</v>
      </c>
      <c r="D9" s="64" t="s">
        <v>1863</v>
      </c>
      <c r="E9" s="62" t="s">
        <v>452</v>
      </c>
      <c r="F9" s="62">
        <v>20</v>
      </c>
      <c r="G9" s="66"/>
      <c r="H9" s="66"/>
      <c r="I9" s="66"/>
    </row>
    <row r="10" spans="1:9" ht="15">
      <c r="A10" s="5"/>
      <c r="B10" s="46">
        <f t="shared" ref="B10:B15" si="0">B9+1</f>
        <v>2</v>
      </c>
      <c r="C10" s="67" t="s">
        <v>453</v>
      </c>
      <c r="D10" s="67" t="s">
        <v>304</v>
      </c>
      <c r="E10" s="68" t="s">
        <v>452</v>
      </c>
      <c r="F10" s="68">
        <v>20</v>
      </c>
      <c r="G10" s="69"/>
      <c r="H10" s="66" t="s">
        <v>41</v>
      </c>
      <c r="I10" s="66" t="s">
        <v>304</v>
      </c>
    </row>
    <row r="11" spans="1:9" ht="15">
      <c r="A11" s="5"/>
      <c r="B11" s="46">
        <f t="shared" si="0"/>
        <v>3</v>
      </c>
      <c r="C11" s="64" t="s">
        <v>1900</v>
      </c>
      <c r="D11" s="64" t="s">
        <v>1901</v>
      </c>
      <c r="E11" s="62" t="s">
        <v>456</v>
      </c>
      <c r="F11" s="62">
        <v>20</v>
      </c>
      <c r="G11" s="66"/>
      <c r="H11" s="66"/>
      <c r="I11" s="66"/>
    </row>
    <row r="12" spans="1:9" ht="15">
      <c r="A12" s="58"/>
      <c r="B12" s="46">
        <f t="shared" si="0"/>
        <v>4</v>
      </c>
      <c r="C12" s="64" t="s">
        <v>1902</v>
      </c>
      <c r="D12" s="64" t="s">
        <v>1903</v>
      </c>
      <c r="E12" s="68" t="s">
        <v>456</v>
      </c>
      <c r="F12" s="62">
        <v>100</v>
      </c>
      <c r="G12" s="66"/>
      <c r="H12" s="66"/>
      <c r="I12" s="66"/>
    </row>
    <row r="13" spans="1:9" ht="15">
      <c r="A13" s="58"/>
      <c r="B13" s="46">
        <f t="shared" si="0"/>
        <v>5</v>
      </c>
      <c r="C13" s="64" t="s">
        <v>1904</v>
      </c>
      <c r="D13" s="64" t="s">
        <v>1905</v>
      </c>
      <c r="E13" s="68" t="s">
        <v>456</v>
      </c>
      <c r="F13" s="62">
        <v>1000</v>
      </c>
      <c r="G13" s="66"/>
      <c r="H13" s="66"/>
      <c r="I13" s="66"/>
    </row>
    <row r="14" spans="1:9" ht="15">
      <c r="A14" s="58"/>
      <c r="B14" s="46">
        <f t="shared" si="0"/>
        <v>6</v>
      </c>
      <c r="C14" s="70" t="s">
        <v>398</v>
      </c>
      <c r="D14" s="71" t="s">
        <v>325</v>
      </c>
      <c r="E14" s="72" t="s">
        <v>326</v>
      </c>
      <c r="F14" s="72">
        <v>4</v>
      </c>
      <c r="G14" s="66" t="s">
        <v>327</v>
      </c>
      <c r="H14" s="28" t="s">
        <v>435</v>
      </c>
      <c r="I14" s="73"/>
    </row>
    <row r="15" spans="1:9" ht="15">
      <c r="A15" s="58"/>
      <c r="B15" s="46">
        <f t="shared" si="0"/>
        <v>7</v>
      </c>
      <c r="C15" s="64" t="s">
        <v>493</v>
      </c>
      <c r="D15" s="64" t="s">
        <v>494</v>
      </c>
      <c r="E15" s="74" t="s">
        <v>313</v>
      </c>
      <c r="F15" s="77"/>
      <c r="G15" s="66"/>
      <c r="H15" s="66"/>
      <c r="I15" s="66"/>
    </row>
    <row r="16" spans="1:9" ht="15">
      <c r="B16" s="21"/>
    </row>
    <row r="17" spans="2:2" ht="15">
      <c r="B17" s="45"/>
    </row>
    <row r="18" spans="2:2" ht="15">
      <c r="B18" s="45"/>
    </row>
  </sheetData>
  <mergeCells count="6">
    <mergeCell ref="B1:E1"/>
    <mergeCell ref="F1:I1"/>
    <mergeCell ref="B2:E2"/>
    <mergeCell ref="F2:I2"/>
    <mergeCell ref="B7:E7"/>
    <mergeCell ref="F7:I7"/>
  </mergeCells>
  <phoneticPr fontId="5" type="noConversion"/>
  <pageMargins left="0.7" right="0.7" top="0.75" bottom="0.75" header="0.3" footer="0.3"/>
  <pageSetup paperSize="9" orientation="portrait" horizontalDpi="0" verticalDpi="0"/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7B16595-6041-4483-863F-DFDEC75E94CF}">
  <sheetPr codeName="工作表118"/>
  <dimension ref="A1:I18"/>
  <sheetViews>
    <sheetView workbookViewId="0"/>
  </sheetViews>
  <sheetFormatPr defaultColWidth="6.625" defaultRowHeight="13.5"/>
  <cols>
    <col min="1" max="1" width="3.125" style="4" bestFit="1" customWidth="1"/>
    <col min="2" max="2" width="5.5" style="8" customWidth="1"/>
    <col min="3" max="3" width="18.5" style="4" bestFit="1" customWidth="1"/>
    <col min="4" max="4" width="23" style="4" customWidth="1"/>
    <col min="5" max="5" width="11.125" style="4" bestFit="1" customWidth="1"/>
    <col min="6" max="6" width="12.625" style="4" customWidth="1"/>
    <col min="7" max="7" width="18.625" style="4" customWidth="1"/>
    <col min="8" max="8" width="29.125" style="4" customWidth="1"/>
    <col min="9" max="9" width="13.625" style="4" customWidth="1"/>
    <col min="10" max="16384" width="6.625" style="4"/>
  </cols>
  <sheetData>
    <row r="1" spans="1:9" ht="24">
      <c r="A1" s="1" t="e">
        <f ca="1">HYPERLINK("#'介面'!E"&amp;MATCH(VALUE(RIGHT(CELL("filename"),LEN(CELL("filename"))-FIND("]",CELL("filename")))),介面!D:D,"0"),"←")</f>
        <v>#VALUE!</v>
      </c>
      <c r="B1" s="207" t="s">
        <v>139</v>
      </c>
      <c r="C1" s="208"/>
      <c r="D1" s="208"/>
      <c r="E1" s="209"/>
      <c r="F1" s="207" t="s">
        <v>1906</v>
      </c>
      <c r="G1" s="208"/>
      <c r="H1" s="208"/>
      <c r="I1" s="208"/>
    </row>
    <row r="2" spans="1:9" ht="24">
      <c r="A2" s="1"/>
      <c r="B2" s="210" t="s">
        <v>275</v>
      </c>
      <c r="C2" s="211"/>
      <c r="D2" s="211"/>
      <c r="E2" s="212"/>
      <c r="F2" s="210"/>
      <c r="G2" s="211"/>
      <c r="H2" s="211"/>
      <c r="I2" s="212"/>
    </row>
    <row r="3" spans="1:9" s="8" customFormat="1" ht="15">
      <c r="A3" s="6"/>
      <c r="B3" s="7" t="s">
        <v>276</v>
      </c>
      <c r="C3" s="56" t="s">
        <v>277</v>
      </c>
      <c r="D3" s="56" t="s">
        <v>278</v>
      </c>
      <c r="E3" s="57" t="s">
        <v>279</v>
      </c>
      <c r="F3" s="57" t="s">
        <v>280</v>
      </c>
      <c r="G3" s="56" t="s">
        <v>281</v>
      </c>
      <c r="H3" s="56" t="s">
        <v>11</v>
      </c>
      <c r="I3" s="56" t="s">
        <v>282</v>
      </c>
    </row>
    <row r="4" spans="1:9" s="24" customFormat="1" ht="15.75">
      <c r="A4" s="25"/>
      <c r="B4" s="46">
        <v>1</v>
      </c>
      <c r="C4" s="80" t="s">
        <v>297</v>
      </c>
      <c r="D4" s="80" t="s">
        <v>298</v>
      </c>
      <c r="E4" s="81" t="s">
        <v>285</v>
      </c>
      <c r="F4" s="81">
        <v>500</v>
      </c>
      <c r="G4" s="66" t="s">
        <v>330</v>
      </c>
      <c r="H4" s="142" t="s">
        <v>302</v>
      </c>
      <c r="I4" s="66" t="s">
        <v>287</v>
      </c>
    </row>
    <row r="5" spans="1:9" s="24" customFormat="1" ht="15">
      <c r="A5" s="25"/>
      <c r="B5" s="46">
        <f>B4+1</f>
        <v>2</v>
      </c>
      <c r="C5" s="50" t="s">
        <v>303</v>
      </c>
      <c r="D5" s="76" t="s">
        <v>304</v>
      </c>
      <c r="E5" s="51" t="s">
        <v>296</v>
      </c>
      <c r="F5" s="51">
        <v>20</v>
      </c>
      <c r="G5" s="66" t="s">
        <v>331</v>
      </c>
      <c r="H5" s="66"/>
      <c r="I5" s="66" t="s">
        <v>287</v>
      </c>
    </row>
    <row r="6" spans="1:9" ht="15.75">
      <c r="A6" s="1"/>
      <c r="B6" s="2"/>
      <c r="C6" s="3"/>
      <c r="D6" s="3"/>
      <c r="E6" s="3"/>
      <c r="F6" s="3"/>
      <c r="G6" s="3"/>
      <c r="H6" s="3"/>
      <c r="I6" s="3"/>
    </row>
    <row r="7" spans="1:9" ht="24">
      <c r="A7" s="1"/>
      <c r="B7" s="204" t="s">
        <v>291</v>
      </c>
      <c r="C7" s="205"/>
      <c r="D7" s="205"/>
      <c r="E7" s="206"/>
      <c r="F7" s="204"/>
      <c r="G7" s="205"/>
      <c r="H7" s="205"/>
      <c r="I7" s="206"/>
    </row>
    <row r="8" spans="1:9" s="8" customFormat="1" ht="15">
      <c r="A8" s="6"/>
      <c r="B8" s="7" t="s">
        <v>276</v>
      </c>
      <c r="C8" s="56" t="s">
        <v>277</v>
      </c>
      <c r="D8" s="56" t="s">
        <v>278</v>
      </c>
      <c r="E8" s="57" t="s">
        <v>279</v>
      </c>
      <c r="F8" s="57" t="s">
        <v>280</v>
      </c>
      <c r="G8" s="56" t="s">
        <v>11</v>
      </c>
      <c r="H8" s="56" t="s">
        <v>292</v>
      </c>
      <c r="I8" s="56" t="s">
        <v>293</v>
      </c>
    </row>
    <row r="9" spans="1:9" ht="15">
      <c r="A9" s="5"/>
      <c r="B9" s="46">
        <v>1</v>
      </c>
      <c r="C9" s="64" t="s">
        <v>1907</v>
      </c>
      <c r="D9" s="64" t="s">
        <v>1883</v>
      </c>
      <c r="E9" s="62" t="s">
        <v>452</v>
      </c>
      <c r="F9" s="62">
        <v>20</v>
      </c>
      <c r="G9" s="66"/>
      <c r="H9" s="66"/>
      <c r="I9" s="66"/>
    </row>
    <row r="10" spans="1:9" ht="15">
      <c r="A10" s="5"/>
      <c r="B10" s="46">
        <f t="shared" ref="B10:B15" si="0">B9+1</f>
        <v>2</v>
      </c>
      <c r="C10" s="67" t="s">
        <v>453</v>
      </c>
      <c r="D10" s="67" t="s">
        <v>304</v>
      </c>
      <c r="E10" s="68" t="s">
        <v>452</v>
      </c>
      <c r="F10" s="68">
        <v>20</v>
      </c>
      <c r="G10" s="69"/>
      <c r="H10" s="66" t="s">
        <v>41</v>
      </c>
      <c r="I10" s="66" t="s">
        <v>304</v>
      </c>
    </row>
    <row r="11" spans="1:9" ht="15">
      <c r="A11" s="5"/>
      <c r="B11" s="46">
        <f t="shared" si="0"/>
        <v>3</v>
      </c>
      <c r="C11" s="64" t="s">
        <v>1908</v>
      </c>
      <c r="D11" s="64" t="s">
        <v>1909</v>
      </c>
      <c r="E11" s="62" t="s">
        <v>456</v>
      </c>
      <c r="F11" s="62">
        <v>20</v>
      </c>
      <c r="G11" s="66"/>
      <c r="H11" s="66"/>
      <c r="I11" s="66"/>
    </row>
    <row r="12" spans="1:9" ht="15">
      <c r="A12" s="58"/>
      <c r="B12" s="46">
        <f t="shared" si="0"/>
        <v>4</v>
      </c>
      <c r="C12" s="64" t="s">
        <v>1910</v>
      </c>
      <c r="D12" s="64" t="s">
        <v>1911</v>
      </c>
      <c r="E12" s="68" t="s">
        <v>456</v>
      </c>
      <c r="F12" s="62">
        <v>100</v>
      </c>
      <c r="G12" s="66"/>
      <c r="H12" s="66"/>
      <c r="I12" s="66"/>
    </row>
    <row r="13" spans="1:9" ht="15">
      <c r="A13" s="58"/>
      <c r="B13" s="46">
        <f t="shared" si="0"/>
        <v>5</v>
      </c>
      <c r="C13" s="64" t="s">
        <v>1912</v>
      </c>
      <c r="D13" s="64" t="s">
        <v>1913</v>
      </c>
      <c r="E13" s="68" t="s">
        <v>456</v>
      </c>
      <c r="F13" s="62">
        <v>1000</v>
      </c>
      <c r="G13" s="66"/>
      <c r="H13" s="66"/>
      <c r="I13" s="66"/>
    </row>
    <row r="14" spans="1:9" ht="15">
      <c r="A14" s="58"/>
      <c r="B14" s="46">
        <f t="shared" si="0"/>
        <v>6</v>
      </c>
      <c r="C14" s="70" t="s">
        <v>398</v>
      </c>
      <c r="D14" s="71" t="s">
        <v>325</v>
      </c>
      <c r="E14" s="72" t="s">
        <v>326</v>
      </c>
      <c r="F14" s="72">
        <v>4</v>
      </c>
      <c r="G14" s="66" t="s">
        <v>327</v>
      </c>
      <c r="H14" s="28" t="s">
        <v>435</v>
      </c>
      <c r="I14" s="73"/>
    </row>
    <row r="15" spans="1:9" ht="15">
      <c r="A15" s="58"/>
      <c r="B15" s="46">
        <f t="shared" si="0"/>
        <v>7</v>
      </c>
      <c r="C15" s="64" t="s">
        <v>493</v>
      </c>
      <c r="D15" s="64" t="s">
        <v>494</v>
      </c>
      <c r="E15" s="74" t="s">
        <v>313</v>
      </c>
      <c r="F15" s="77"/>
      <c r="G15" s="66"/>
      <c r="H15" s="66"/>
      <c r="I15" s="66"/>
    </row>
    <row r="16" spans="1:9" ht="15">
      <c r="B16" s="21"/>
    </row>
    <row r="17" spans="2:2" ht="15">
      <c r="B17" s="45"/>
    </row>
    <row r="18" spans="2:2" ht="15">
      <c r="B18" s="45"/>
    </row>
  </sheetData>
  <mergeCells count="6">
    <mergeCell ref="B1:E1"/>
    <mergeCell ref="F1:I1"/>
    <mergeCell ref="B2:E2"/>
    <mergeCell ref="F2:I2"/>
    <mergeCell ref="B7:E7"/>
    <mergeCell ref="F7:I7"/>
  </mergeCells>
  <phoneticPr fontId="5" type="noConversion"/>
  <pageMargins left="0.7" right="0.7" top="0.75" bottom="0.75" header="0.3" footer="0.3"/>
  <pageSetup paperSize="9" orientation="portrait" horizontalDpi="0" verticalDpi="0"/>
</worksheet>
</file>

<file path=xl/worksheets/sheet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09B2662-4D15-4603-B1B3-31A1D660F2CE}">
  <sheetPr codeName="工作表119"/>
  <dimension ref="A1:I18"/>
  <sheetViews>
    <sheetView workbookViewId="0"/>
  </sheetViews>
  <sheetFormatPr defaultColWidth="6.625" defaultRowHeight="13.5"/>
  <cols>
    <col min="1" max="1" width="3.125" style="4" bestFit="1" customWidth="1"/>
    <col min="2" max="2" width="5.5" style="8" customWidth="1"/>
    <col min="3" max="3" width="18.5" style="4" bestFit="1" customWidth="1"/>
    <col min="4" max="4" width="23" style="4" customWidth="1"/>
    <col min="5" max="5" width="11.125" style="4" bestFit="1" customWidth="1"/>
    <col min="6" max="6" width="12.625" style="4" customWidth="1"/>
    <col min="7" max="7" width="18.625" style="4" customWidth="1"/>
    <col min="8" max="8" width="29.125" style="4" customWidth="1"/>
    <col min="9" max="9" width="13.625" style="4" customWidth="1"/>
    <col min="10" max="16384" width="6.625" style="4"/>
  </cols>
  <sheetData>
    <row r="1" spans="1:9" ht="24">
      <c r="A1" s="1" t="e">
        <f ca="1">HYPERLINK("#'介面'!E"&amp;MATCH(VALUE(RIGHT(CELL("filename"),LEN(CELL("filename"))-FIND("]",CELL("filename")))),介面!D:D,"0"),"←")</f>
        <v>#VALUE!</v>
      </c>
      <c r="B1" s="207" t="s">
        <v>141</v>
      </c>
      <c r="C1" s="208"/>
      <c r="D1" s="208"/>
      <c r="E1" s="209"/>
      <c r="F1" s="207" t="s">
        <v>1914</v>
      </c>
      <c r="G1" s="208"/>
      <c r="H1" s="208"/>
      <c r="I1" s="208"/>
    </row>
    <row r="2" spans="1:9" ht="24">
      <c r="A2" s="1"/>
      <c r="B2" s="210" t="s">
        <v>275</v>
      </c>
      <c r="C2" s="211"/>
      <c r="D2" s="211"/>
      <c r="E2" s="212"/>
      <c r="F2" s="210"/>
      <c r="G2" s="211"/>
      <c r="H2" s="211"/>
      <c r="I2" s="212"/>
    </row>
    <row r="3" spans="1:9" s="8" customFormat="1" ht="15">
      <c r="A3" s="6"/>
      <c r="B3" s="7" t="s">
        <v>276</v>
      </c>
      <c r="C3" s="56" t="s">
        <v>277</v>
      </c>
      <c r="D3" s="56" t="s">
        <v>278</v>
      </c>
      <c r="E3" s="57" t="s">
        <v>279</v>
      </c>
      <c r="F3" s="57" t="s">
        <v>280</v>
      </c>
      <c r="G3" s="56" t="s">
        <v>281</v>
      </c>
      <c r="H3" s="56" t="s">
        <v>11</v>
      </c>
      <c r="I3" s="56" t="s">
        <v>282</v>
      </c>
    </row>
    <row r="4" spans="1:9" s="24" customFormat="1" ht="15.75">
      <c r="A4" s="25"/>
      <c r="B4" s="46">
        <v>1</v>
      </c>
      <c r="C4" s="80" t="s">
        <v>297</v>
      </c>
      <c r="D4" s="80" t="s">
        <v>298</v>
      </c>
      <c r="E4" s="81" t="s">
        <v>285</v>
      </c>
      <c r="F4" s="81">
        <v>500</v>
      </c>
      <c r="G4" s="66" t="s">
        <v>330</v>
      </c>
      <c r="H4" s="142" t="s">
        <v>302</v>
      </c>
      <c r="I4" s="66" t="s">
        <v>287</v>
      </c>
    </row>
    <row r="5" spans="1:9" s="24" customFormat="1" ht="15">
      <c r="A5" s="25"/>
      <c r="B5" s="46">
        <f>B4+1</f>
        <v>2</v>
      </c>
      <c r="C5" s="50" t="s">
        <v>303</v>
      </c>
      <c r="D5" s="76" t="s">
        <v>304</v>
      </c>
      <c r="E5" s="51" t="s">
        <v>296</v>
      </c>
      <c r="F5" s="51">
        <v>20</v>
      </c>
      <c r="G5" s="66" t="s">
        <v>331</v>
      </c>
      <c r="H5" s="66"/>
      <c r="I5" s="66" t="s">
        <v>287</v>
      </c>
    </row>
    <row r="6" spans="1:9" ht="15.75">
      <c r="A6" s="1"/>
      <c r="B6" s="2"/>
      <c r="C6" s="3"/>
      <c r="D6" s="3"/>
      <c r="E6" s="3"/>
      <c r="F6" s="3"/>
      <c r="G6" s="3"/>
      <c r="H6" s="3"/>
      <c r="I6" s="3"/>
    </row>
    <row r="7" spans="1:9" ht="24">
      <c r="A7" s="1"/>
      <c r="B7" s="204" t="s">
        <v>291</v>
      </c>
      <c r="C7" s="205"/>
      <c r="D7" s="205"/>
      <c r="E7" s="206"/>
      <c r="F7" s="204"/>
      <c r="G7" s="205"/>
      <c r="H7" s="205"/>
      <c r="I7" s="206"/>
    </row>
    <row r="8" spans="1:9" s="8" customFormat="1" ht="15">
      <c r="A8" s="6"/>
      <c r="B8" s="7" t="s">
        <v>276</v>
      </c>
      <c r="C8" s="56" t="s">
        <v>277</v>
      </c>
      <c r="D8" s="56" t="s">
        <v>278</v>
      </c>
      <c r="E8" s="57" t="s">
        <v>279</v>
      </c>
      <c r="F8" s="57" t="s">
        <v>280</v>
      </c>
      <c r="G8" s="56" t="s">
        <v>11</v>
      </c>
      <c r="H8" s="56" t="s">
        <v>292</v>
      </c>
      <c r="I8" s="56" t="s">
        <v>293</v>
      </c>
    </row>
    <row r="9" spans="1:9" ht="15">
      <c r="A9" s="5"/>
      <c r="B9" s="46">
        <v>1</v>
      </c>
      <c r="C9" s="64" t="s">
        <v>1915</v>
      </c>
      <c r="D9" s="64" t="s">
        <v>1880</v>
      </c>
      <c r="E9" s="62" t="s">
        <v>452</v>
      </c>
      <c r="F9" s="62">
        <v>20</v>
      </c>
      <c r="G9" s="66"/>
      <c r="H9" s="66"/>
      <c r="I9" s="66"/>
    </row>
    <row r="10" spans="1:9" ht="15">
      <c r="A10" s="5"/>
      <c r="B10" s="46">
        <f t="shared" ref="B10:B15" si="0">B9+1</f>
        <v>2</v>
      </c>
      <c r="C10" s="67" t="s">
        <v>453</v>
      </c>
      <c r="D10" s="67" t="s">
        <v>304</v>
      </c>
      <c r="E10" s="68" t="s">
        <v>452</v>
      </c>
      <c r="F10" s="68">
        <v>20</v>
      </c>
      <c r="G10" s="69"/>
      <c r="H10" s="66" t="s">
        <v>41</v>
      </c>
      <c r="I10" s="66" t="s">
        <v>304</v>
      </c>
    </row>
    <row r="11" spans="1:9" ht="15">
      <c r="A11" s="5"/>
      <c r="B11" s="46">
        <f t="shared" si="0"/>
        <v>3</v>
      </c>
      <c r="C11" s="64" t="s">
        <v>1916</v>
      </c>
      <c r="D11" s="64" t="s">
        <v>1917</v>
      </c>
      <c r="E11" s="62" t="s">
        <v>456</v>
      </c>
      <c r="F11" s="62">
        <v>20</v>
      </c>
      <c r="G11" s="66"/>
      <c r="H11" s="66"/>
      <c r="I11" s="66"/>
    </row>
    <row r="12" spans="1:9" ht="15">
      <c r="A12" s="58"/>
      <c r="B12" s="46">
        <f t="shared" si="0"/>
        <v>4</v>
      </c>
      <c r="C12" s="64" t="s">
        <v>1918</v>
      </c>
      <c r="D12" s="64" t="s">
        <v>1919</v>
      </c>
      <c r="E12" s="68" t="s">
        <v>456</v>
      </c>
      <c r="F12" s="62">
        <v>100</v>
      </c>
      <c r="G12" s="66"/>
      <c r="H12" s="66"/>
      <c r="I12" s="66"/>
    </row>
    <row r="13" spans="1:9" ht="15">
      <c r="A13" s="58"/>
      <c r="B13" s="46">
        <f t="shared" si="0"/>
        <v>5</v>
      </c>
      <c r="C13" s="64" t="s">
        <v>1920</v>
      </c>
      <c r="D13" s="64" t="s">
        <v>1921</v>
      </c>
      <c r="E13" s="68" t="s">
        <v>456</v>
      </c>
      <c r="F13" s="62">
        <v>1000</v>
      </c>
      <c r="G13" s="66"/>
      <c r="H13" s="66"/>
      <c r="I13" s="66"/>
    </row>
    <row r="14" spans="1:9" ht="15">
      <c r="A14" s="58"/>
      <c r="B14" s="46">
        <f t="shared" si="0"/>
        <v>6</v>
      </c>
      <c r="C14" s="70" t="s">
        <v>398</v>
      </c>
      <c r="D14" s="71" t="s">
        <v>325</v>
      </c>
      <c r="E14" s="72" t="s">
        <v>326</v>
      </c>
      <c r="F14" s="72">
        <v>4</v>
      </c>
      <c r="G14" s="66" t="s">
        <v>327</v>
      </c>
      <c r="H14" s="28" t="s">
        <v>435</v>
      </c>
      <c r="I14" s="73"/>
    </row>
    <row r="15" spans="1:9" ht="15">
      <c r="A15" s="58"/>
      <c r="B15" s="46">
        <f t="shared" si="0"/>
        <v>7</v>
      </c>
      <c r="C15" s="64" t="s">
        <v>493</v>
      </c>
      <c r="D15" s="64" t="s">
        <v>494</v>
      </c>
      <c r="E15" s="74" t="s">
        <v>313</v>
      </c>
      <c r="F15" s="77"/>
      <c r="G15" s="66"/>
      <c r="H15" s="66"/>
      <c r="I15" s="66"/>
    </row>
    <row r="16" spans="1:9" ht="15">
      <c r="B16" s="21"/>
    </row>
    <row r="17" spans="2:2" ht="15">
      <c r="B17" s="45"/>
    </row>
    <row r="18" spans="2:2" ht="15">
      <c r="B18" s="45"/>
    </row>
  </sheetData>
  <mergeCells count="6">
    <mergeCell ref="B1:E1"/>
    <mergeCell ref="F1:I1"/>
    <mergeCell ref="B2:E2"/>
    <mergeCell ref="F2:I2"/>
    <mergeCell ref="B7:E7"/>
    <mergeCell ref="F7:I7"/>
  </mergeCells>
  <phoneticPr fontId="5" type="noConversion"/>
  <pageMargins left="0.7" right="0.7" top="0.75" bottom="0.75" header="0.3" footer="0.3"/>
  <pageSetup paperSize="9" orientation="portrait" horizontalDpi="0" verticalDpi="0"/>
</worksheet>
</file>

<file path=xl/worksheets/sheet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428C352-393F-4753-8EF7-854988D4DEE0}">
  <sheetPr codeName="工作表51"/>
  <dimension ref="A1:I24"/>
  <sheetViews>
    <sheetView workbookViewId="0"/>
  </sheetViews>
  <sheetFormatPr defaultColWidth="6.625" defaultRowHeight="13.5"/>
  <cols>
    <col min="1" max="1" width="3.125" style="4" bestFit="1" customWidth="1"/>
    <col min="2" max="2" width="5.5" style="8" customWidth="1"/>
    <col min="3" max="3" width="25.125" style="4" customWidth="1"/>
    <col min="4" max="4" width="22.625" style="4" customWidth="1"/>
    <col min="5" max="5" width="11.125" style="4" bestFit="1" customWidth="1"/>
    <col min="6" max="6" width="7.125" style="4" bestFit="1" customWidth="1"/>
    <col min="7" max="7" width="55.375" style="4" customWidth="1"/>
    <col min="8" max="8" width="34.625" style="4" customWidth="1"/>
    <col min="9" max="9" width="11.625" style="4" customWidth="1"/>
    <col min="10" max="16384" width="6.625" style="4"/>
  </cols>
  <sheetData>
    <row r="1" spans="1:9" ht="24">
      <c r="A1" s="149" t="e">
        <f ca="1">HYPERLINK("#'介面'!E"&amp;MATCH(VALUE(RIGHT(CELL("filename"),LEN(CELL("filename"))-FIND("]",CELL("filename")))),介面!D:D,"0"),"←")</f>
        <v>#VALUE!</v>
      </c>
      <c r="B1" s="207" t="s">
        <v>144</v>
      </c>
      <c r="C1" s="208"/>
      <c r="D1" s="208"/>
      <c r="E1" s="209"/>
      <c r="F1" s="207" t="s">
        <v>1922</v>
      </c>
      <c r="G1" s="208"/>
      <c r="H1" s="208"/>
      <c r="I1" s="208"/>
    </row>
    <row r="2" spans="1:9" ht="24">
      <c r="A2" s="1"/>
      <c r="B2" s="210" t="s">
        <v>275</v>
      </c>
      <c r="C2" s="211"/>
      <c r="D2" s="211"/>
      <c r="E2" s="212"/>
      <c r="F2" s="210"/>
      <c r="G2" s="211"/>
      <c r="H2" s="211"/>
      <c r="I2" s="212"/>
    </row>
    <row r="3" spans="1:9" s="8" customFormat="1" ht="15">
      <c r="A3" s="6"/>
      <c r="B3" s="7" t="s">
        <v>276</v>
      </c>
      <c r="C3" s="56" t="s">
        <v>277</v>
      </c>
      <c r="D3" s="56" t="s">
        <v>278</v>
      </c>
      <c r="E3" s="57" t="s">
        <v>279</v>
      </c>
      <c r="F3" s="57" t="s">
        <v>280</v>
      </c>
      <c r="G3" s="56" t="s">
        <v>281</v>
      </c>
      <c r="H3" s="141" t="s">
        <v>11</v>
      </c>
      <c r="I3" s="56" t="s">
        <v>282</v>
      </c>
    </row>
    <row r="4" spans="1:9" s="24" customFormat="1" ht="15.75">
      <c r="A4" s="25"/>
      <c r="B4" s="46">
        <v>1</v>
      </c>
      <c r="C4" s="80" t="s">
        <v>297</v>
      </c>
      <c r="D4" s="80" t="s">
        <v>298</v>
      </c>
      <c r="E4" s="81" t="s">
        <v>285</v>
      </c>
      <c r="F4" s="81">
        <v>500</v>
      </c>
      <c r="G4" s="66" t="s">
        <v>330</v>
      </c>
      <c r="H4" s="142" t="s">
        <v>302</v>
      </c>
      <c r="I4" s="66" t="s">
        <v>287</v>
      </c>
    </row>
    <row r="5" spans="1:9" s="24" customFormat="1" ht="15">
      <c r="A5" s="25"/>
      <c r="B5" s="46">
        <f>B4+1</f>
        <v>2</v>
      </c>
      <c r="C5" s="50" t="s">
        <v>303</v>
      </c>
      <c r="D5" s="76" t="s">
        <v>304</v>
      </c>
      <c r="E5" s="51" t="s">
        <v>296</v>
      </c>
      <c r="F5" s="51">
        <v>20</v>
      </c>
      <c r="G5" s="66" t="s">
        <v>331</v>
      </c>
      <c r="H5" s="142"/>
      <c r="I5" s="19" t="s">
        <v>287</v>
      </c>
    </row>
    <row r="6" spans="1:9" ht="15.75">
      <c r="A6" s="1"/>
      <c r="B6" s="2"/>
      <c r="C6" s="3"/>
      <c r="D6" s="3"/>
      <c r="E6" s="3"/>
      <c r="F6" s="3"/>
      <c r="G6" s="3"/>
      <c r="H6" s="3"/>
      <c r="I6" s="3"/>
    </row>
    <row r="7" spans="1:9" ht="24">
      <c r="A7" s="1"/>
      <c r="B7" s="204" t="s">
        <v>291</v>
      </c>
      <c r="C7" s="205"/>
      <c r="D7" s="205"/>
      <c r="E7" s="206"/>
      <c r="F7" s="204"/>
      <c r="G7" s="205"/>
      <c r="H7" s="205"/>
      <c r="I7" s="206"/>
    </row>
    <row r="8" spans="1:9" s="8" customFormat="1" ht="15">
      <c r="A8" s="6"/>
      <c r="B8" s="7" t="s">
        <v>276</v>
      </c>
      <c r="C8" s="56" t="s">
        <v>277</v>
      </c>
      <c r="D8" s="56" t="s">
        <v>278</v>
      </c>
      <c r="E8" s="57" t="s">
        <v>279</v>
      </c>
      <c r="F8" s="57" t="s">
        <v>280</v>
      </c>
      <c r="G8" s="56" t="s">
        <v>11</v>
      </c>
      <c r="H8" s="56" t="s">
        <v>292</v>
      </c>
      <c r="I8" s="56" t="s">
        <v>293</v>
      </c>
    </row>
    <row r="9" spans="1:9" ht="15">
      <c r="A9" s="5"/>
      <c r="B9" s="46">
        <v>1</v>
      </c>
      <c r="C9" s="50" t="s">
        <v>1592</v>
      </c>
      <c r="D9" s="50" t="s">
        <v>1923</v>
      </c>
      <c r="E9" s="51" t="s">
        <v>296</v>
      </c>
      <c r="F9" s="51">
        <v>20</v>
      </c>
      <c r="G9" s="28"/>
      <c r="H9" s="28"/>
      <c r="I9" s="28"/>
    </row>
    <row r="10" spans="1:9" ht="15">
      <c r="A10" s="5"/>
      <c r="B10" s="46">
        <f>B9+1</f>
        <v>2</v>
      </c>
      <c r="C10" s="50" t="s">
        <v>453</v>
      </c>
      <c r="D10" s="50" t="s">
        <v>304</v>
      </c>
      <c r="E10" s="51" t="s">
        <v>452</v>
      </c>
      <c r="F10" s="51">
        <v>20</v>
      </c>
      <c r="G10" s="52"/>
      <c r="H10" s="19" t="s">
        <v>1924</v>
      </c>
      <c r="I10" s="19" t="s">
        <v>304</v>
      </c>
    </row>
    <row r="11" spans="1:9" ht="15">
      <c r="A11" s="58"/>
      <c r="B11" s="46">
        <f t="shared" ref="B11:B21" si="0">B10+1</f>
        <v>3</v>
      </c>
      <c r="C11" s="50" t="s">
        <v>1925</v>
      </c>
      <c r="D11" s="50" t="s">
        <v>1926</v>
      </c>
      <c r="E11" s="51" t="s">
        <v>326</v>
      </c>
      <c r="F11" s="51">
        <v>4</v>
      </c>
      <c r="G11" s="19" t="s">
        <v>1927</v>
      </c>
      <c r="H11" s="19" t="s">
        <v>1928</v>
      </c>
      <c r="I11" s="19"/>
    </row>
    <row r="12" spans="1:9" ht="15">
      <c r="A12" s="5"/>
      <c r="B12" s="46">
        <f t="shared" si="0"/>
        <v>4</v>
      </c>
      <c r="C12" s="50" t="s">
        <v>1929</v>
      </c>
      <c r="D12" s="50" t="s">
        <v>1930</v>
      </c>
      <c r="E12" s="51" t="s">
        <v>456</v>
      </c>
      <c r="F12" s="51">
        <v>20</v>
      </c>
      <c r="G12" s="52" t="s">
        <v>1931</v>
      </c>
      <c r="H12" s="19" t="s">
        <v>146</v>
      </c>
      <c r="I12" s="19" t="s">
        <v>1932</v>
      </c>
    </row>
    <row r="13" spans="1:9" ht="15">
      <c r="A13" s="5"/>
      <c r="B13" s="46">
        <f t="shared" si="0"/>
        <v>5</v>
      </c>
      <c r="C13" s="50" t="s">
        <v>1933</v>
      </c>
      <c r="D13" s="50" t="s">
        <v>1932</v>
      </c>
      <c r="E13" s="51" t="s">
        <v>456</v>
      </c>
      <c r="F13" s="51">
        <v>20</v>
      </c>
      <c r="G13" s="19"/>
      <c r="H13" s="19"/>
      <c r="I13" s="19"/>
    </row>
    <row r="14" spans="1:9" ht="15">
      <c r="A14" s="5"/>
      <c r="B14" s="46">
        <f t="shared" si="0"/>
        <v>6</v>
      </c>
      <c r="C14" s="50" t="s">
        <v>1934</v>
      </c>
      <c r="D14" s="50" t="s">
        <v>1935</v>
      </c>
      <c r="E14" s="51" t="s">
        <v>456</v>
      </c>
      <c r="F14" s="51">
        <v>100</v>
      </c>
      <c r="G14" s="19"/>
      <c r="H14" s="19"/>
      <c r="I14" s="19"/>
    </row>
    <row r="15" spans="1:9" ht="15">
      <c r="A15" s="58"/>
      <c r="B15" s="46">
        <f t="shared" si="0"/>
        <v>7</v>
      </c>
      <c r="C15" s="50" t="s">
        <v>1936</v>
      </c>
      <c r="D15" s="50" t="s">
        <v>1937</v>
      </c>
      <c r="E15" s="51" t="s">
        <v>456</v>
      </c>
      <c r="F15" s="51">
        <v>1000</v>
      </c>
      <c r="G15" s="19"/>
      <c r="H15" s="19"/>
      <c r="I15" s="19"/>
    </row>
    <row r="16" spans="1:9" ht="15">
      <c r="A16" s="58"/>
      <c r="B16" s="46">
        <f t="shared" si="0"/>
        <v>8</v>
      </c>
      <c r="C16" s="50" t="s">
        <v>1938</v>
      </c>
      <c r="D16" s="50" t="s">
        <v>1939</v>
      </c>
      <c r="E16" s="51" t="s">
        <v>326</v>
      </c>
      <c r="F16" s="51">
        <v>4</v>
      </c>
      <c r="G16" s="125" t="s">
        <v>448</v>
      </c>
      <c r="H16" s="19" t="s">
        <v>435</v>
      </c>
      <c r="I16" s="19"/>
    </row>
    <row r="17" spans="1:9" ht="150">
      <c r="A17" s="58"/>
      <c r="B17" s="46">
        <f t="shared" si="0"/>
        <v>9</v>
      </c>
      <c r="C17" s="50" t="s">
        <v>1940</v>
      </c>
      <c r="D17" s="50" t="s">
        <v>1941</v>
      </c>
      <c r="E17" s="51" t="s">
        <v>456</v>
      </c>
      <c r="F17" s="51">
        <v>2</v>
      </c>
      <c r="G17" s="52" t="s">
        <v>1942</v>
      </c>
      <c r="H17" s="19" t="s">
        <v>1943</v>
      </c>
      <c r="I17" s="19"/>
    </row>
    <row r="18" spans="1:9" ht="30">
      <c r="A18" s="58"/>
      <c r="B18" s="46">
        <f t="shared" si="0"/>
        <v>10</v>
      </c>
      <c r="C18" s="50" t="s">
        <v>1944</v>
      </c>
      <c r="D18" s="50" t="s">
        <v>1945</v>
      </c>
      <c r="E18" s="51" t="s">
        <v>326</v>
      </c>
      <c r="F18" s="51">
        <v>4</v>
      </c>
      <c r="G18" s="52" t="s">
        <v>1946</v>
      </c>
      <c r="H18" s="19" t="s">
        <v>1947</v>
      </c>
      <c r="I18" s="19"/>
    </row>
    <row r="19" spans="1:9" ht="15">
      <c r="A19" s="5"/>
      <c r="B19" s="46">
        <f t="shared" si="0"/>
        <v>11</v>
      </c>
      <c r="C19" s="50" t="s">
        <v>1948</v>
      </c>
      <c r="D19" s="50" t="s">
        <v>1949</v>
      </c>
      <c r="E19" s="51" t="s">
        <v>285</v>
      </c>
      <c r="F19" s="51">
        <v>2000</v>
      </c>
      <c r="G19" s="19" t="s">
        <v>1950</v>
      </c>
      <c r="H19" s="19"/>
      <c r="I19" s="19"/>
    </row>
    <row r="20" spans="1:9" s="24" customFormat="1" ht="15">
      <c r="A20" s="22"/>
      <c r="B20" s="46">
        <f t="shared" si="0"/>
        <v>12</v>
      </c>
      <c r="C20" s="102" t="s">
        <v>1951</v>
      </c>
      <c r="D20" s="26" t="s">
        <v>325</v>
      </c>
      <c r="E20" s="27" t="s">
        <v>326</v>
      </c>
      <c r="F20" s="27">
        <v>4</v>
      </c>
      <c r="G20" s="19" t="s">
        <v>327</v>
      </c>
      <c r="H20" s="28" t="s">
        <v>328</v>
      </c>
      <c r="I20" s="28"/>
    </row>
    <row r="21" spans="1:9" ht="15">
      <c r="A21" s="58"/>
      <c r="B21" s="46">
        <f t="shared" si="0"/>
        <v>13</v>
      </c>
      <c r="C21" s="50" t="s">
        <v>311</v>
      </c>
      <c r="D21" s="50" t="s">
        <v>312</v>
      </c>
      <c r="E21" s="18" t="s">
        <v>313</v>
      </c>
      <c r="F21" s="18"/>
      <c r="G21" s="52"/>
      <c r="H21" s="19"/>
      <c r="I21" s="19"/>
    </row>
    <row r="22" spans="1:9" ht="15">
      <c r="B22" s="21"/>
    </row>
    <row r="23" spans="1:9" ht="15">
      <c r="B23" s="45"/>
    </row>
    <row r="24" spans="1:9" ht="15">
      <c r="B24" s="45"/>
    </row>
  </sheetData>
  <mergeCells count="6">
    <mergeCell ref="B7:E7"/>
    <mergeCell ref="F7:I7"/>
    <mergeCell ref="B1:E1"/>
    <mergeCell ref="F1:I1"/>
    <mergeCell ref="B2:E2"/>
    <mergeCell ref="F2:I2"/>
  </mergeCells>
  <phoneticPr fontId="5" type="noConversion"/>
  <pageMargins left="0.7" right="0.7" top="0.75" bottom="0.75" header="0.3" footer="0.3"/>
  <pageSetup paperSize="9" orientation="portrait" horizontalDpi="0" verticalDpi="0"/>
</worksheet>
</file>

<file path=xl/worksheets/sheet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246D98D-C19F-41C0-9520-67784423B2AF}">
  <sheetPr codeName="工作表52"/>
  <dimension ref="A1:I65"/>
  <sheetViews>
    <sheetView workbookViewId="0"/>
  </sheetViews>
  <sheetFormatPr defaultColWidth="6.625" defaultRowHeight="13.5"/>
  <cols>
    <col min="1" max="1" width="3.125" style="4" bestFit="1" customWidth="1"/>
    <col min="2" max="2" width="5.5" style="8" customWidth="1"/>
    <col min="3" max="3" width="25.125" style="4" customWidth="1"/>
    <col min="4" max="4" width="22.625" style="4" customWidth="1"/>
    <col min="5" max="5" width="11.125" style="4" bestFit="1" customWidth="1"/>
    <col min="6" max="6" width="7.125" style="4" bestFit="1" customWidth="1"/>
    <col min="7" max="7" width="55.375" style="4" customWidth="1"/>
    <col min="8" max="8" width="27.625" style="4" customWidth="1"/>
    <col min="9" max="9" width="11.625" style="4" customWidth="1"/>
    <col min="10" max="16384" width="6.625" style="4"/>
  </cols>
  <sheetData>
    <row r="1" spans="1:9" ht="24">
      <c r="A1" s="1" t="e">
        <f ca="1">HYPERLINK("#'介面'!E"&amp;MATCH(VALUE(RIGHT(CELL("filename"),LEN(CELL("filename"))-FIND("]",CELL("filename")))),介面!D:D,"0"),"←")</f>
        <v>#VALUE!</v>
      </c>
      <c r="B1" s="207" t="s">
        <v>146</v>
      </c>
      <c r="C1" s="208"/>
      <c r="D1" s="208"/>
      <c r="E1" s="209"/>
      <c r="F1" s="207" t="s">
        <v>1952</v>
      </c>
      <c r="G1" s="208"/>
      <c r="H1" s="208"/>
      <c r="I1" s="208"/>
    </row>
    <row r="2" spans="1:9" ht="24">
      <c r="A2" s="1"/>
      <c r="B2" s="210" t="s">
        <v>275</v>
      </c>
      <c r="C2" s="211"/>
      <c r="D2" s="211"/>
      <c r="E2" s="212"/>
      <c r="F2" s="210"/>
      <c r="G2" s="211"/>
      <c r="H2" s="211"/>
      <c r="I2" s="212"/>
    </row>
    <row r="3" spans="1:9" s="8" customFormat="1" ht="15">
      <c r="A3" s="6"/>
      <c r="B3" s="7" t="s">
        <v>276</v>
      </c>
      <c r="C3" s="56" t="s">
        <v>277</v>
      </c>
      <c r="D3" s="56" t="s">
        <v>278</v>
      </c>
      <c r="E3" s="57" t="s">
        <v>279</v>
      </c>
      <c r="F3" s="57" t="s">
        <v>280</v>
      </c>
      <c r="G3" s="56" t="s">
        <v>281</v>
      </c>
      <c r="H3" s="141" t="s">
        <v>11</v>
      </c>
      <c r="I3" s="56" t="s">
        <v>282</v>
      </c>
    </row>
    <row r="4" spans="1:9" s="24" customFormat="1" ht="15.75">
      <c r="A4" s="25"/>
      <c r="B4" s="46">
        <v>1</v>
      </c>
      <c r="C4" s="80" t="s">
        <v>297</v>
      </c>
      <c r="D4" s="80" t="s">
        <v>298</v>
      </c>
      <c r="E4" s="81" t="s">
        <v>285</v>
      </c>
      <c r="F4" s="81">
        <v>500</v>
      </c>
      <c r="G4" s="66" t="s">
        <v>330</v>
      </c>
      <c r="H4" s="142" t="s">
        <v>302</v>
      </c>
      <c r="I4" s="66" t="s">
        <v>287</v>
      </c>
    </row>
    <row r="5" spans="1:9" ht="15.75">
      <c r="A5" s="1"/>
      <c r="B5" s="2"/>
      <c r="C5" s="3"/>
      <c r="D5" s="3"/>
      <c r="E5" s="3"/>
      <c r="F5" s="3"/>
      <c r="G5" s="3"/>
      <c r="H5" s="142"/>
      <c r="I5" s="19"/>
    </row>
    <row r="6" spans="1:9" ht="24">
      <c r="A6" s="1"/>
      <c r="B6" s="204" t="s">
        <v>291</v>
      </c>
      <c r="C6" s="205"/>
      <c r="D6" s="205"/>
      <c r="E6" s="206"/>
      <c r="F6" s="204"/>
      <c r="G6" s="205"/>
      <c r="H6" s="205"/>
      <c r="I6" s="206"/>
    </row>
    <row r="7" spans="1:9" s="8" customFormat="1" ht="15">
      <c r="A7" s="6"/>
      <c r="B7" s="7" t="s">
        <v>276</v>
      </c>
      <c r="C7" s="56" t="s">
        <v>277</v>
      </c>
      <c r="D7" s="56" t="s">
        <v>278</v>
      </c>
      <c r="E7" s="57" t="s">
        <v>279</v>
      </c>
      <c r="F7" s="57" t="s">
        <v>280</v>
      </c>
      <c r="G7" s="56" t="s">
        <v>11</v>
      </c>
      <c r="H7" s="56" t="s">
        <v>292</v>
      </c>
      <c r="I7" s="56" t="s">
        <v>293</v>
      </c>
    </row>
    <row r="8" spans="1:9" ht="30">
      <c r="A8" s="5"/>
      <c r="B8" s="46">
        <v>1</v>
      </c>
      <c r="C8" s="50" t="s">
        <v>1592</v>
      </c>
      <c r="D8" s="50" t="s">
        <v>1953</v>
      </c>
      <c r="E8" s="51" t="s">
        <v>296</v>
      </c>
      <c r="F8" s="51">
        <v>20</v>
      </c>
      <c r="G8" s="28"/>
      <c r="H8" s="28"/>
      <c r="I8" s="28"/>
    </row>
    <row r="9" spans="1:9" ht="15">
      <c r="A9" s="58"/>
      <c r="B9" s="46">
        <f>B8+1</f>
        <v>2</v>
      </c>
      <c r="C9" s="50" t="s">
        <v>1925</v>
      </c>
      <c r="D9" s="50" t="s">
        <v>1926</v>
      </c>
      <c r="E9" s="51" t="s">
        <v>456</v>
      </c>
      <c r="F9" s="51">
        <v>1</v>
      </c>
      <c r="G9" s="19" t="s">
        <v>1927</v>
      </c>
      <c r="H9" s="19" t="s">
        <v>1954</v>
      </c>
      <c r="I9" s="19"/>
    </row>
    <row r="10" spans="1:9" ht="15">
      <c r="A10" s="5"/>
      <c r="B10" s="46">
        <f>B9+1</f>
        <v>3</v>
      </c>
      <c r="C10" s="50" t="s">
        <v>1933</v>
      </c>
      <c r="D10" s="50" t="s">
        <v>1932</v>
      </c>
      <c r="E10" s="51" t="s">
        <v>456</v>
      </c>
      <c r="F10" s="51">
        <v>20</v>
      </c>
      <c r="G10" s="19"/>
      <c r="H10" s="19"/>
      <c r="I10" s="19"/>
    </row>
    <row r="11" spans="1:9" ht="15">
      <c r="A11" s="5"/>
      <c r="B11" s="46">
        <f>B10+1</f>
        <v>4</v>
      </c>
      <c r="C11" s="50" t="s">
        <v>1934</v>
      </c>
      <c r="D11" s="50" t="s">
        <v>1935</v>
      </c>
      <c r="E11" s="51" t="s">
        <v>456</v>
      </c>
      <c r="F11" s="51">
        <v>100</v>
      </c>
      <c r="G11" s="19"/>
      <c r="H11" s="19"/>
      <c r="I11" s="19"/>
    </row>
    <row r="12" spans="1:9" ht="15">
      <c r="B12" s="21"/>
    </row>
    <row r="13" spans="1:9" ht="15">
      <c r="B13" s="45"/>
    </row>
    <row r="20" ht="16.5" customHeight="1"/>
    <row r="21" ht="16.5" customHeight="1"/>
    <row r="22" ht="16.5" customHeight="1"/>
    <row r="23" ht="16.5" customHeight="1"/>
    <row r="24" ht="16.5" customHeight="1"/>
    <row r="25" ht="16.5" customHeight="1"/>
    <row r="26" ht="16.5" customHeight="1"/>
    <row r="27" ht="16.5" customHeight="1"/>
    <row r="28" ht="16.5" customHeight="1"/>
    <row r="29" ht="16.5" customHeight="1"/>
    <row r="30" ht="16.5" customHeight="1"/>
    <row r="31" ht="16.5" customHeight="1"/>
    <row r="32" ht="16.5" customHeight="1"/>
    <row r="33" ht="16.5" customHeight="1"/>
    <row r="34" ht="16.5" customHeight="1"/>
    <row r="35" ht="16.5" customHeight="1"/>
    <row r="36" ht="16.5" customHeight="1"/>
    <row r="37" ht="16.5" customHeight="1"/>
    <row r="38" ht="16.5" customHeight="1"/>
    <row r="39" ht="16.5" customHeight="1"/>
    <row r="40" ht="16.5" customHeight="1"/>
    <row r="41" ht="16.5" customHeight="1"/>
    <row r="42" ht="16.5" customHeight="1"/>
    <row r="43" ht="16.5" customHeight="1"/>
    <row r="44" ht="16.5" customHeight="1"/>
    <row r="45" ht="16.5" customHeight="1"/>
    <row r="46" ht="16.5" customHeight="1"/>
    <row r="47" ht="16.5" customHeight="1"/>
    <row r="48" ht="16.5" customHeight="1"/>
    <row r="49" ht="16.5" customHeight="1"/>
    <row r="50" ht="16.5" customHeight="1"/>
    <row r="51" ht="16.5" customHeight="1"/>
    <row r="52" ht="16.5" customHeight="1"/>
    <row r="53" ht="16.5" customHeight="1"/>
    <row r="54" ht="16.5" customHeight="1"/>
    <row r="55" ht="16.5" customHeight="1"/>
    <row r="56" ht="16.5" customHeight="1"/>
    <row r="57" ht="16.5" customHeight="1"/>
    <row r="58" ht="16.5" customHeight="1"/>
    <row r="59" ht="16.5" customHeight="1"/>
    <row r="60" ht="16.5" customHeight="1"/>
    <row r="61" ht="16.5" customHeight="1"/>
    <row r="62" ht="16.5" customHeight="1"/>
    <row r="63" ht="16.5" customHeight="1"/>
    <row r="64" ht="16.5" customHeight="1"/>
    <row r="65" ht="16.5" customHeight="1"/>
  </sheetData>
  <mergeCells count="6">
    <mergeCell ref="B6:E6"/>
    <mergeCell ref="F6:I6"/>
    <mergeCell ref="B1:E1"/>
    <mergeCell ref="F1:I1"/>
    <mergeCell ref="B2:E2"/>
    <mergeCell ref="F2:I2"/>
  </mergeCells>
  <phoneticPr fontId="5" type="noConversion"/>
  <pageMargins left="0.7" right="0.7" top="0.75" bottom="0.75" header="0.3" footer="0.3"/>
  <pageSetup paperSize="9" orientation="portrait" horizontalDpi="0" verticalDpi="0"/>
</worksheet>
</file>

<file path=xl/worksheets/sheet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6503C1D-41A4-4B29-86A6-3198B718765F}">
  <sheetPr codeName="工作表53"/>
  <dimension ref="A1:I299"/>
  <sheetViews>
    <sheetView workbookViewId="0"/>
  </sheetViews>
  <sheetFormatPr defaultColWidth="6.625" defaultRowHeight="13.5"/>
  <cols>
    <col min="1" max="1" width="3.125" style="4" bestFit="1" customWidth="1"/>
    <col min="2" max="2" width="5.5" style="8" customWidth="1"/>
    <col min="3" max="3" width="18.5" style="4" bestFit="1" customWidth="1"/>
    <col min="4" max="4" width="26" style="4" customWidth="1"/>
    <col min="5" max="5" width="11.125" style="4" bestFit="1" customWidth="1"/>
    <col min="6" max="6" width="12.625" style="4" customWidth="1"/>
    <col min="7" max="7" width="18.625" style="4" customWidth="1"/>
    <col min="8" max="8" width="15.5" style="4" customWidth="1"/>
    <col min="9" max="9" width="13.625" style="4" customWidth="1"/>
    <col min="10" max="16384" width="6.625" style="4"/>
  </cols>
  <sheetData>
    <row r="1" spans="1:9" ht="24">
      <c r="A1" s="1" t="e">
        <f ca="1">HYPERLINK("#'介面'!E"&amp;MATCH(VALUE(RIGHT(CELL("filename"),LEN(CELL("filename"))-FIND("]",CELL("filename")))),介面!D:D,"0"),"←")</f>
        <v>#VALUE!</v>
      </c>
      <c r="B1" s="207" t="s">
        <v>1955</v>
      </c>
      <c r="C1" s="208"/>
      <c r="D1" s="208"/>
      <c r="E1" s="209"/>
      <c r="F1" s="207" t="s">
        <v>1956</v>
      </c>
      <c r="G1" s="208"/>
      <c r="H1" s="208"/>
      <c r="I1" s="208"/>
    </row>
    <row r="2" spans="1:9" ht="24">
      <c r="A2" s="1"/>
      <c r="B2" s="210" t="s">
        <v>275</v>
      </c>
      <c r="C2" s="211"/>
      <c r="D2" s="211"/>
      <c r="E2" s="212"/>
      <c r="F2" s="210"/>
      <c r="G2" s="211"/>
      <c r="H2" s="211"/>
      <c r="I2" s="212"/>
    </row>
    <row r="3" spans="1:9" s="8" customFormat="1" ht="15">
      <c r="A3" s="6"/>
      <c r="B3" s="7" t="s">
        <v>276</v>
      </c>
      <c r="C3" s="56" t="s">
        <v>277</v>
      </c>
      <c r="D3" s="56" t="s">
        <v>278</v>
      </c>
      <c r="E3" s="57" t="s">
        <v>279</v>
      </c>
      <c r="F3" s="57" t="s">
        <v>280</v>
      </c>
      <c r="G3" s="56" t="s">
        <v>281</v>
      </c>
      <c r="H3" s="141" t="s">
        <v>11</v>
      </c>
      <c r="I3" s="56" t="s">
        <v>282</v>
      </c>
    </row>
    <row r="4" spans="1:9" s="24" customFormat="1" ht="15.75">
      <c r="A4" s="25"/>
      <c r="B4" s="46">
        <v>1</v>
      </c>
      <c r="C4" s="80" t="s">
        <v>297</v>
      </c>
      <c r="D4" s="80" t="s">
        <v>298</v>
      </c>
      <c r="E4" s="81" t="s">
        <v>285</v>
      </c>
      <c r="F4" s="81">
        <v>500</v>
      </c>
      <c r="G4" s="66" t="s">
        <v>330</v>
      </c>
      <c r="H4" s="142" t="s">
        <v>302</v>
      </c>
      <c r="I4" s="66" t="s">
        <v>287</v>
      </c>
    </row>
    <row r="5" spans="1:9" s="24" customFormat="1" ht="15">
      <c r="A5" s="25"/>
      <c r="B5" s="46">
        <f>B4+1</f>
        <v>2</v>
      </c>
      <c r="C5" s="50" t="s">
        <v>303</v>
      </c>
      <c r="D5" s="76" t="s">
        <v>304</v>
      </c>
      <c r="E5" s="51" t="s">
        <v>296</v>
      </c>
      <c r="F5" s="51">
        <v>20</v>
      </c>
      <c r="G5" s="66" t="s">
        <v>331</v>
      </c>
      <c r="H5" s="142"/>
      <c r="I5" s="19" t="s">
        <v>287</v>
      </c>
    </row>
    <row r="6" spans="1:9" ht="15.75">
      <c r="A6" s="1"/>
      <c r="B6" s="2"/>
      <c r="C6" s="3"/>
      <c r="D6" s="3"/>
      <c r="E6" s="3"/>
      <c r="F6" s="3"/>
      <c r="G6" s="3"/>
      <c r="H6" s="3"/>
      <c r="I6" s="3"/>
    </row>
    <row r="7" spans="1:9" ht="24">
      <c r="A7" s="1"/>
      <c r="B7" s="204" t="s">
        <v>291</v>
      </c>
      <c r="C7" s="205"/>
      <c r="D7" s="205"/>
      <c r="E7" s="206"/>
      <c r="F7" s="204"/>
      <c r="G7" s="205"/>
      <c r="H7" s="205"/>
      <c r="I7" s="206"/>
    </row>
    <row r="8" spans="1:9" s="8" customFormat="1" ht="15">
      <c r="A8" s="6"/>
      <c r="B8" s="7" t="s">
        <v>276</v>
      </c>
      <c r="C8" s="56" t="s">
        <v>277</v>
      </c>
      <c r="D8" s="56" t="s">
        <v>278</v>
      </c>
      <c r="E8" s="57" t="s">
        <v>279</v>
      </c>
      <c r="F8" s="57" t="s">
        <v>280</v>
      </c>
      <c r="G8" s="56" t="s">
        <v>11</v>
      </c>
      <c r="H8" s="56" t="s">
        <v>292</v>
      </c>
      <c r="I8" s="56" t="s">
        <v>293</v>
      </c>
    </row>
    <row r="9" spans="1:9" ht="15">
      <c r="A9" s="5"/>
      <c r="B9" s="46">
        <v>1</v>
      </c>
      <c r="C9" s="64" t="s">
        <v>1957</v>
      </c>
      <c r="D9" s="64" t="s">
        <v>1958</v>
      </c>
      <c r="E9" s="62" t="s">
        <v>452</v>
      </c>
      <c r="F9" s="62">
        <v>20</v>
      </c>
      <c r="G9" s="66"/>
      <c r="H9" s="66"/>
      <c r="I9" s="66"/>
    </row>
    <row r="10" spans="1:9" ht="15">
      <c r="A10" s="58"/>
      <c r="B10" s="46">
        <f t="shared" ref="B10:B15" si="0">B9+1</f>
        <v>2</v>
      </c>
      <c r="C10" s="67" t="s">
        <v>453</v>
      </c>
      <c r="D10" s="67" t="s">
        <v>304</v>
      </c>
      <c r="E10" s="68" t="s">
        <v>452</v>
      </c>
      <c r="F10" s="68">
        <v>20</v>
      </c>
      <c r="G10" s="69"/>
      <c r="H10" s="66" t="s">
        <v>1924</v>
      </c>
      <c r="I10" s="66" t="s">
        <v>304</v>
      </c>
    </row>
    <row r="11" spans="1:9" ht="15">
      <c r="A11" s="5"/>
      <c r="B11" s="46">
        <f t="shared" si="0"/>
        <v>3</v>
      </c>
      <c r="C11" s="64" t="s">
        <v>1959</v>
      </c>
      <c r="D11" s="64" t="s">
        <v>1960</v>
      </c>
      <c r="E11" s="62" t="s">
        <v>456</v>
      </c>
      <c r="F11" s="62">
        <v>20</v>
      </c>
      <c r="G11" s="66"/>
      <c r="H11" s="66"/>
      <c r="I11" s="66"/>
    </row>
    <row r="12" spans="1:9" ht="15">
      <c r="A12" s="5"/>
      <c r="B12" s="46">
        <f t="shared" si="0"/>
        <v>4</v>
      </c>
      <c r="C12" s="64" t="s">
        <v>1961</v>
      </c>
      <c r="D12" s="64" t="s">
        <v>1962</v>
      </c>
      <c r="E12" s="68" t="s">
        <v>456</v>
      </c>
      <c r="F12" s="62">
        <v>50</v>
      </c>
      <c r="G12" s="66"/>
      <c r="H12" s="66"/>
      <c r="I12" s="66"/>
    </row>
    <row r="13" spans="1:9" ht="15">
      <c r="B13" s="46">
        <f t="shared" si="0"/>
        <v>5</v>
      </c>
      <c r="C13" s="64" t="s">
        <v>1963</v>
      </c>
      <c r="D13" s="64" t="s">
        <v>1964</v>
      </c>
      <c r="E13" s="68" t="s">
        <v>456</v>
      </c>
      <c r="F13" s="62">
        <v>500</v>
      </c>
      <c r="G13" s="66"/>
      <c r="H13" s="66"/>
      <c r="I13" s="66"/>
    </row>
    <row r="14" spans="1:9" ht="15">
      <c r="B14" s="46">
        <f t="shared" si="0"/>
        <v>6</v>
      </c>
      <c r="C14" s="70" t="s">
        <v>398</v>
      </c>
      <c r="D14" s="71" t="s">
        <v>325</v>
      </c>
      <c r="E14" s="72" t="s">
        <v>326</v>
      </c>
      <c r="F14" s="72">
        <v>4</v>
      </c>
      <c r="G14" s="66" t="s">
        <v>327</v>
      </c>
      <c r="H14" s="28" t="s">
        <v>328</v>
      </c>
      <c r="I14" s="73"/>
    </row>
    <row r="15" spans="1:9" ht="15">
      <c r="B15" s="46">
        <f t="shared" si="0"/>
        <v>7</v>
      </c>
      <c r="C15" s="64" t="s">
        <v>493</v>
      </c>
      <c r="D15" s="64" t="s">
        <v>312</v>
      </c>
      <c r="E15" s="77" t="s">
        <v>313</v>
      </c>
      <c r="F15" s="77"/>
      <c r="G15" s="66"/>
      <c r="H15" s="66"/>
      <c r="I15" s="66"/>
    </row>
    <row r="16" spans="1:9" ht="16.5" customHeight="1">
      <c r="B16" s="21"/>
    </row>
    <row r="17" spans="2:2" ht="16.5" customHeight="1">
      <c r="B17" s="45"/>
    </row>
    <row r="18" spans="2:2" ht="16.5" customHeight="1">
      <c r="B18" s="45"/>
    </row>
    <row r="19" spans="2:2" ht="16.5" customHeight="1"/>
    <row r="20" spans="2:2" ht="16.5" customHeight="1"/>
    <row r="21" spans="2:2" ht="16.5" customHeight="1"/>
    <row r="22" spans="2:2" ht="16.5" customHeight="1"/>
    <row r="23" spans="2:2" ht="16.5" customHeight="1"/>
    <row r="24" spans="2:2" ht="16.5" customHeight="1"/>
    <row r="25" spans="2:2" ht="16.5" customHeight="1"/>
    <row r="26" spans="2:2" ht="16.5" customHeight="1"/>
    <row r="27" spans="2:2" ht="16.5" customHeight="1"/>
    <row r="28" spans="2:2" ht="16.5" customHeight="1"/>
    <row r="29" spans="2:2" ht="16.5" customHeight="1"/>
    <row r="30" spans="2:2" ht="16.5" customHeight="1"/>
    <row r="31" spans="2:2" ht="16.5" customHeight="1"/>
    <row r="32" spans="2:2" ht="16.5" customHeight="1"/>
    <row r="33" ht="16.5" customHeight="1"/>
    <row r="34" ht="16.5" customHeight="1"/>
    <row r="35" ht="16.5" customHeight="1"/>
    <row r="36" ht="16.5" customHeight="1"/>
    <row r="37" ht="16.5" customHeight="1"/>
    <row r="38" ht="16.5" customHeight="1"/>
    <row r="39" ht="16.5" customHeight="1"/>
    <row r="40" ht="16.5" customHeight="1"/>
    <row r="41" ht="16.5" customHeight="1"/>
    <row r="42" ht="16.5" customHeight="1"/>
    <row r="43" ht="16.5" customHeight="1"/>
    <row r="44" ht="16.5" customHeight="1"/>
    <row r="45" ht="16.5" customHeight="1"/>
    <row r="46" ht="16.5" customHeight="1"/>
    <row r="47" ht="16.5" customHeight="1"/>
    <row r="48" ht="16.5" customHeight="1"/>
    <row r="49" ht="16.5" customHeight="1"/>
    <row r="50" ht="16.5" customHeight="1"/>
    <row r="51" ht="16.5" customHeight="1"/>
    <row r="52" ht="16.5" customHeight="1"/>
    <row r="53" ht="16.5" customHeight="1"/>
    <row r="54" ht="16.5" customHeight="1"/>
    <row r="55" ht="16.5" customHeight="1"/>
    <row r="56" ht="16.5" customHeight="1"/>
    <row r="57" ht="16.5" customHeight="1"/>
    <row r="58" ht="16.5" customHeight="1"/>
    <row r="59" ht="16.5" customHeight="1"/>
    <row r="60" ht="16.5" customHeight="1"/>
    <row r="61" ht="16.5" customHeight="1"/>
    <row r="62" ht="16.5" customHeight="1"/>
    <row r="63" ht="16.5" customHeight="1"/>
    <row r="64" ht="16.5" customHeight="1"/>
    <row r="65" ht="16.5" customHeight="1"/>
    <row r="66" ht="16.5" customHeight="1"/>
    <row r="67" ht="16.5" customHeight="1"/>
    <row r="68" ht="16.5" customHeight="1"/>
    <row r="69" ht="16.5" customHeight="1"/>
    <row r="70" ht="16.5" customHeight="1"/>
    <row r="71" ht="16.5" customHeight="1"/>
    <row r="72" ht="16.5" customHeight="1"/>
    <row r="73" ht="16.5" customHeight="1"/>
    <row r="74" ht="16.5" customHeight="1"/>
    <row r="75" ht="16.5" customHeight="1"/>
    <row r="76" ht="16.5" customHeight="1"/>
    <row r="77" ht="16.5" customHeight="1"/>
    <row r="78" ht="16.5" customHeight="1"/>
    <row r="79" ht="16.5" customHeight="1"/>
    <row r="80" ht="16.5" customHeight="1"/>
    <row r="81" ht="16.5" customHeight="1"/>
    <row r="82" ht="16.5" customHeight="1"/>
    <row r="83" ht="16.5" customHeight="1"/>
    <row r="84" ht="16.5" customHeight="1"/>
    <row r="85" ht="16.5" customHeight="1"/>
    <row r="86" ht="16.5" customHeight="1"/>
    <row r="87" ht="16.5" customHeight="1"/>
    <row r="88" ht="16.5" customHeight="1"/>
    <row r="89" ht="16.5" customHeight="1"/>
    <row r="90" ht="16.5" customHeight="1"/>
    <row r="91" ht="16.5" customHeight="1"/>
    <row r="92" ht="16.5" customHeight="1"/>
    <row r="93" ht="16.5" customHeight="1"/>
    <row r="94" ht="16.5" customHeight="1"/>
    <row r="95" ht="16.5" customHeight="1"/>
    <row r="96" ht="16.5" customHeight="1"/>
    <row r="97" ht="16.5" customHeight="1"/>
    <row r="98" ht="16.5" customHeight="1"/>
    <row r="99" ht="16.5" customHeight="1"/>
    <row r="100" ht="16.5" customHeight="1"/>
    <row r="101" ht="16.5" customHeight="1"/>
    <row r="102" ht="16.5" customHeight="1"/>
    <row r="103" ht="16.5" customHeight="1"/>
    <row r="104" ht="16.5" customHeight="1"/>
    <row r="105" ht="16.5" customHeight="1"/>
    <row r="106" ht="16.5" customHeight="1"/>
    <row r="107" ht="16.5" customHeight="1"/>
    <row r="108" ht="16.5" customHeight="1"/>
    <row r="109" ht="16.5" customHeight="1"/>
    <row r="110" ht="16.5" customHeight="1"/>
    <row r="111" ht="16.5" customHeight="1"/>
    <row r="112" ht="16.5" customHeight="1"/>
    <row r="113" ht="16.5" customHeight="1"/>
    <row r="114" ht="16.5" customHeight="1"/>
    <row r="115" ht="16.5" customHeight="1"/>
    <row r="116" ht="16.5" customHeight="1"/>
    <row r="117" ht="16.5" customHeight="1"/>
    <row r="118" ht="16.5" customHeight="1"/>
    <row r="119" ht="16.5" customHeight="1"/>
    <row r="120" ht="16.5" customHeight="1"/>
    <row r="121" ht="16.5" customHeight="1"/>
    <row r="122" ht="16.5" customHeight="1"/>
    <row r="123" ht="16.5" customHeight="1"/>
    <row r="124" ht="16.5" customHeight="1"/>
    <row r="125" ht="16.5" customHeight="1"/>
    <row r="126" ht="16.5" customHeight="1"/>
    <row r="127" ht="16.5" customHeight="1"/>
    <row r="128" ht="16.5" customHeight="1"/>
    <row r="129" ht="16.5" customHeight="1"/>
    <row r="130" ht="16.5" customHeight="1"/>
    <row r="131" ht="16.5" customHeight="1"/>
    <row r="132" ht="16.5" customHeight="1"/>
    <row r="133" ht="16.5" customHeight="1"/>
    <row r="134" ht="16.5" customHeight="1"/>
    <row r="135" ht="16.5" customHeight="1"/>
    <row r="136" ht="16.5" customHeight="1"/>
    <row r="137" ht="16.5" customHeight="1"/>
    <row r="138" ht="16.5" customHeight="1"/>
    <row r="139" ht="16.5" customHeight="1"/>
    <row r="140" ht="16.5" customHeight="1"/>
    <row r="141" ht="16.5" customHeight="1"/>
    <row r="142" ht="16.5" customHeight="1"/>
    <row r="143" ht="16.5" customHeight="1"/>
    <row r="144" ht="16.5" customHeight="1"/>
    <row r="145" ht="16.5" customHeight="1"/>
    <row r="146" ht="16.5" customHeight="1"/>
    <row r="147" ht="16.5" customHeight="1"/>
    <row r="148" ht="16.5" customHeight="1"/>
    <row r="149" ht="16.5" customHeight="1"/>
    <row r="150" ht="16.5" customHeight="1"/>
    <row r="151" ht="16.5" customHeight="1"/>
    <row r="152" ht="16.5" customHeight="1"/>
    <row r="153" ht="16.5" customHeight="1"/>
    <row r="154" ht="16.5" customHeight="1"/>
    <row r="155" ht="16.5" customHeight="1"/>
    <row r="156" ht="16.5" customHeight="1"/>
    <row r="157" ht="16.5" customHeight="1"/>
    <row r="158" ht="16.5" customHeight="1"/>
    <row r="159" ht="16.5" customHeight="1"/>
    <row r="160" ht="16.5" customHeight="1"/>
    <row r="161" ht="16.5" customHeight="1"/>
    <row r="162" ht="16.5" customHeight="1"/>
    <row r="163" ht="16.5" customHeight="1"/>
    <row r="164" ht="16.5" customHeight="1"/>
    <row r="165" ht="16.5" customHeight="1"/>
    <row r="166" ht="16.5" customHeight="1"/>
    <row r="167" ht="16.5" customHeight="1"/>
    <row r="168" ht="16.5" customHeight="1"/>
    <row r="169" ht="16.5" customHeight="1"/>
    <row r="170" ht="16.5" customHeight="1"/>
    <row r="171" ht="16.5" customHeight="1"/>
    <row r="172" ht="16.5" customHeight="1"/>
    <row r="173" ht="16.5" customHeight="1"/>
    <row r="174" ht="16.5" customHeight="1"/>
    <row r="175" ht="16.5" customHeight="1"/>
    <row r="176" ht="16.5" customHeight="1"/>
    <row r="177" ht="16.5" customHeight="1"/>
    <row r="178" ht="16.5" customHeight="1"/>
    <row r="179" ht="16.5" customHeight="1"/>
    <row r="180" ht="16.5" customHeight="1"/>
    <row r="181" ht="16.5" customHeight="1"/>
    <row r="182" ht="16.5" customHeight="1"/>
    <row r="183" ht="16.5" customHeight="1"/>
    <row r="184" ht="16.5" customHeight="1"/>
    <row r="185" ht="16.5" customHeight="1"/>
    <row r="186" ht="16.5" customHeight="1"/>
    <row r="187" ht="16.5" customHeight="1"/>
    <row r="188" ht="16.5" customHeight="1"/>
    <row r="189" ht="16.5" customHeight="1"/>
    <row r="190" ht="16.5" customHeight="1"/>
    <row r="191" ht="16.5" customHeight="1"/>
    <row r="192" ht="16.5" customHeight="1"/>
    <row r="193" ht="16.5" customHeight="1"/>
    <row r="194" ht="16.5" customHeight="1"/>
    <row r="195" ht="16.5" customHeight="1"/>
    <row r="196" ht="16.5" customHeight="1"/>
    <row r="197" ht="16.5" customHeight="1"/>
    <row r="198" ht="16.5" customHeight="1"/>
    <row r="199" ht="16.5" customHeight="1"/>
    <row r="200" ht="16.5" customHeight="1"/>
    <row r="201" ht="16.5" customHeight="1"/>
    <row r="202" ht="16.5" customHeight="1"/>
    <row r="203" ht="16.5" customHeight="1"/>
    <row r="204" ht="16.5" customHeight="1"/>
    <row r="205" ht="16.5" customHeight="1"/>
    <row r="206" ht="16.5" customHeight="1"/>
    <row r="207" ht="16.5" customHeight="1"/>
    <row r="208" ht="16.5" customHeight="1"/>
    <row r="209" ht="16.5" customHeight="1"/>
    <row r="210" ht="16.5" customHeight="1"/>
    <row r="211" ht="16.5" customHeight="1"/>
    <row r="212" ht="16.5" customHeight="1"/>
    <row r="213" ht="16.5" customHeight="1"/>
    <row r="214" ht="16.5" customHeight="1"/>
    <row r="215" ht="16.5" customHeight="1"/>
    <row r="216" ht="16.5" customHeight="1"/>
    <row r="217" ht="16.5" customHeight="1"/>
    <row r="218" ht="16.5" customHeight="1"/>
    <row r="219" ht="16.5" customHeight="1"/>
    <row r="220" ht="16.5" customHeight="1"/>
    <row r="221" ht="16.5" customHeight="1"/>
    <row r="222" ht="16.5" customHeight="1"/>
    <row r="223" ht="16.5" customHeight="1"/>
    <row r="224" ht="16.5" customHeight="1"/>
    <row r="225" ht="16.5" customHeight="1"/>
    <row r="226" ht="16.5" customHeight="1"/>
    <row r="227" ht="16.5" customHeight="1"/>
    <row r="228" ht="16.5" customHeight="1"/>
    <row r="229" ht="16.5" customHeight="1"/>
    <row r="230" ht="16.5" customHeight="1"/>
    <row r="231" ht="16.5" customHeight="1"/>
    <row r="232" ht="16.5" customHeight="1"/>
    <row r="233" ht="16.5" customHeight="1"/>
    <row r="234" ht="16.5" customHeight="1"/>
    <row r="235" ht="16.5" customHeight="1"/>
    <row r="236" ht="16.5" customHeight="1"/>
    <row r="237" ht="16.5" customHeight="1"/>
    <row r="238" ht="16.5" customHeight="1"/>
    <row r="239" ht="16.5" customHeight="1"/>
    <row r="240" ht="16.5" customHeight="1"/>
    <row r="241" ht="16.5" customHeight="1"/>
    <row r="242" ht="16.5" customHeight="1"/>
    <row r="243" ht="16.5" customHeight="1"/>
    <row r="244" ht="16.5" customHeight="1"/>
    <row r="245" ht="16.5" customHeight="1"/>
    <row r="246" ht="16.5" customHeight="1"/>
    <row r="247" ht="16.5" customHeight="1"/>
    <row r="248" ht="16.5" customHeight="1"/>
    <row r="249" ht="16.5" customHeight="1"/>
    <row r="250" ht="16.5" customHeight="1"/>
    <row r="251" ht="16.5" customHeight="1"/>
    <row r="252" ht="16.5" customHeight="1"/>
    <row r="253" ht="16.5" customHeight="1"/>
    <row r="254" ht="16.5" customHeight="1"/>
    <row r="255" ht="16.5" customHeight="1"/>
    <row r="256" ht="16.5" customHeight="1"/>
    <row r="257" ht="16.5" customHeight="1"/>
    <row r="258" ht="16.5" customHeight="1"/>
    <row r="259" ht="16.5" customHeight="1"/>
    <row r="260" ht="16.5" customHeight="1"/>
    <row r="261" ht="16.5" customHeight="1"/>
    <row r="262" ht="16.5" customHeight="1"/>
    <row r="263" ht="16.5" customHeight="1"/>
    <row r="264" ht="16.5" customHeight="1"/>
    <row r="265" ht="16.5" customHeight="1"/>
    <row r="266" ht="16.5" customHeight="1"/>
    <row r="267" ht="16.5" customHeight="1"/>
    <row r="268" ht="16.5" customHeight="1"/>
    <row r="269" ht="16.5" customHeight="1"/>
    <row r="270" ht="16.5" customHeight="1"/>
    <row r="271" ht="16.5" customHeight="1"/>
    <row r="272" ht="16.5" customHeight="1"/>
    <row r="273" ht="16.5" customHeight="1"/>
    <row r="274" ht="16.5" customHeight="1"/>
    <row r="275" ht="16.5" customHeight="1"/>
    <row r="276" ht="16.5" customHeight="1"/>
    <row r="277" ht="16.5" customHeight="1"/>
    <row r="278" ht="16.5" customHeight="1"/>
    <row r="279" ht="16.5" customHeight="1"/>
    <row r="280" ht="16.5" customHeight="1"/>
    <row r="281" ht="16.5" customHeight="1"/>
    <row r="282" ht="16.5" customHeight="1"/>
    <row r="283" ht="16.5" customHeight="1"/>
    <row r="284" ht="16.5" customHeight="1"/>
    <row r="285" ht="16.5" customHeight="1"/>
    <row r="286" ht="16.5" customHeight="1"/>
    <row r="287" ht="16.5" customHeight="1"/>
    <row r="288" ht="16.5" customHeight="1"/>
    <row r="289" ht="16.5" customHeight="1"/>
    <row r="290" ht="16.5" customHeight="1"/>
    <row r="291" ht="16.5" customHeight="1"/>
    <row r="292" ht="16.5" customHeight="1"/>
    <row r="293" ht="16.5" customHeight="1"/>
    <row r="294" ht="16.5" customHeight="1"/>
    <row r="295" ht="16.5" customHeight="1"/>
    <row r="296" ht="16.5" customHeight="1"/>
    <row r="297" ht="16.5" customHeight="1"/>
    <row r="298" ht="16.5" customHeight="1"/>
    <row r="299" ht="16.5" customHeight="1"/>
  </sheetData>
  <mergeCells count="6">
    <mergeCell ref="B7:E7"/>
    <mergeCell ref="F7:I7"/>
    <mergeCell ref="B1:E1"/>
    <mergeCell ref="F1:I1"/>
    <mergeCell ref="B2:E2"/>
    <mergeCell ref="F2:I2"/>
  </mergeCells>
  <phoneticPr fontId="5" type="noConversion"/>
  <pageMargins left="0.7" right="0.7" top="0.75" bottom="0.75" header="0.3" footer="0.3"/>
  <pageSetup paperSize="9" orientation="portrait" horizontalDpi="0" verticalDpi="0"/>
</worksheet>
</file>

<file path=xl/worksheets/sheet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2B19AE1-F959-4C9B-9797-F657F6A3BFEA}">
  <sheetPr codeName="工作表54"/>
  <dimension ref="A1:I298"/>
  <sheetViews>
    <sheetView workbookViewId="0"/>
  </sheetViews>
  <sheetFormatPr defaultColWidth="6.625" defaultRowHeight="13.5"/>
  <cols>
    <col min="1" max="1" width="3.125" style="4" bestFit="1" customWidth="1"/>
    <col min="2" max="2" width="5.5" style="8" customWidth="1"/>
    <col min="3" max="3" width="21" style="4" customWidth="1"/>
    <col min="4" max="4" width="26.125" style="4" customWidth="1"/>
    <col min="5" max="5" width="11.125" style="4" bestFit="1" customWidth="1"/>
    <col min="6" max="6" width="10.375" style="4" customWidth="1"/>
    <col min="7" max="7" width="28.625" style="4" customWidth="1"/>
    <col min="8" max="8" width="29.625" style="4" customWidth="1"/>
    <col min="9" max="9" width="17.625" style="4" customWidth="1"/>
    <col min="10" max="16384" width="6.625" style="4"/>
  </cols>
  <sheetData>
    <row r="1" spans="1:9" ht="24">
      <c r="A1" s="1" t="e">
        <f ca="1">HYPERLINK("#'介面'!E"&amp;MATCH(VALUE(RIGHT(CELL("filename"),LEN(CELL("filename"))-FIND("]",CELL("filename")))),介面!D:D,"0"),"←")</f>
        <v>#VALUE!</v>
      </c>
      <c r="B1" s="216" t="s">
        <v>1965</v>
      </c>
      <c r="C1" s="217"/>
      <c r="D1" s="217"/>
      <c r="E1" s="218"/>
      <c r="F1" s="216" t="s">
        <v>1966</v>
      </c>
      <c r="G1" s="217"/>
      <c r="H1" s="217"/>
      <c r="I1" s="217"/>
    </row>
    <row r="2" spans="1:9" ht="24">
      <c r="A2" s="1"/>
      <c r="B2" s="210" t="s">
        <v>275</v>
      </c>
      <c r="C2" s="211"/>
      <c r="D2" s="211"/>
      <c r="E2" s="212"/>
      <c r="F2" s="210"/>
      <c r="G2" s="211"/>
      <c r="H2" s="211"/>
      <c r="I2" s="212"/>
    </row>
    <row r="3" spans="1:9" s="8" customFormat="1" ht="15">
      <c r="A3" s="6"/>
      <c r="B3" s="7" t="s">
        <v>276</v>
      </c>
      <c r="C3" s="56" t="s">
        <v>277</v>
      </c>
      <c r="D3" s="56" t="s">
        <v>278</v>
      </c>
      <c r="E3" s="57" t="s">
        <v>279</v>
      </c>
      <c r="F3" s="57" t="s">
        <v>280</v>
      </c>
      <c r="G3" s="56" t="s">
        <v>281</v>
      </c>
      <c r="H3" s="141" t="s">
        <v>11</v>
      </c>
      <c r="I3" s="56" t="s">
        <v>282</v>
      </c>
    </row>
    <row r="4" spans="1:9" s="24" customFormat="1" ht="15.75">
      <c r="A4" s="25"/>
      <c r="B4" s="46">
        <v>1</v>
      </c>
      <c r="C4" s="80" t="s">
        <v>297</v>
      </c>
      <c r="D4" s="80" t="s">
        <v>298</v>
      </c>
      <c r="E4" s="81" t="s">
        <v>285</v>
      </c>
      <c r="F4" s="81">
        <v>500</v>
      </c>
      <c r="G4" s="66" t="s">
        <v>330</v>
      </c>
      <c r="H4" s="142" t="s">
        <v>302</v>
      </c>
      <c r="I4" s="66" t="s">
        <v>287</v>
      </c>
    </row>
    <row r="5" spans="1:9" s="24" customFormat="1" ht="15">
      <c r="A5" s="25"/>
      <c r="B5" s="46">
        <v>2</v>
      </c>
      <c r="C5" s="50" t="s">
        <v>303</v>
      </c>
      <c r="D5" s="76" t="s">
        <v>304</v>
      </c>
      <c r="E5" s="51" t="s">
        <v>296</v>
      </c>
      <c r="F5" s="51">
        <v>20</v>
      </c>
      <c r="G5" s="66" t="s">
        <v>331</v>
      </c>
      <c r="H5" s="142"/>
      <c r="I5" s="19" t="s">
        <v>287</v>
      </c>
    </row>
    <row r="6" spans="1:9" s="24" customFormat="1" ht="15">
      <c r="A6" s="25"/>
      <c r="B6" s="46">
        <v>3</v>
      </c>
      <c r="C6" s="50" t="s">
        <v>637</v>
      </c>
      <c r="D6" s="50" t="s">
        <v>364</v>
      </c>
      <c r="E6" s="51" t="s">
        <v>296</v>
      </c>
      <c r="F6" s="51">
        <v>20</v>
      </c>
      <c r="G6" s="66" t="s">
        <v>331</v>
      </c>
      <c r="H6" s="66"/>
      <c r="I6" s="19" t="s">
        <v>287</v>
      </c>
    </row>
    <row r="7" spans="1:9" s="24" customFormat="1" ht="15">
      <c r="A7" s="25"/>
      <c r="B7" s="152"/>
      <c r="C7" s="153"/>
      <c r="D7" s="154"/>
      <c r="E7" s="155"/>
      <c r="F7" s="156"/>
      <c r="G7" s="151"/>
      <c r="H7" s="151"/>
      <c r="I7" s="157"/>
    </row>
    <row r="8" spans="1:9" ht="24">
      <c r="A8" s="1"/>
      <c r="B8" s="204" t="s">
        <v>291</v>
      </c>
      <c r="C8" s="205"/>
      <c r="D8" s="205"/>
      <c r="E8" s="206"/>
      <c r="F8" s="204"/>
      <c r="G8" s="205"/>
      <c r="H8" s="205"/>
      <c r="I8" s="206"/>
    </row>
    <row r="9" spans="1:9" s="8" customFormat="1" ht="15">
      <c r="A9" s="6"/>
      <c r="B9" s="7" t="s">
        <v>276</v>
      </c>
      <c r="C9" s="56" t="s">
        <v>277</v>
      </c>
      <c r="D9" s="56" t="s">
        <v>278</v>
      </c>
      <c r="E9" s="57" t="s">
        <v>279</v>
      </c>
      <c r="F9" s="57" t="s">
        <v>280</v>
      </c>
      <c r="G9" s="56" t="s">
        <v>11</v>
      </c>
      <c r="H9" s="56" t="s">
        <v>292</v>
      </c>
      <c r="I9" s="56" t="s">
        <v>293</v>
      </c>
    </row>
    <row r="10" spans="1:9" ht="15.75">
      <c r="A10" s="58"/>
      <c r="B10" s="94">
        <v>1</v>
      </c>
      <c r="C10" s="80" t="s">
        <v>637</v>
      </c>
      <c r="D10" s="80" t="s">
        <v>364</v>
      </c>
      <c r="E10" s="81" t="s">
        <v>296</v>
      </c>
      <c r="F10" s="81">
        <v>20</v>
      </c>
      <c r="G10" s="82"/>
      <c r="H10" s="66" t="s">
        <v>84</v>
      </c>
      <c r="I10" s="82" t="s">
        <v>364</v>
      </c>
    </row>
    <row r="11" spans="1:9" s="24" customFormat="1" ht="67.5" customHeight="1">
      <c r="A11" s="25"/>
      <c r="B11" s="94">
        <f t="shared" ref="B11:B17" si="0">B10+1</f>
        <v>2</v>
      </c>
      <c r="C11" s="26" t="s">
        <v>283</v>
      </c>
      <c r="D11" s="26" t="s">
        <v>1967</v>
      </c>
      <c r="E11" s="27" t="s">
        <v>452</v>
      </c>
      <c r="F11" s="27">
        <v>20</v>
      </c>
      <c r="G11" s="29" t="s">
        <v>1968</v>
      </c>
      <c r="H11" s="28"/>
      <c r="I11" s="28"/>
    </row>
    <row r="12" spans="1:9" ht="15.75">
      <c r="A12" s="5"/>
      <c r="B12" s="94">
        <f t="shared" si="0"/>
        <v>3</v>
      </c>
      <c r="C12" s="108" t="s">
        <v>1969</v>
      </c>
      <c r="D12" s="132" t="s">
        <v>1970</v>
      </c>
      <c r="E12" s="109" t="s">
        <v>285</v>
      </c>
      <c r="F12" s="109">
        <v>3</v>
      </c>
      <c r="G12" s="92"/>
      <c r="H12" s="66" t="s">
        <v>1971</v>
      </c>
      <c r="I12" s="137"/>
    </row>
    <row r="13" spans="1:9" s="24" customFormat="1" ht="15.75">
      <c r="A13" s="25"/>
      <c r="B13" s="131">
        <f t="shared" si="0"/>
        <v>4</v>
      </c>
      <c r="C13" s="114" t="s">
        <v>1972</v>
      </c>
      <c r="D13" s="90" t="s">
        <v>1973</v>
      </c>
      <c r="E13" s="115" t="s">
        <v>285</v>
      </c>
      <c r="F13" s="115">
        <v>30</v>
      </c>
      <c r="G13" s="129" t="s">
        <v>1974</v>
      </c>
      <c r="H13" s="73"/>
      <c r="I13" s="183"/>
    </row>
    <row r="14" spans="1:9" ht="15.75">
      <c r="B14" s="94">
        <f t="shared" si="0"/>
        <v>5</v>
      </c>
      <c r="C14" s="80" t="s">
        <v>1975</v>
      </c>
      <c r="D14" s="108" t="s">
        <v>1976</v>
      </c>
      <c r="E14" s="109" t="s">
        <v>285</v>
      </c>
      <c r="F14" s="109">
        <v>30</v>
      </c>
      <c r="G14" s="110"/>
      <c r="H14" s="89"/>
      <c r="I14" s="89"/>
    </row>
    <row r="15" spans="1:9" ht="15.75">
      <c r="B15" s="94">
        <f t="shared" si="0"/>
        <v>6</v>
      </c>
      <c r="C15" s="80" t="s">
        <v>1977</v>
      </c>
      <c r="D15" s="108" t="s">
        <v>1978</v>
      </c>
      <c r="E15" s="109" t="s">
        <v>285</v>
      </c>
      <c r="F15" s="109">
        <v>50</v>
      </c>
      <c r="G15" s="110"/>
      <c r="H15" s="89"/>
      <c r="I15" s="89"/>
    </row>
    <row r="16" spans="1:9" ht="15.75">
      <c r="B16" s="94">
        <f t="shared" si="0"/>
        <v>7</v>
      </c>
      <c r="C16" s="80" t="s">
        <v>1979</v>
      </c>
      <c r="D16" s="132" t="s">
        <v>1980</v>
      </c>
      <c r="E16" s="81" t="s">
        <v>285</v>
      </c>
      <c r="F16" s="81">
        <v>30</v>
      </c>
      <c r="G16" s="82" t="s">
        <v>1981</v>
      </c>
      <c r="H16" s="82"/>
      <c r="I16" s="82"/>
    </row>
    <row r="17" spans="2:9" ht="15.75">
      <c r="B17" s="94">
        <f t="shared" si="0"/>
        <v>8</v>
      </c>
      <c r="C17" s="108" t="s">
        <v>1982</v>
      </c>
      <c r="D17" s="108" t="s">
        <v>1983</v>
      </c>
      <c r="E17" s="109" t="s">
        <v>285</v>
      </c>
      <c r="F17" s="109">
        <v>500</v>
      </c>
      <c r="G17" s="85"/>
      <c r="H17" s="82"/>
      <c r="I17" s="82"/>
    </row>
    <row r="18" spans="2:9" ht="16.5" customHeight="1">
      <c r="B18" s="117"/>
    </row>
    <row r="19" spans="2:9" ht="16.5" customHeight="1">
      <c r="B19" s="20"/>
    </row>
    <row r="20" spans="2:9" ht="16.5" customHeight="1">
      <c r="B20" s="45"/>
    </row>
    <row r="21" spans="2:9" ht="16.5" customHeight="1"/>
    <row r="22" spans="2:9" ht="16.5" customHeight="1"/>
    <row r="23" spans="2:9" ht="16.5" customHeight="1"/>
    <row r="24" spans="2:9" ht="16.5" customHeight="1"/>
    <row r="25" spans="2:9" ht="16.5" customHeight="1"/>
    <row r="26" spans="2:9" ht="16.5" customHeight="1"/>
    <row r="27" spans="2:9" ht="16.5" customHeight="1"/>
    <row r="28" spans="2:9" ht="16.5" customHeight="1"/>
    <row r="29" spans="2:9" ht="16.5" customHeight="1"/>
    <row r="30" spans="2:9" ht="16.5" customHeight="1"/>
    <row r="31" spans="2:9" ht="16.5" customHeight="1"/>
    <row r="32" spans="2:9" ht="16.5" customHeight="1"/>
    <row r="33" ht="16.5" customHeight="1"/>
    <row r="34" ht="16.5" customHeight="1"/>
    <row r="35" ht="16.5" customHeight="1"/>
    <row r="36" ht="16.5" customHeight="1"/>
    <row r="37" ht="16.5" customHeight="1"/>
    <row r="38" ht="16.5" customHeight="1"/>
    <row r="39" ht="16.5" customHeight="1"/>
    <row r="40" ht="16.5" customHeight="1"/>
    <row r="41" ht="16.5" customHeight="1"/>
    <row r="42" ht="16.5" customHeight="1"/>
    <row r="43" ht="16.5" customHeight="1"/>
    <row r="44" ht="16.5" customHeight="1"/>
    <row r="45" ht="16.5" customHeight="1"/>
    <row r="46" ht="16.5" customHeight="1"/>
    <row r="47" ht="16.5" customHeight="1"/>
    <row r="48" ht="16.5" customHeight="1"/>
    <row r="49" ht="16.5" customHeight="1"/>
    <row r="50" ht="16.5" customHeight="1"/>
    <row r="51" ht="16.5" customHeight="1"/>
    <row r="52" ht="16.5" customHeight="1"/>
    <row r="53" ht="16.5" customHeight="1"/>
    <row r="54" ht="16.5" customHeight="1"/>
    <row r="55" ht="16.5" customHeight="1"/>
    <row r="56" ht="16.5" customHeight="1"/>
    <row r="57" ht="16.5" customHeight="1"/>
    <row r="58" ht="16.5" customHeight="1"/>
    <row r="59" ht="16.5" customHeight="1"/>
    <row r="60" ht="16.5" customHeight="1"/>
    <row r="61" ht="16.5" customHeight="1"/>
    <row r="62" ht="16.5" customHeight="1"/>
    <row r="63" ht="16.5" customHeight="1"/>
    <row r="64" ht="16.5" customHeight="1"/>
    <row r="65" ht="16.5" customHeight="1"/>
    <row r="66" ht="16.5" customHeight="1"/>
    <row r="67" ht="16.5" customHeight="1"/>
    <row r="68" ht="16.5" customHeight="1"/>
    <row r="69" ht="16.5" customHeight="1"/>
    <row r="70" ht="16.5" customHeight="1"/>
    <row r="71" ht="16.5" customHeight="1"/>
    <row r="72" ht="16.5" customHeight="1"/>
    <row r="73" ht="16.5" customHeight="1"/>
    <row r="74" ht="16.5" customHeight="1"/>
    <row r="75" ht="16.5" customHeight="1"/>
    <row r="76" ht="16.5" customHeight="1"/>
    <row r="77" ht="16.5" customHeight="1"/>
    <row r="78" ht="16.5" customHeight="1"/>
    <row r="79" ht="16.5" customHeight="1"/>
    <row r="80" ht="16.5" customHeight="1"/>
    <row r="81" ht="16.5" customHeight="1"/>
    <row r="82" ht="16.5" customHeight="1"/>
    <row r="83" ht="16.5" customHeight="1"/>
    <row r="84" ht="16.5" customHeight="1"/>
    <row r="85" ht="16.5" customHeight="1"/>
    <row r="86" ht="16.5" customHeight="1"/>
    <row r="87" ht="16.5" customHeight="1"/>
    <row r="88" ht="16.5" customHeight="1"/>
    <row r="89" ht="16.5" customHeight="1"/>
    <row r="90" ht="16.5" customHeight="1"/>
    <row r="91" ht="16.5" customHeight="1"/>
    <row r="92" ht="16.5" customHeight="1"/>
    <row r="93" ht="16.5" customHeight="1"/>
    <row r="94" ht="16.5" customHeight="1"/>
    <row r="95" ht="16.5" customHeight="1"/>
    <row r="96" ht="16.5" customHeight="1"/>
    <row r="97" ht="16.5" customHeight="1"/>
    <row r="98" ht="16.5" customHeight="1"/>
    <row r="99" ht="16.5" customHeight="1"/>
    <row r="100" ht="16.5" customHeight="1"/>
    <row r="101" ht="16.5" customHeight="1"/>
    <row r="102" ht="16.5" customHeight="1"/>
    <row r="103" ht="16.5" customHeight="1"/>
    <row r="104" ht="16.5" customHeight="1"/>
    <row r="105" ht="16.5" customHeight="1"/>
    <row r="106" ht="16.5" customHeight="1"/>
    <row r="107" ht="16.5" customHeight="1"/>
    <row r="108" ht="16.5" customHeight="1"/>
    <row r="109" ht="16.5" customHeight="1"/>
    <row r="110" ht="16.5" customHeight="1"/>
    <row r="111" ht="16.5" customHeight="1"/>
    <row r="112" ht="16.5" customHeight="1"/>
    <row r="113" ht="16.5" customHeight="1"/>
    <row r="114" ht="16.5" customHeight="1"/>
    <row r="115" ht="16.5" customHeight="1"/>
    <row r="116" ht="16.5" customHeight="1"/>
    <row r="117" ht="16.5" customHeight="1"/>
    <row r="118" ht="16.5" customHeight="1"/>
    <row r="119" ht="16.5" customHeight="1"/>
    <row r="120" ht="16.5" customHeight="1"/>
    <row r="121" ht="16.5" customHeight="1"/>
    <row r="122" ht="16.5" customHeight="1"/>
    <row r="123" ht="16.5" customHeight="1"/>
    <row r="124" ht="16.5" customHeight="1"/>
    <row r="125" ht="16.5" customHeight="1"/>
    <row r="126" ht="16.5" customHeight="1"/>
    <row r="127" ht="16.5" customHeight="1"/>
    <row r="128" ht="16.5" customHeight="1"/>
    <row r="129" ht="16.5" customHeight="1"/>
    <row r="130" ht="16.5" customHeight="1"/>
    <row r="131" ht="16.5" customHeight="1"/>
    <row r="132" ht="16.5" customHeight="1"/>
    <row r="133" ht="16.5" customHeight="1"/>
    <row r="134" ht="16.5" customHeight="1"/>
    <row r="135" ht="16.5" customHeight="1"/>
    <row r="136" ht="16.5" customHeight="1"/>
    <row r="137" ht="16.5" customHeight="1"/>
    <row r="138" ht="16.5" customHeight="1"/>
    <row r="139" ht="16.5" customHeight="1"/>
    <row r="140" ht="16.5" customHeight="1"/>
    <row r="141" ht="16.5" customHeight="1"/>
    <row r="142" ht="16.5" customHeight="1"/>
    <row r="143" ht="16.5" customHeight="1"/>
    <row r="144" ht="16.5" customHeight="1"/>
    <row r="145" ht="16.5" customHeight="1"/>
    <row r="146" ht="16.5" customHeight="1"/>
    <row r="147" ht="16.5" customHeight="1"/>
    <row r="148" ht="16.5" customHeight="1"/>
    <row r="149" ht="16.5" customHeight="1"/>
    <row r="150" ht="16.5" customHeight="1"/>
    <row r="151" ht="16.5" customHeight="1"/>
    <row r="152" ht="16.5" customHeight="1"/>
    <row r="153" ht="16.5" customHeight="1"/>
    <row r="154" ht="16.5" customHeight="1"/>
    <row r="155" ht="16.5" customHeight="1"/>
    <row r="156" ht="16.5" customHeight="1"/>
    <row r="157" ht="16.5" customHeight="1"/>
    <row r="158" ht="16.5" customHeight="1"/>
    <row r="159" ht="16.5" customHeight="1"/>
    <row r="160" ht="16.5" customHeight="1"/>
    <row r="161" ht="16.5" customHeight="1"/>
    <row r="162" ht="16.5" customHeight="1"/>
    <row r="163" ht="16.5" customHeight="1"/>
    <row r="164" ht="16.5" customHeight="1"/>
    <row r="165" ht="16.5" customHeight="1"/>
    <row r="166" ht="16.5" customHeight="1"/>
    <row r="167" ht="16.5" customHeight="1"/>
    <row r="168" ht="16.5" customHeight="1"/>
    <row r="169" ht="16.5" customHeight="1"/>
    <row r="170" ht="16.5" customHeight="1"/>
    <row r="171" ht="16.5" customHeight="1"/>
    <row r="172" ht="16.5" customHeight="1"/>
    <row r="173" ht="16.5" customHeight="1"/>
    <row r="174" ht="16.5" customHeight="1"/>
    <row r="175" ht="16.5" customHeight="1"/>
    <row r="176" ht="16.5" customHeight="1"/>
    <row r="177" ht="16.5" customHeight="1"/>
    <row r="178" ht="16.5" customHeight="1"/>
    <row r="179" ht="16.5" customHeight="1"/>
    <row r="180" ht="16.5" customHeight="1"/>
    <row r="181" ht="16.5" customHeight="1"/>
    <row r="182" ht="16.5" customHeight="1"/>
    <row r="183" ht="16.5" customHeight="1"/>
    <row r="184" ht="16.5" customHeight="1"/>
    <row r="185" ht="16.5" customHeight="1"/>
    <row r="186" ht="16.5" customHeight="1"/>
    <row r="187" ht="16.5" customHeight="1"/>
    <row r="188" ht="16.5" customHeight="1"/>
    <row r="189" ht="16.5" customHeight="1"/>
    <row r="190" ht="16.5" customHeight="1"/>
    <row r="191" ht="16.5" customHeight="1"/>
    <row r="192" ht="16.5" customHeight="1"/>
    <row r="193" ht="16.5" customHeight="1"/>
    <row r="194" ht="16.5" customHeight="1"/>
    <row r="195" ht="16.5" customHeight="1"/>
    <row r="196" ht="16.5" customHeight="1"/>
    <row r="197" ht="16.5" customHeight="1"/>
    <row r="198" ht="16.5" customHeight="1"/>
    <row r="199" ht="16.5" customHeight="1"/>
    <row r="200" ht="16.5" customHeight="1"/>
    <row r="201" ht="16.5" customHeight="1"/>
    <row r="202" ht="16.5" customHeight="1"/>
    <row r="203" ht="16.5" customHeight="1"/>
    <row r="204" ht="16.5" customHeight="1"/>
    <row r="205" ht="16.5" customHeight="1"/>
    <row r="206" ht="16.5" customHeight="1"/>
    <row r="207" ht="16.5" customHeight="1"/>
    <row r="208" ht="16.5" customHeight="1"/>
    <row r="209" ht="16.5" customHeight="1"/>
    <row r="210" ht="16.5" customHeight="1"/>
    <row r="211" ht="16.5" customHeight="1"/>
    <row r="212" ht="16.5" customHeight="1"/>
    <row r="213" ht="16.5" customHeight="1"/>
    <row r="214" ht="16.5" customHeight="1"/>
    <row r="215" ht="16.5" customHeight="1"/>
    <row r="216" ht="16.5" customHeight="1"/>
    <row r="217" ht="16.5" customHeight="1"/>
    <row r="218" ht="16.5" customHeight="1"/>
    <row r="219" ht="16.5" customHeight="1"/>
    <row r="220" ht="16.5" customHeight="1"/>
    <row r="221" ht="16.5" customHeight="1"/>
    <row r="222" ht="16.5" customHeight="1"/>
    <row r="223" ht="16.5" customHeight="1"/>
    <row r="224" ht="16.5" customHeight="1"/>
    <row r="225" ht="16.5" customHeight="1"/>
    <row r="226" ht="16.5" customHeight="1"/>
    <row r="227" ht="16.5" customHeight="1"/>
    <row r="228" ht="16.5" customHeight="1"/>
    <row r="229" ht="16.5" customHeight="1"/>
    <row r="230" ht="16.5" customHeight="1"/>
    <row r="231" ht="16.5" customHeight="1"/>
    <row r="232" ht="16.5" customHeight="1"/>
    <row r="233" ht="16.5" customHeight="1"/>
    <row r="234" ht="16.5" customHeight="1"/>
    <row r="235" ht="16.5" customHeight="1"/>
    <row r="236" ht="16.5" customHeight="1"/>
    <row r="237" ht="16.5" customHeight="1"/>
    <row r="238" ht="16.5" customHeight="1"/>
    <row r="239" ht="16.5" customHeight="1"/>
    <row r="240" ht="16.5" customHeight="1"/>
    <row r="241" ht="16.5" customHeight="1"/>
    <row r="242" ht="16.5" customHeight="1"/>
    <row r="243" ht="16.5" customHeight="1"/>
    <row r="244" ht="16.5" customHeight="1"/>
    <row r="245" ht="16.5" customHeight="1"/>
    <row r="246" ht="16.5" customHeight="1"/>
    <row r="247" ht="16.5" customHeight="1"/>
    <row r="248" ht="16.5" customHeight="1"/>
    <row r="249" ht="16.5" customHeight="1"/>
    <row r="250" ht="16.5" customHeight="1"/>
    <row r="251" ht="16.5" customHeight="1"/>
    <row r="252" ht="16.5" customHeight="1"/>
    <row r="253" ht="16.5" customHeight="1"/>
    <row r="254" ht="16.5" customHeight="1"/>
    <row r="255" ht="16.5" customHeight="1"/>
    <row r="256" ht="16.5" customHeight="1"/>
    <row r="257" ht="16.5" customHeight="1"/>
    <row r="258" ht="16.5" customHeight="1"/>
    <row r="259" ht="16.5" customHeight="1"/>
    <row r="260" ht="16.5" customHeight="1"/>
    <row r="261" ht="16.5" customHeight="1"/>
    <row r="262" ht="16.5" customHeight="1"/>
    <row r="263" ht="16.5" customHeight="1"/>
    <row r="264" ht="16.5" customHeight="1"/>
    <row r="265" ht="16.5" customHeight="1"/>
    <row r="266" ht="16.5" customHeight="1"/>
    <row r="267" ht="16.5" customHeight="1"/>
    <row r="268" ht="16.5" customHeight="1"/>
    <row r="269" ht="16.5" customHeight="1"/>
    <row r="270" ht="16.5" customHeight="1"/>
    <row r="271" ht="16.5" customHeight="1"/>
    <row r="272" ht="16.5" customHeight="1"/>
    <row r="273" ht="16.5" customHeight="1"/>
    <row r="274" ht="16.5" customHeight="1"/>
    <row r="275" ht="16.5" customHeight="1"/>
    <row r="276" ht="16.5" customHeight="1"/>
    <row r="277" ht="16.5" customHeight="1"/>
    <row r="278" ht="16.5" customHeight="1"/>
    <row r="279" ht="16.5" customHeight="1"/>
    <row r="280" ht="16.5" customHeight="1"/>
    <row r="281" ht="16.5" customHeight="1"/>
    <row r="282" ht="16.5" customHeight="1"/>
    <row r="283" ht="16.5" customHeight="1"/>
    <row r="284" ht="16.5" customHeight="1"/>
    <row r="285" ht="16.5" customHeight="1"/>
    <row r="286" ht="16.5" customHeight="1"/>
    <row r="287" ht="16.5" customHeight="1"/>
    <row r="288" ht="16.5" customHeight="1"/>
    <row r="289" ht="16.5" customHeight="1"/>
    <row r="290" ht="16.5" customHeight="1"/>
    <row r="291" ht="16.5" customHeight="1"/>
    <row r="292" ht="16.5" customHeight="1"/>
    <row r="293" ht="16.5" customHeight="1"/>
    <row r="294" ht="16.5" customHeight="1"/>
    <row r="295" ht="16.5" customHeight="1"/>
    <row r="296" ht="16.5" customHeight="1"/>
    <row r="297" ht="16.5" customHeight="1"/>
    <row r="298" ht="16.5" customHeight="1"/>
  </sheetData>
  <mergeCells count="6">
    <mergeCell ref="B8:E8"/>
    <mergeCell ref="F8:I8"/>
    <mergeCell ref="B1:E1"/>
    <mergeCell ref="F1:I1"/>
    <mergeCell ref="B2:E2"/>
    <mergeCell ref="F2:I2"/>
  </mergeCells>
  <phoneticPr fontId="5" type="noConversion"/>
  <pageMargins left="0.7" right="0.7" top="0.75" bottom="0.75" header="0.3" footer="0.3"/>
  <pageSetup paperSize="9" orientation="portrait" horizontalDpi="0" verticalDpi="0"/>
</worksheet>
</file>

<file path=xl/worksheets/sheet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F6E00E5-7B20-4AA0-B88C-9D76FF4FB361}">
  <sheetPr codeName="工作表55"/>
  <dimension ref="A1:I288"/>
  <sheetViews>
    <sheetView workbookViewId="0">
      <selection activeCell="D26" sqref="D26"/>
    </sheetView>
  </sheetViews>
  <sheetFormatPr defaultColWidth="6.625" defaultRowHeight="13.5"/>
  <cols>
    <col min="1" max="1" width="3.125" style="4" bestFit="1" customWidth="1"/>
    <col min="2" max="2" width="5.5" style="8" customWidth="1"/>
    <col min="3" max="3" width="26.5" style="4" customWidth="1"/>
    <col min="4" max="4" width="30.125" style="4" customWidth="1"/>
    <col min="5" max="5" width="11.125" style="4" bestFit="1" customWidth="1"/>
    <col min="6" max="6" width="10.375" style="4" customWidth="1"/>
    <col min="7" max="8" width="45.625" style="4" customWidth="1"/>
    <col min="9" max="9" width="30.125" style="4" customWidth="1"/>
    <col min="10" max="16384" width="6.625" style="4"/>
  </cols>
  <sheetData>
    <row r="1" spans="1:9" ht="24">
      <c r="A1" s="149" t="e">
        <f ca="1">HYPERLINK("#'介面'!E"&amp;MATCH(VALUE(RIGHT(CELL("filename"),LEN(CELL("filename"))-FIND("]",CELL("filename")))),介面!D:D,"0"),"←")</f>
        <v>#VALUE!</v>
      </c>
      <c r="B1" s="207" t="s">
        <v>152</v>
      </c>
      <c r="C1" s="208"/>
      <c r="D1" s="208"/>
      <c r="E1" s="209"/>
      <c r="F1" s="207" t="s">
        <v>1984</v>
      </c>
      <c r="G1" s="208"/>
      <c r="H1" s="208"/>
      <c r="I1" s="208"/>
    </row>
    <row r="2" spans="1:9" ht="24">
      <c r="A2" s="1"/>
      <c r="B2" s="210" t="s">
        <v>275</v>
      </c>
      <c r="C2" s="211"/>
      <c r="D2" s="211"/>
      <c r="E2" s="212"/>
      <c r="F2" s="210"/>
      <c r="G2" s="211"/>
      <c r="H2" s="211"/>
      <c r="I2" s="212"/>
    </row>
    <row r="3" spans="1:9" s="8" customFormat="1" ht="15">
      <c r="A3" s="6"/>
      <c r="B3" s="7" t="s">
        <v>276</v>
      </c>
      <c r="C3" s="56" t="s">
        <v>277</v>
      </c>
      <c r="D3" s="56" t="s">
        <v>278</v>
      </c>
      <c r="E3" s="57" t="s">
        <v>279</v>
      </c>
      <c r="F3" s="57" t="s">
        <v>280</v>
      </c>
      <c r="G3" s="56" t="s">
        <v>281</v>
      </c>
      <c r="H3" s="141" t="s">
        <v>11</v>
      </c>
      <c r="I3" s="56" t="s">
        <v>282</v>
      </c>
    </row>
    <row r="4" spans="1:9" s="24" customFormat="1" ht="15.75">
      <c r="A4" s="25"/>
      <c r="B4" s="46">
        <v>1</v>
      </c>
      <c r="C4" s="80" t="s">
        <v>297</v>
      </c>
      <c r="D4" s="80" t="s">
        <v>298</v>
      </c>
      <c r="E4" s="81" t="s">
        <v>285</v>
      </c>
      <c r="F4" s="81">
        <v>500</v>
      </c>
      <c r="G4" s="66" t="s">
        <v>330</v>
      </c>
      <c r="H4" s="142" t="s">
        <v>302</v>
      </c>
      <c r="I4" s="66" t="s">
        <v>287</v>
      </c>
    </row>
    <row r="5" spans="1:9" s="24" customFormat="1" ht="15">
      <c r="A5" s="25"/>
      <c r="B5" s="46">
        <v>2</v>
      </c>
      <c r="C5" s="50" t="s">
        <v>303</v>
      </c>
      <c r="D5" s="76" t="s">
        <v>304</v>
      </c>
      <c r="E5" s="51" t="s">
        <v>296</v>
      </c>
      <c r="F5" s="51">
        <v>20</v>
      </c>
      <c r="G5" s="66" t="s">
        <v>331</v>
      </c>
      <c r="H5" s="142"/>
      <c r="I5" s="19" t="s">
        <v>287</v>
      </c>
    </row>
    <row r="6" spans="1:9" s="95" customFormat="1" ht="15.75">
      <c r="A6" s="93"/>
      <c r="B6" s="46">
        <v>3</v>
      </c>
      <c r="C6" s="80" t="s">
        <v>335</v>
      </c>
      <c r="D6" s="80" t="s">
        <v>336</v>
      </c>
      <c r="E6" s="81" t="s">
        <v>316</v>
      </c>
      <c r="F6" s="81"/>
      <c r="G6" s="91" t="s">
        <v>985</v>
      </c>
      <c r="H6" s="142"/>
      <c r="I6" s="19" t="s">
        <v>287</v>
      </c>
    </row>
    <row r="7" spans="1:9" s="24" customFormat="1" ht="15">
      <c r="A7" s="25"/>
      <c r="B7" s="46">
        <v>4</v>
      </c>
      <c r="C7" s="50" t="s">
        <v>637</v>
      </c>
      <c r="D7" s="50" t="s">
        <v>364</v>
      </c>
      <c r="E7" s="51" t="s">
        <v>296</v>
      </c>
      <c r="F7" s="51">
        <v>20</v>
      </c>
      <c r="G7" s="66" t="s">
        <v>331</v>
      </c>
      <c r="H7" s="66" t="s">
        <v>638</v>
      </c>
      <c r="I7" s="143" t="s">
        <v>639</v>
      </c>
    </row>
    <row r="8" spans="1:9" s="24" customFormat="1" ht="15">
      <c r="A8" s="25"/>
      <c r="B8" s="46">
        <v>5</v>
      </c>
      <c r="C8" s="50" t="s">
        <v>640</v>
      </c>
      <c r="D8" s="76" t="s">
        <v>641</v>
      </c>
      <c r="E8" s="51" t="s">
        <v>418</v>
      </c>
      <c r="F8" s="51">
        <v>11</v>
      </c>
      <c r="G8" s="66" t="s">
        <v>642</v>
      </c>
      <c r="H8" s="66" t="s">
        <v>638</v>
      </c>
      <c r="I8" s="66" t="s">
        <v>639</v>
      </c>
    </row>
    <row r="9" spans="1:9" ht="15.75">
      <c r="A9" s="1"/>
      <c r="B9" s="2"/>
      <c r="C9" s="3"/>
      <c r="D9" s="3"/>
      <c r="E9" s="3"/>
      <c r="F9" s="3"/>
      <c r="G9" s="3"/>
      <c r="H9" s="3"/>
      <c r="I9" s="3"/>
    </row>
    <row r="10" spans="1:9" ht="24">
      <c r="A10" s="1"/>
      <c r="B10" s="204" t="s">
        <v>291</v>
      </c>
      <c r="C10" s="205"/>
      <c r="D10" s="205"/>
      <c r="E10" s="206"/>
      <c r="F10" s="204"/>
      <c r="G10" s="205"/>
      <c r="H10" s="205"/>
      <c r="I10" s="206"/>
    </row>
    <row r="11" spans="1:9" s="8" customFormat="1" ht="15">
      <c r="A11" s="6"/>
      <c r="B11" s="7" t="s">
        <v>276</v>
      </c>
      <c r="C11" s="56" t="s">
        <v>277</v>
      </c>
      <c r="D11" s="56" t="s">
        <v>278</v>
      </c>
      <c r="E11" s="57" t="s">
        <v>279</v>
      </c>
      <c r="F11" s="57" t="s">
        <v>280</v>
      </c>
      <c r="G11" s="56" t="s">
        <v>11</v>
      </c>
      <c r="H11" s="56" t="s">
        <v>292</v>
      </c>
      <c r="I11" s="56" t="s">
        <v>293</v>
      </c>
    </row>
    <row r="12" spans="1:9" ht="15">
      <c r="A12" s="58"/>
      <c r="B12" s="23">
        <v>1</v>
      </c>
      <c r="C12" s="67" t="s">
        <v>453</v>
      </c>
      <c r="D12" s="67" t="s">
        <v>304</v>
      </c>
      <c r="E12" s="68" t="s">
        <v>452</v>
      </c>
      <c r="F12" s="68">
        <v>20</v>
      </c>
      <c r="G12" s="69"/>
      <c r="H12" s="66" t="s">
        <v>1924</v>
      </c>
      <c r="I12" s="66" t="s">
        <v>304</v>
      </c>
    </row>
    <row r="13" spans="1:9" ht="15.75">
      <c r="A13" s="5"/>
      <c r="B13" s="23">
        <f t="shared" ref="B13:B30" si="0">B12+1</f>
        <v>2</v>
      </c>
      <c r="C13" s="80" t="s">
        <v>637</v>
      </c>
      <c r="D13" s="80" t="s">
        <v>364</v>
      </c>
      <c r="E13" s="81" t="s">
        <v>296</v>
      </c>
      <c r="F13" s="81">
        <v>20</v>
      </c>
      <c r="G13" s="91"/>
      <c r="H13" s="19" t="s">
        <v>84</v>
      </c>
      <c r="I13" s="82" t="s">
        <v>364</v>
      </c>
    </row>
    <row r="14" spans="1:9" ht="47.25">
      <c r="B14" s="23">
        <f t="shared" si="0"/>
        <v>3</v>
      </c>
      <c r="C14" s="90" t="s">
        <v>1985</v>
      </c>
      <c r="D14" s="90" t="s">
        <v>1986</v>
      </c>
      <c r="E14" s="87" t="s">
        <v>285</v>
      </c>
      <c r="F14" s="87">
        <v>5</v>
      </c>
      <c r="G14" s="88" t="s">
        <v>1987</v>
      </c>
      <c r="H14" s="28" t="s">
        <v>1988</v>
      </c>
      <c r="I14" s="89"/>
    </row>
    <row r="15" spans="1:9" ht="15.75">
      <c r="B15" s="23">
        <f t="shared" si="0"/>
        <v>4</v>
      </c>
      <c r="C15" s="90" t="s">
        <v>1989</v>
      </c>
      <c r="D15" s="90" t="s">
        <v>1990</v>
      </c>
      <c r="E15" s="87" t="s">
        <v>326</v>
      </c>
      <c r="F15" s="87">
        <v>4</v>
      </c>
      <c r="G15" s="121" t="s">
        <v>1991</v>
      </c>
      <c r="H15" s="28" t="s">
        <v>1992</v>
      </c>
      <c r="I15" s="89"/>
    </row>
    <row r="16" spans="1:9" s="24" customFormat="1" ht="15.75">
      <c r="A16" s="25"/>
      <c r="B16" s="23">
        <f t="shared" si="0"/>
        <v>5</v>
      </c>
      <c r="C16" s="90" t="s">
        <v>1993</v>
      </c>
      <c r="D16" s="90" t="s">
        <v>1994</v>
      </c>
      <c r="E16" s="87" t="s">
        <v>285</v>
      </c>
      <c r="F16" s="87">
        <v>10</v>
      </c>
      <c r="G16" s="89"/>
      <c r="H16" s="89"/>
      <c r="I16" s="86"/>
    </row>
    <row r="17" spans="1:9" s="24" customFormat="1" ht="15.75">
      <c r="A17" s="25"/>
      <c r="B17" s="23">
        <f t="shared" si="0"/>
        <v>6</v>
      </c>
      <c r="C17" s="90" t="s">
        <v>1995</v>
      </c>
      <c r="D17" s="90" t="s">
        <v>1996</v>
      </c>
      <c r="E17" s="87" t="s">
        <v>285</v>
      </c>
      <c r="F17" s="87">
        <v>100</v>
      </c>
      <c r="G17" s="89"/>
      <c r="H17" s="89"/>
      <c r="I17" s="86"/>
    </row>
    <row r="18" spans="1:9" s="24" customFormat="1" ht="15.75">
      <c r="A18" s="25"/>
      <c r="B18" s="23">
        <f t="shared" si="0"/>
        <v>7</v>
      </c>
      <c r="C18" s="90" t="s">
        <v>1997</v>
      </c>
      <c r="D18" s="90" t="s">
        <v>1998</v>
      </c>
      <c r="E18" s="87" t="s">
        <v>285</v>
      </c>
      <c r="F18" s="87">
        <v>1000</v>
      </c>
      <c r="G18" s="89"/>
      <c r="H18" s="89"/>
      <c r="I18" s="86"/>
    </row>
    <row r="19" spans="1:9" s="24" customFormat="1" ht="15.75">
      <c r="A19" s="25"/>
      <c r="B19" s="23">
        <f t="shared" si="0"/>
        <v>8</v>
      </c>
      <c r="C19" s="90" t="s">
        <v>1999</v>
      </c>
      <c r="D19" s="90" t="s">
        <v>2000</v>
      </c>
      <c r="E19" s="87" t="s">
        <v>285</v>
      </c>
      <c r="F19" s="166">
        <v>9</v>
      </c>
      <c r="G19" s="89"/>
      <c r="H19" s="89"/>
      <c r="I19" s="86"/>
    </row>
    <row r="20" spans="1:9" s="24" customFormat="1" ht="15.75">
      <c r="A20" s="25"/>
      <c r="B20" s="23">
        <f t="shared" si="0"/>
        <v>9</v>
      </c>
      <c r="C20" s="90" t="s">
        <v>2001</v>
      </c>
      <c r="D20" s="90" t="s">
        <v>2002</v>
      </c>
      <c r="E20" s="87" t="s">
        <v>285</v>
      </c>
      <c r="F20" s="166">
        <v>100</v>
      </c>
      <c r="G20" s="89"/>
      <c r="H20" s="89"/>
      <c r="I20" s="86"/>
    </row>
    <row r="21" spans="1:9" s="24" customFormat="1" ht="15.75">
      <c r="A21" s="25"/>
      <c r="B21" s="23">
        <f t="shared" si="0"/>
        <v>10</v>
      </c>
      <c r="C21" s="90" t="s">
        <v>2003</v>
      </c>
      <c r="D21" s="90" t="s">
        <v>2004</v>
      </c>
      <c r="E21" s="87" t="s">
        <v>285</v>
      </c>
      <c r="F21" s="167">
        <v>1000</v>
      </c>
      <c r="G21" s="89"/>
      <c r="H21" s="89"/>
      <c r="I21" s="86"/>
    </row>
    <row r="22" spans="1:9" s="24" customFormat="1" ht="15.75">
      <c r="A22" s="25"/>
      <c r="B22" s="23">
        <f t="shared" si="0"/>
        <v>11</v>
      </c>
      <c r="C22" s="90" t="s">
        <v>2005</v>
      </c>
      <c r="D22" s="90" t="s">
        <v>2006</v>
      </c>
      <c r="E22" s="72" t="s">
        <v>704</v>
      </c>
      <c r="F22" s="87" t="s">
        <v>2007</v>
      </c>
      <c r="G22" s="89"/>
      <c r="H22" s="28"/>
      <c r="I22" s="28"/>
    </row>
    <row r="23" spans="1:9" s="24" customFormat="1" ht="15.75">
      <c r="A23" s="25"/>
      <c r="B23" s="23">
        <f t="shared" si="0"/>
        <v>12</v>
      </c>
      <c r="C23" s="26" t="s">
        <v>2008</v>
      </c>
      <c r="D23" s="26" t="s">
        <v>2009</v>
      </c>
      <c r="E23" s="72" t="s">
        <v>704</v>
      </c>
      <c r="F23" s="72" t="s">
        <v>2007</v>
      </c>
      <c r="G23" s="89"/>
      <c r="H23" s="28"/>
      <c r="I23" s="28"/>
    </row>
    <row r="24" spans="1:9" s="24" customFormat="1" ht="15.75">
      <c r="A24" s="25"/>
      <c r="B24" s="23">
        <f t="shared" si="0"/>
        <v>13</v>
      </c>
      <c r="C24" s="26" t="s">
        <v>2010</v>
      </c>
      <c r="D24" s="26" t="s">
        <v>2011</v>
      </c>
      <c r="E24" s="72" t="s">
        <v>704</v>
      </c>
      <c r="F24" s="72" t="s">
        <v>2007</v>
      </c>
      <c r="G24" s="89"/>
      <c r="H24" s="28"/>
      <c r="I24" s="28"/>
    </row>
    <row r="25" spans="1:9" s="24" customFormat="1" ht="15.75">
      <c r="A25" s="25"/>
      <c r="B25" s="23">
        <f t="shared" si="0"/>
        <v>14</v>
      </c>
      <c r="C25" s="26" t="s">
        <v>2012</v>
      </c>
      <c r="D25" s="26" t="s">
        <v>2013</v>
      </c>
      <c r="E25" s="72" t="s">
        <v>704</v>
      </c>
      <c r="F25" s="72" t="s">
        <v>2007</v>
      </c>
      <c r="G25" s="89"/>
      <c r="H25" s="28"/>
      <c r="I25" s="28"/>
    </row>
    <row r="26" spans="1:9" ht="15">
      <c r="A26" s="58"/>
      <c r="B26" s="23">
        <f t="shared" si="0"/>
        <v>15</v>
      </c>
      <c r="C26" s="64" t="s">
        <v>2014</v>
      </c>
      <c r="D26" s="64" t="s">
        <v>2015</v>
      </c>
      <c r="E26" s="72" t="s">
        <v>704</v>
      </c>
      <c r="F26" s="72" t="s">
        <v>609</v>
      </c>
      <c r="G26" s="29"/>
      <c r="H26" s="66"/>
      <c r="I26" s="66"/>
    </row>
    <row r="27" spans="1:9" ht="15">
      <c r="A27" s="58"/>
      <c r="B27" s="23">
        <f t="shared" si="0"/>
        <v>16</v>
      </c>
      <c r="C27" s="64" t="s">
        <v>2016</v>
      </c>
      <c r="D27" s="64" t="s">
        <v>2017</v>
      </c>
      <c r="E27" s="72" t="s">
        <v>704</v>
      </c>
      <c r="F27" s="72" t="s">
        <v>609</v>
      </c>
      <c r="G27" s="29"/>
      <c r="H27" s="66"/>
      <c r="I27" s="66"/>
    </row>
    <row r="28" spans="1:9" ht="47.25">
      <c r="A28" s="5"/>
      <c r="B28" s="23">
        <f t="shared" si="0"/>
        <v>17</v>
      </c>
      <c r="C28" s="80" t="s">
        <v>2018</v>
      </c>
      <c r="D28" s="138" t="s">
        <v>2019</v>
      </c>
      <c r="E28" s="81" t="s">
        <v>326</v>
      </c>
      <c r="F28" s="81">
        <v>4</v>
      </c>
      <c r="G28" s="85" t="s">
        <v>2020</v>
      </c>
      <c r="H28" s="28" t="s">
        <v>2021</v>
      </c>
      <c r="I28" s="82"/>
    </row>
    <row r="29" spans="1:9" ht="63">
      <c r="A29" s="5"/>
      <c r="B29" s="23">
        <f t="shared" si="0"/>
        <v>18</v>
      </c>
      <c r="C29" s="80" t="s">
        <v>2022</v>
      </c>
      <c r="D29" s="138" t="s">
        <v>2023</v>
      </c>
      <c r="E29" s="81" t="s">
        <v>326</v>
      </c>
      <c r="F29" s="81">
        <v>4</v>
      </c>
      <c r="G29" s="85" t="s">
        <v>2024</v>
      </c>
      <c r="H29" s="28" t="s">
        <v>2025</v>
      </c>
      <c r="I29" s="82"/>
    </row>
    <row r="30" spans="1:9" ht="47.25">
      <c r="A30" s="5"/>
      <c r="B30" s="23">
        <f t="shared" si="0"/>
        <v>19</v>
      </c>
      <c r="C30" s="80" t="s">
        <v>2026</v>
      </c>
      <c r="D30" s="138" t="s">
        <v>2027</v>
      </c>
      <c r="E30" s="81" t="s">
        <v>326</v>
      </c>
      <c r="F30" s="81">
        <v>4</v>
      </c>
      <c r="G30" s="85" t="s">
        <v>2028</v>
      </c>
      <c r="H30" s="28" t="s">
        <v>2029</v>
      </c>
      <c r="I30" s="82"/>
    </row>
    <row r="31" spans="1:9" ht="16.5" customHeight="1"/>
    <row r="32" spans="1:9" ht="16.5" customHeight="1"/>
    <row r="33" ht="16.5" customHeight="1"/>
    <row r="34" ht="16.5" customHeight="1"/>
    <row r="35" ht="16.5" customHeight="1"/>
    <row r="36" ht="16.5" customHeight="1"/>
    <row r="37" ht="16.5" customHeight="1"/>
    <row r="38" ht="16.5" customHeight="1"/>
    <row r="39" ht="16.5" customHeight="1"/>
    <row r="40" ht="16.5" customHeight="1"/>
    <row r="41" ht="16.5" customHeight="1"/>
    <row r="42" ht="16.5" customHeight="1"/>
    <row r="43" ht="16.5" customHeight="1"/>
    <row r="44" ht="16.5" customHeight="1"/>
    <row r="45" ht="16.5" customHeight="1"/>
    <row r="46" ht="16.5" customHeight="1"/>
    <row r="47" ht="16.5" customHeight="1"/>
    <row r="48" ht="16.5" customHeight="1"/>
    <row r="49" ht="16.5" customHeight="1"/>
    <row r="50" ht="16.5" customHeight="1"/>
    <row r="51" ht="16.5" customHeight="1"/>
    <row r="52" ht="16.5" customHeight="1"/>
    <row r="53" ht="16.5" customHeight="1"/>
    <row r="54" ht="16.5" customHeight="1"/>
    <row r="55" ht="16.5" customHeight="1"/>
    <row r="56" ht="16.5" customHeight="1"/>
    <row r="57" ht="16.5" customHeight="1"/>
    <row r="58" ht="16.5" customHeight="1"/>
    <row r="59" ht="16.5" customHeight="1"/>
    <row r="60" ht="16.5" customHeight="1"/>
    <row r="61" ht="16.5" customHeight="1"/>
    <row r="62" ht="16.5" customHeight="1"/>
    <row r="63" ht="16.5" customHeight="1"/>
    <row r="64" ht="16.5" customHeight="1"/>
    <row r="65" ht="16.5" customHeight="1"/>
    <row r="66" ht="16.5" customHeight="1"/>
    <row r="67" ht="16.5" customHeight="1"/>
    <row r="68" ht="16.5" customHeight="1"/>
    <row r="69" ht="16.5" customHeight="1"/>
    <row r="70" ht="16.5" customHeight="1"/>
    <row r="71" ht="16.5" customHeight="1"/>
    <row r="72" ht="16.5" customHeight="1"/>
    <row r="73" ht="16.5" customHeight="1"/>
    <row r="74" ht="16.5" customHeight="1"/>
    <row r="75" ht="16.5" customHeight="1"/>
    <row r="76" ht="16.5" customHeight="1"/>
    <row r="77" ht="16.5" customHeight="1"/>
    <row r="78" ht="16.5" customHeight="1"/>
    <row r="79" ht="16.5" customHeight="1"/>
    <row r="80" ht="16.5" customHeight="1"/>
    <row r="81" ht="16.5" customHeight="1"/>
    <row r="82" ht="16.5" customHeight="1"/>
    <row r="83" ht="16.5" customHeight="1"/>
    <row r="84" ht="16.5" customHeight="1"/>
    <row r="85" ht="16.5" customHeight="1"/>
    <row r="86" ht="16.5" customHeight="1"/>
    <row r="87" ht="16.5" customHeight="1"/>
    <row r="88" ht="16.5" customHeight="1"/>
    <row r="89" ht="16.5" customHeight="1"/>
    <row r="90" ht="16.5" customHeight="1"/>
    <row r="91" ht="16.5" customHeight="1"/>
    <row r="92" ht="16.5" customHeight="1"/>
    <row r="93" ht="16.5" customHeight="1"/>
    <row r="94" ht="16.5" customHeight="1"/>
    <row r="95" ht="16.5" customHeight="1"/>
    <row r="96" ht="16.5" customHeight="1"/>
    <row r="97" ht="16.5" customHeight="1"/>
    <row r="98" ht="16.5" customHeight="1"/>
    <row r="99" ht="16.5" customHeight="1"/>
    <row r="100" ht="16.5" customHeight="1"/>
    <row r="101" ht="16.5" customHeight="1"/>
    <row r="102" ht="16.5" customHeight="1"/>
    <row r="103" ht="16.5" customHeight="1"/>
    <row r="104" ht="16.5" customHeight="1"/>
    <row r="105" ht="16.5" customHeight="1"/>
    <row r="106" ht="16.5" customHeight="1"/>
    <row r="107" ht="16.5" customHeight="1"/>
    <row r="108" ht="16.5" customHeight="1"/>
    <row r="109" ht="16.5" customHeight="1"/>
    <row r="110" ht="16.5" customHeight="1"/>
    <row r="111" ht="16.5" customHeight="1"/>
    <row r="112" ht="16.5" customHeight="1"/>
    <row r="113" ht="16.5" customHeight="1"/>
    <row r="114" ht="16.5" customHeight="1"/>
    <row r="115" ht="16.5" customHeight="1"/>
    <row r="116" ht="16.5" customHeight="1"/>
    <row r="117" ht="16.5" customHeight="1"/>
    <row r="118" ht="16.5" customHeight="1"/>
    <row r="119" ht="16.5" customHeight="1"/>
    <row r="120" ht="16.5" customHeight="1"/>
    <row r="121" ht="16.5" customHeight="1"/>
    <row r="122" ht="16.5" customHeight="1"/>
    <row r="123" ht="16.5" customHeight="1"/>
    <row r="124" ht="16.5" customHeight="1"/>
    <row r="125" ht="16.5" customHeight="1"/>
    <row r="126" ht="16.5" customHeight="1"/>
    <row r="127" ht="16.5" customHeight="1"/>
    <row r="128" ht="16.5" customHeight="1"/>
    <row r="129" ht="16.5" customHeight="1"/>
    <row r="130" ht="16.5" customHeight="1"/>
    <row r="131" ht="16.5" customHeight="1"/>
    <row r="132" ht="16.5" customHeight="1"/>
    <row r="133" ht="16.5" customHeight="1"/>
    <row r="134" ht="16.5" customHeight="1"/>
    <row r="135" ht="16.5" customHeight="1"/>
    <row r="136" ht="16.5" customHeight="1"/>
    <row r="137" ht="16.5" customHeight="1"/>
    <row r="138" ht="16.5" customHeight="1"/>
    <row r="139" ht="16.5" customHeight="1"/>
    <row r="140" ht="16.5" customHeight="1"/>
    <row r="141" ht="16.5" customHeight="1"/>
    <row r="142" ht="16.5" customHeight="1"/>
    <row r="143" ht="16.5" customHeight="1"/>
    <row r="144" ht="16.5" customHeight="1"/>
    <row r="145" ht="16.5" customHeight="1"/>
    <row r="146" ht="16.5" customHeight="1"/>
    <row r="147" ht="16.5" customHeight="1"/>
    <row r="148" ht="16.5" customHeight="1"/>
    <row r="149" ht="16.5" customHeight="1"/>
    <row r="150" ht="16.5" customHeight="1"/>
    <row r="151" ht="16.5" customHeight="1"/>
    <row r="152" ht="16.5" customHeight="1"/>
    <row r="153" ht="16.5" customHeight="1"/>
    <row r="154" ht="16.5" customHeight="1"/>
    <row r="155" ht="16.5" customHeight="1"/>
    <row r="156" ht="16.5" customHeight="1"/>
    <row r="157" ht="16.5" customHeight="1"/>
    <row r="158" ht="16.5" customHeight="1"/>
    <row r="159" ht="16.5" customHeight="1"/>
    <row r="160" ht="16.5" customHeight="1"/>
    <row r="161" ht="16.5" customHeight="1"/>
    <row r="162" ht="16.5" customHeight="1"/>
    <row r="163" ht="16.5" customHeight="1"/>
    <row r="164" ht="16.5" customHeight="1"/>
    <row r="165" ht="16.5" customHeight="1"/>
    <row r="166" ht="16.5" customHeight="1"/>
    <row r="167" ht="16.5" customHeight="1"/>
    <row r="168" ht="16.5" customHeight="1"/>
    <row r="169" ht="16.5" customHeight="1"/>
    <row r="170" ht="16.5" customHeight="1"/>
    <row r="171" ht="16.5" customHeight="1"/>
    <row r="172" ht="16.5" customHeight="1"/>
    <row r="173" ht="16.5" customHeight="1"/>
    <row r="174" ht="16.5" customHeight="1"/>
    <row r="175" ht="16.5" customHeight="1"/>
    <row r="176" ht="16.5" customHeight="1"/>
    <row r="177" ht="16.5" customHeight="1"/>
    <row r="178" ht="16.5" customHeight="1"/>
    <row r="179" ht="16.5" customHeight="1"/>
    <row r="180" ht="16.5" customHeight="1"/>
    <row r="181" ht="16.5" customHeight="1"/>
    <row r="182" ht="16.5" customHeight="1"/>
    <row r="183" ht="16.5" customHeight="1"/>
    <row r="184" ht="16.5" customHeight="1"/>
    <row r="185" ht="16.5" customHeight="1"/>
    <row r="186" ht="16.5" customHeight="1"/>
    <row r="187" ht="16.5" customHeight="1"/>
    <row r="188" ht="16.5" customHeight="1"/>
    <row r="189" ht="16.5" customHeight="1"/>
    <row r="190" ht="16.5" customHeight="1"/>
    <row r="191" ht="16.5" customHeight="1"/>
    <row r="192" ht="16.5" customHeight="1"/>
    <row r="193" ht="16.5" customHeight="1"/>
    <row r="194" ht="16.5" customHeight="1"/>
    <row r="195" ht="16.5" customHeight="1"/>
    <row r="196" ht="16.5" customHeight="1"/>
    <row r="197" ht="16.5" customHeight="1"/>
    <row r="198" ht="16.5" customHeight="1"/>
    <row r="199" ht="16.5" customHeight="1"/>
    <row r="200" ht="16.5" customHeight="1"/>
    <row r="201" ht="16.5" customHeight="1"/>
    <row r="202" ht="16.5" customHeight="1"/>
    <row r="203" ht="16.5" customHeight="1"/>
    <row r="204" ht="16.5" customHeight="1"/>
    <row r="205" ht="16.5" customHeight="1"/>
    <row r="206" ht="16.5" customHeight="1"/>
    <row r="207" ht="16.5" customHeight="1"/>
    <row r="208" ht="16.5" customHeight="1"/>
    <row r="209" ht="16.5" customHeight="1"/>
    <row r="210" ht="16.5" customHeight="1"/>
    <row r="211" ht="16.5" customHeight="1"/>
    <row r="212" ht="16.5" customHeight="1"/>
    <row r="213" ht="16.5" customHeight="1"/>
    <row r="214" ht="16.5" customHeight="1"/>
    <row r="215" ht="16.5" customHeight="1"/>
    <row r="216" ht="16.5" customHeight="1"/>
    <row r="217" ht="16.5" customHeight="1"/>
    <row r="218" ht="16.5" customHeight="1"/>
    <row r="219" ht="16.5" customHeight="1"/>
    <row r="220" ht="16.5" customHeight="1"/>
    <row r="221" ht="16.5" customHeight="1"/>
    <row r="222" ht="16.5" customHeight="1"/>
    <row r="223" ht="16.5" customHeight="1"/>
    <row r="224" ht="16.5" customHeight="1"/>
    <row r="225" ht="16.5" customHeight="1"/>
    <row r="226" ht="16.5" customHeight="1"/>
    <row r="227" ht="16.5" customHeight="1"/>
    <row r="228" ht="16.5" customHeight="1"/>
    <row r="229" ht="16.5" customHeight="1"/>
    <row r="230" ht="16.5" customHeight="1"/>
    <row r="231" ht="16.5" customHeight="1"/>
    <row r="232" ht="16.5" customHeight="1"/>
    <row r="233" ht="16.5" customHeight="1"/>
    <row r="234" ht="16.5" customHeight="1"/>
    <row r="235" ht="16.5" customHeight="1"/>
    <row r="236" ht="16.5" customHeight="1"/>
    <row r="237" ht="16.5" customHeight="1"/>
    <row r="238" ht="16.5" customHeight="1"/>
    <row r="239" ht="16.5" customHeight="1"/>
    <row r="240" ht="16.5" customHeight="1"/>
    <row r="241" ht="16.5" customHeight="1"/>
    <row r="242" ht="16.5" customHeight="1"/>
    <row r="243" ht="16.5" customHeight="1"/>
    <row r="244" ht="16.5" customHeight="1"/>
    <row r="245" ht="16.5" customHeight="1"/>
    <row r="246" ht="16.5" customHeight="1"/>
    <row r="247" ht="16.5" customHeight="1"/>
    <row r="248" ht="16.5" customHeight="1"/>
    <row r="249" ht="16.5" customHeight="1"/>
    <row r="250" ht="16.5" customHeight="1"/>
    <row r="251" ht="16.5" customHeight="1"/>
    <row r="252" ht="16.5" customHeight="1"/>
    <row r="253" ht="16.5" customHeight="1"/>
    <row r="254" ht="16.5" customHeight="1"/>
    <row r="255" ht="16.5" customHeight="1"/>
    <row r="256" ht="16.5" customHeight="1"/>
    <row r="257" ht="16.5" customHeight="1"/>
    <row r="258" ht="16.5" customHeight="1"/>
    <row r="259" ht="16.5" customHeight="1"/>
    <row r="260" ht="16.5" customHeight="1"/>
    <row r="261" ht="16.5" customHeight="1"/>
    <row r="262" ht="16.5" customHeight="1"/>
    <row r="263" ht="16.5" customHeight="1"/>
    <row r="264" ht="16.5" customHeight="1"/>
    <row r="265" ht="16.5" customHeight="1"/>
    <row r="266" ht="16.5" customHeight="1"/>
    <row r="267" ht="16.5" customHeight="1"/>
    <row r="268" ht="16.5" customHeight="1"/>
    <row r="269" ht="16.5" customHeight="1"/>
    <row r="270" ht="16.5" customHeight="1"/>
    <row r="271" ht="16.5" customHeight="1"/>
    <row r="272" ht="16.5" customHeight="1"/>
    <row r="273" ht="16.5" customHeight="1"/>
    <row r="274" ht="16.5" customHeight="1"/>
    <row r="275" ht="16.5" customHeight="1"/>
    <row r="276" ht="16.5" customHeight="1"/>
    <row r="277" ht="16.5" customHeight="1"/>
    <row r="278" ht="16.5" customHeight="1"/>
    <row r="279" ht="16.5" customHeight="1"/>
    <row r="280" ht="16.5" customHeight="1"/>
    <row r="281" ht="16.5" customHeight="1"/>
    <row r="282" ht="16.5" customHeight="1"/>
    <row r="283" ht="16.5" customHeight="1"/>
    <row r="284" ht="16.5" customHeight="1"/>
    <row r="285" ht="16.5" customHeight="1"/>
    <row r="286" ht="16.5" customHeight="1"/>
    <row r="287" ht="16.5" customHeight="1"/>
    <row r="288" ht="16.5" customHeight="1"/>
  </sheetData>
  <mergeCells count="6">
    <mergeCell ref="B1:E1"/>
    <mergeCell ref="F1:I1"/>
    <mergeCell ref="B2:E2"/>
    <mergeCell ref="F2:I2"/>
    <mergeCell ref="B10:E10"/>
    <mergeCell ref="F10:I10"/>
  </mergeCells>
  <phoneticPr fontId="5" type="noConversion"/>
  <pageMargins left="0.7" right="0.7" top="0.75" bottom="0.75" header="0.3" footer="0.3"/>
  <pageSetup paperSize="9" orientation="portrait" horizontalDpi="0" verticalDpi="0"/>
</worksheet>
</file>

<file path=xl/worksheets/sheet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338A582-AF51-4CC8-8331-D10B700502D0}">
  <sheetPr codeName="工作表56"/>
  <dimension ref="A1:I305"/>
  <sheetViews>
    <sheetView workbookViewId="0">
      <selection activeCell="C8" sqref="C8"/>
    </sheetView>
  </sheetViews>
  <sheetFormatPr defaultColWidth="6.625" defaultRowHeight="13.5"/>
  <cols>
    <col min="1" max="1" width="3.125" style="4" bestFit="1" customWidth="1"/>
    <col min="2" max="2" width="5.5" style="8" customWidth="1"/>
    <col min="3" max="3" width="26.5" style="4" customWidth="1"/>
    <col min="4" max="4" width="30.125" style="4" customWidth="1"/>
    <col min="5" max="5" width="11.125" style="4" bestFit="1" customWidth="1"/>
    <col min="6" max="6" width="10.375" style="4" customWidth="1"/>
    <col min="7" max="8" width="45.625" style="4" customWidth="1"/>
    <col min="9" max="9" width="30.125" style="4" customWidth="1"/>
    <col min="10" max="16384" width="6.625" style="4"/>
  </cols>
  <sheetData>
    <row r="1" spans="1:9" ht="24">
      <c r="A1" s="1" t="e">
        <f ca="1">HYPERLINK("#'介面'!E"&amp;MATCH(VALUE(RIGHT(CELL("filename"),LEN(CELL("filename"))-FIND("]",CELL("filename")))),介面!D:D,"0"),"←")</f>
        <v>#VALUE!</v>
      </c>
      <c r="B1" s="207" t="s">
        <v>2030</v>
      </c>
      <c r="C1" s="208"/>
      <c r="D1" s="208"/>
      <c r="E1" s="209"/>
      <c r="F1" s="207" t="s">
        <v>2031</v>
      </c>
      <c r="G1" s="208"/>
      <c r="H1" s="208"/>
      <c r="I1" s="208"/>
    </row>
    <row r="2" spans="1:9" ht="24">
      <c r="A2" s="1"/>
      <c r="B2" s="210" t="s">
        <v>275</v>
      </c>
      <c r="C2" s="211"/>
      <c r="D2" s="211"/>
      <c r="E2" s="212"/>
      <c r="F2" s="210"/>
      <c r="G2" s="211"/>
      <c r="H2" s="211"/>
      <c r="I2" s="212"/>
    </row>
    <row r="3" spans="1:9" s="8" customFormat="1" ht="15">
      <c r="A3" s="6"/>
      <c r="B3" s="7" t="s">
        <v>276</v>
      </c>
      <c r="C3" s="56" t="s">
        <v>277</v>
      </c>
      <c r="D3" s="56" t="s">
        <v>278</v>
      </c>
      <c r="E3" s="57" t="s">
        <v>279</v>
      </c>
      <c r="F3" s="57" t="s">
        <v>280</v>
      </c>
      <c r="G3" s="56" t="s">
        <v>281</v>
      </c>
      <c r="H3" s="141" t="s">
        <v>11</v>
      </c>
      <c r="I3" s="56" t="s">
        <v>282</v>
      </c>
    </row>
    <row r="4" spans="1:9" s="24" customFormat="1" ht="15.75">
      <c r="A4" s="25"/>
      <c r="B4" s="46">
        <v>1</v>
      </c>
      <c r="C4" s="80" t="s">
        <v>297</v>
      </c>
      <c r="D4" s="80" t="s">
        <v>298</v>
      </c>
      <c r="E4" s="81" t="s">
        <v>285</v>
      </c>
      <c r="F4" s="81">
        <v>500</v>
      </c>
      <c r="G4" s="66" t="s">
        <v>330</v>
      </c>
      <c r="H4" s="142" t="s">
        <v>302</v>
      </c>
      <c r="I4" s="66" t="s">
        <v>287</v>
      </c>
    </row>
    <row r="5" spans="1:9" s="24" customFormat="1" ht="15">
      <c r="A5" s="25"/>
      <c r="B5" s="46">
        <v>2</v>
      </c>
      <c r="C5" s="50" t="s">
        <v>303</v>
      </c>
      <c r="D5" s="76" t="s">
        <v>304</v>
      </c>
      <c r="E5" s="51" t="s">
        <v>296</v>
      </c>
      <c r="F5" s="51">
        <v>20</v>
      </c>
      <c r="G5" s="66" t="s">
        <v>331</v>
      </c>
      <c r="H5" s="142"/>
      <c r="I5" s="19" t="s">
        <v>287</v>
      </c>
    </row>
    <row r="6" spans="1:9" s="95" customFormat="1" ht="15.75">
      <c r="A6" s="93"/>
      <c r="B6" s="46">
        <v>3</v>
      </c>
      <c r="C6" s="80" t="s">
        <v>335</v>
      </c>
      <c r="D6" s="80" t="s">
        <v>336</v>
      </c>
      <c r="E6" s="81" t="s">
        <v>316</v>
      </c>
      <c r="F6" s="81"/>
      <c r="G6" s="91" t="s">
        <v>985</v>
      </c>
      <c r="H6" s="142"/>
      <c r="I6" s="19" t="s">
        <v>287</v>
      </c>
    </row>
    <row r="7" spans="1:9" s="24" customFormat="1" ht="15">
      <c r="A7" s="25"/>
      <c r="B7" s="46">
        <v>4</v>
      </c>
      <c r="C7" s="50" t="s">
        <v>637</v>
      </c>
      <c r="D7" s="50" t="s">
        <v>364</v>
      </c>
      <c r="E7" s="51" t="s">
        <v>296</v>
      </c>
      <c r="F7" s="51">
        <v>20</v>
      </c>
      <c r="G7" s="66" t="s">
        <v>331</v>
      </c>
      <c r="H7" s="66" t="s">
        <v>638</v>
      </c>
      <c r="I7" s="143" t="s">
        <v>639</v>
      </c>
    </row>
    <row r="8" spans="1:9" s="24" customFormat="1" ht="15">
      <c r="A8" s="25"/>
      <c r="B8" s="46">
        <v>5</v>
      </c>
      <c r="C8" s="50" t="s">
        <v>640</v>
      </c>
      <c r="D8" s="76" t="s">
        <v>641</v>
      </c>
      <c r="E8" s="51" t="s">
        <v>418</v>
      </c>
      <c r="F8" s="51">
        <v>11</v>
      </c>
      <c r="G8" s="66" t="s">
        <v>642</v>
      </c>
      <c r="H8" s="66" t="s">
        <v>638</v>
      </c>
      <c r="I8" s="66" t="s">
        <v>639</v>
      </c>
    </row>
    <row r="9" spans="1:9" s="24" customFormat="1" ht="15">
      <c r="A9" s="25"/>
      <c r="B9" s="152"/>
      <c r="C9" s="153"/>
      <c r="D9" s="154"/>
      <c r="E9" s="155"/>
      <c r="F9" s="156"/>
      <c r="G9" s="151"/>
      <c r="H9" s="151"/>
      <c r="I9" s="158"/>
    </row>
    <row r="10" spans="1:9" ht="24">
      <c r="A10" s="1"/>
      <c r="B10" s="204" t="s">
        <v>291</v>
      </c>
      <c r="C10" s="205"/>
      <c r="D10" s="205"/>
      <c r="E10" s="206"/>
      <c r="F10" s="204"/>
      <c r="G10" s="205"/>
      <c r="H10" s="205"/>
      <c r="I10" s="206"/>
    </row>
    <row r="11" spans="1:9" s="8" customFormat="1" ht="15">
      <c r="A11" s="6"/>
      <c r="B11" s="7" t="s">
        <v>276</v>
      </c>
      <c r="C11" s="56" t="s">
        <v>277</v>
      </c>
      <c r="D11" s="56" t="s">
        <v>278</v>
      </c>
      <c r="E11" s="57" t="s">
        <v>279</v>
      </c>
      <c r="F11" s="57" t="s">
        <v>280</v>
      </c>
      <c r="G11" s="56" t="s">
        <v>11</v>
      </c>
      <c r="H11" s="56" t="s">
        <v>292</v>
      </c>
      <c r="I11" s="56" t="s">
        <v>293</v>
      </c>
    </row>
    <row r="12" spans="1:9" ht="15">
      <c r="A12" s="58"/>
      <c r="B12" s="23">
        <v>1</v>
      </c>
      <c r="C12" s="67" t="s">
        <v>453</v>
      </c>
      <c r="D12" s="67" t="s">
        <v>304</v>
      </c>
      <c r="E12" s="68" t="s">
        <v>452</v>
      </c>
      <c r="F12" s="68">
        <v>20</v>
      </c>
      <c r="G12" s="69"/>
      <c r="H12" s="66" t="s">
        <v>1924</v>
      </c>
      <c r="I12" s="66" t="s">
        <v>304</v>
      </c>
    </row>
    <row r="13" spans="1:9" ht="15.75">
      <c r="A13" s="5"/>
      <c r="B13" s="46">
        <f>B12+1</f>
        <v>2</v>
      </c>
      <c r="C13" s="80" t="s">
        <v>637</v>
      </c>
      <c r="D13" s="80" t="s">
        <v>364</v>
      </c>
      <c r="E13" s="81" t="s">
        <v>296</v>
      </c>
      <c r="F13" s="81">
        <v>20</v>
      </c>
      <c r="G13" s="85"/>
      <c r="H13" s="66" t="s">
        <v>84</v>
      </c>
      <c r="I13" s="82" t="s">
        <v>364</v>
      </c>
    </row>
    <row r="14" spans="1:9" ht="15">
      <c r="B14" s="46">
        <f t="shared" ref="B14:B23" si="0">B13+1</f>
        <v>3</v>
      </c>
      <c r="C14" s="50" t="s">
        <v>2032</v>
      </c>
      <c r="D14" s="50" t="s">
        <v>1923</v>
      </c>
      <c r="E14" s="27" t="s">
        <v>296</v>
      </c>
      <c r="F14" s="27">
        <v>20</v>
      </c>
      <c r="G14" s="29"/>
      <c r="H14" s="66" t="s">
        <v>144</v>
      </c>
      <c r="I14" s="50" t="s">
        <v>1923</v>
      </c>
    </row>
    <row r="15" spans="1:9" ht="15">
      <c r="A15" s="58"/>
      <c r="B15" s="46">
        <f t="shared" si="0"/>
        <v>4</v>
      </c>
      <c r="C15" s="50" t="s">
        <v>2033</v>
      </c>
      <c r="D15" s="50" t="s">
        <v>1926</v>
      </c>
      <c r="E15" s="51" t="s">
        <v>326</v>
      </c>
      <c r="F15" s="51">
        <v>4</v>
      </c>
      <c r="G15" s="19" t="s">
        <v>1927</v>
      </c>
      <c r="H15" s="19" t="s">
        <v>1928</v>
      </c>
      <c r="I15" s="19"/>
    </row>
    <row r="16" spans="1:9" ht="15">
      <c r="A16" s="5"/>
      <c r="B16" s="46">
        <f t="shared" si="0"/>
        <v>5</v>
      </c>
      <c r="C16" s="50" t="s">
        <v>1933</v>
      </c>
      <c r="D16" s="50" t="s">
        <v>1932</v>
      </c>
      <c r="E16" s="51" t="s">
        <v>456</v>
      </c>
      <c r="F16" s="51">
        <v>20</v>
      </c>
      <c r="G16" s="19"/>
      <c r="H16" s="19"/>
      <c r="I16" s="19"/>
    </row>
    <row r="17" spans="1:9" ht="15">
      <c r="A17" s="5"/>
      <c r="B17" s="46">
        <f t="shared" si="0"/>
        <v>6</v>
      </c>
      <c r="C17" s="50" t="s">
        <v>1934</v>
      </c>
      <c r="D17" s="50" t="s">
        <v>1935</v>
      </c>
      <c r="E17" s="51" t="s">
        <v>456</v>
      </c>
      <c r="F17" s="51">
        <v>100</v>
      </c>
      <c r="G17" s="19"/>
      <c r="H17" s="19"/>
      <c r="I17" s="19"/>
    </row>
    <row r="18" spans="1:9" ht="15">
      <c r="A18" s="58"/>
      <c r="B18" s="46">
        <f t="shared" si="0"/>
        <v>7</v>
      </c>
      <c r="C18" s="50" t="s">
        <v>1936</v>
      </c>
      <c r="D18" s="50" t="s">
        <v>1937</v>
      </c>
      <c r="E18" s="51" t="s">
        <v>456</v>
      </c>
      <c r="F18" s="51">
        <v>1000</v>
      </c>
      <c r="G18" s="19"/>
      <c r="H18" s="19"/>
      <c r="I18" s="19"/>
    </row>
    <row r="19" spans="1:9" ht="47.25">
      <c r="B19" s="46">
        <f t="shared" si="0"/>
        <v>8</v>
      </c>
      <c r="C19" s="90" t="s">
        <v>2034</v>
      </c>
      <c r="D19" s="90" t="s">
        <v>2035</v>
      </c>
      <c r="E19" s="87" t="s">
        <v>285</v>
      </c>
      <c r="F19" s="87">
        <v>5</v>
      </c>
      <c r="G19" s="88" t="s">
        <v>2036</v>
      </c>
      <c r="H19" s="28" t="s">
        <v>2037</v>
      </c>
      <c r="I19" s="89"/>
    </row>
    <row r="20" spans="1:9" ht="15.75">
      <c r="B20" s="46">
        <f t="shared" si="0"/>
        <v>9</v>
      </c>
      <c r="C20" s="50" t="s">
        <v>2038</v>
      </c>
      <c r="D20" s="50" t="s">
        <v>2039</v>
      </c>
      <c r="E20" s="74" t="s">
        <v>1576</v>
      </c>
      <c r="F20" s="72" t="s">
        <v>1034</v>
      </c>
      <c r="G20" s="85"/>
      <c r="H20" s="28"/>
      <c r="I20" s="50"/>
    </row>
    <row r="21" spans="1:9" ht="15.75">
      <c r="B21" s="46">
        <f t="shared" si="0"/>
        <v>10</v>
      </c>
      <c r="C21" s="80" t="s">
        <v>2040</v>
      </c>
      <c r="D21" s="50" t="s">
        <v>2041</v>
      </c>
      <c r="E21" s="51" t="s">
        <v>285</v>
      </c>
      <c r="F21" s="51">
        <v>3</v>
      </c>
      <c r="G21" s="82"/>
      <c r="H21" s="19" t="s">
        <v>1031</v>
      </c>
      <c r="I21" s="83"/>
    </row>
    <row r="22" spans="1:9" ht="15.75">
      <c r="B22" s="46">
        <f t="shared" si="0"/>
        <v>11</v>
      </c>
      <c r="C22" s="90" t="s">
        <v>2042</v>
      </c>
      <c r="D22" s="90" t="s">
        <v>2043</v>
      </c>
      <c r="E22" s="87" t="s">
        <v>326</v>
      </c>
      <c r="F22" s="87">
        <v>4</v>
      </c>
      <c r="G22" s="121" t="s">
        <v>448</v>
      </c>
      <c r="H22" s="28" t="s">
        <v>435</v>
      </c>
      <c r="I22" s="89"/>
    </row>
    <row r="23" spans="1:9" ht="15.75">
      <c r="B23" s="46">
        <f t="shared" si="0"/>
        <v>12</v>
      </c>
      <c r="C23" s="108" t="s">
        <v>11</v>
      </c>
      <c r="D23" s="108" t="s">
        <v>397</v>
      </c>
      <c r="E23" s="109" t="s">
        <v>285</v>
      </c>
      <c r="F23" s="109">
        <v>500</v>
      </c>
      <c r="G23" s="85"/>
      <c r="H23" s="82"/>
      <c r="I23" s="82"/>
    </row>
    <row r="24" spans="1:9" ht="16.5" customHeight="1">
      <c r="B24" s="21"/>
    </row>
    <row r="25" spans="1:9" ht="16.5" customHeight="1">
      <c r="B25" s="45"/>
    </row>
    <row r="26" spans="1:9" ht="16.5" customHeight="1">
      <c r="B26" s="45"/>
    </row>
    <row r="27" spans="1:9" ht="16.5" customHeight="1">
      <c r="B27" s="45"/>
    </row>
    <row r="28" spans="1:9" ht="16.5" customHeight="1"/>
    <row r="29" spans="1:9" ht="16.5" customHeight="1"/>
    <row r="30" spans="1:9" ht="16.5" customHeight="1"/>
    <row r="31" spans="1:9" ht="16.5" customHeight="1"/>
    <row r="32" spans="1:9" ht="16.5" customHeight="1"/>
    <row r="33" ht="16.5" customHeight="1"/>
    <row r="34" ht="16.5" customHeight="1"/>
    <row r="35" ht="16.5" customHeight="1"/>
    <row r="36" ht="16.5" customHeight="1"/>
    <row r="37" ht="16.5" customHeight="1"/>
    <row r="38" ht="16.5" customHeight="1"/>
    <row r="39" ht="16.5" customHeight="1"/>
    <row r="40" ht="16.5" customHeight="1"/>
    <row r="41" ht="16.5" customHeight="1"/>
    <row r="42" ht="16.5" customHeight="1"/>
    <row r="43" ht="16.5" customHeight="1"/>
    <row r="44" ht="16.5" customHeight="1"/>
    <row r="45" ht="16.5" customHeight="1"/>
    <row r="46" ht="16.5" customHeight="1"/>
    <row r="47" ht="16.5" customHeight="1"/>
    <row r="48" ht="16.5" customHeight="1"/>
    <row r="49" ht="16.5" customHeight="1"/>
    <row r="50" ht="16.5" customHeight="1"/>
    <row r="51" ht="16.5" customHeight="1"/>
    <row r="52" ht="16.5" customHeight="1"/>
    <row r="53" ht="16.5" customHeight="1"/>
    <row r="54" ht="16.5" customHeight="1"/>
    <row r="55" ht="16.5" customHeight="1"/>
    <row r="56" ht="16.5" customHeight="1"/>
    <row r="57" ht="16.5" customHeight="1"/>
    <row r="58" ht="16.5" customHeight="1"/>
    <row r="59" ht="16.5" customHeight="1"/>
    <row r="60" ht="16.5" customHeight="1"/>
    <row r="61" ht="16.5" customHeight="1"/>
    <row r="62" ht="16.5" customHeight="1"/>
    <row r="63" ht="16.5" customHeight="1"/>
    <row r="64" ht="16.5" customHeight="1"/>
    <row r="65" ht="16.5" customHeight="1"/>
    <row r="66" ht="16.5" customHeight="1"/>
    <row r="67" ht="16.5" customHeight="1"/>
    <row r="68" ht="16.5" customHeight="1"/>
    <row r="69" ht="16.5" customHeight="1"/>
    <row r="70" ht="16.5" customHeight="1"/>
    <row r="71" ht="16.5" customHeight="1"/>
    <row r="72" ht="16.5" customHeight="1"/>
    <row r="73" ht="16.5" customHeight="1"/>
    <row r="74" ht="16.5" customHeight="1"/>
    <row r="75" ht="16.5" customHeight="1"/>
    <row r="76" ht="16.5" customHeight="1"/>
    <row r="77" ht="16.5" customHeight="1"/>
    <row r="78" ht="16.5" customHeight="1"/>
    <row r="79" ht="16.5" customHeight="1"/>
    <row r="80" ht="16.5" customHeight="1"/>
    <row r="81" ht="16.5" customHeight="1"/>
    <row r="82" ht="16.5" customHeight="1"/>
    <row r="83" ht="16.5" customHeight="1"/>
    <row r="84" ht="16.5" customHeight="1"/>
    <row r="85" ht="16.5" customHeight="1"/>
    <row r="86" ht="16.5" customHeight="1"/>
    <row r="87" ht="16.5" customHeight="1"/>
    <row r="88" ht="16.5" customHeight="1"/>
    <row r="89" ht="16.5" customHeight="1"/>
    <row r="90" ht="16.5" customHeight="1"/>
    <row r="91" ht="16.5" customHeight="1"/>
    <row r="92" ht="16.5" customHeight="1"/>
    <row r="93" ht="16.5" customHeight="1"/>
    <row r="94" ht="16.5" customHeight="1"/>
    <row r="95" ht="16.5" customHeight="1"/>
    <row r="96" ht="16.5" customHeight="1"/>
    <row r="97" ht="16.5" customHeight="1"/>
    <row r="98" ht="16.5" customHeight="1"/>
    <row r="99" ht="16.5" customHeight="1"/>
    <row r="100" ht="16.5" customHeight="1"/>
    <row r="101" ht="16.5" customHeight="1"/>
    <row r="102" ht="16.5" customHeight="1"/>
    <row r="103" ht="16.5" customHeight="1"/>
    <row r="104" ht="16.5" customHeight="1"/>
    <row r="105" ht="16.5" customHeight="1"/>
    <row r="106" ht="16.5" customHeight="1"/>
    <row r="107" ht="16.5" customHeight="1"/>
    <row r="108" ht="16.5" customHeight="1"/>
    <row r="109" ht="16.5" customHeight="1"/>
    <row r="110" ht="16.5" customHeight="1"/>
    <row r="111" ht="16.5" customHeight="1"/>
    <row r="112" ht="16.5" customHeight="1"/>
    <row r="113" ht="16.5" customHeight="1"/>
    <row r="114" ht="16.5" customHeight="1"/>
    <row r="115" ht="16.5" customHeight="1"/>
    <row r="116" ht="16.5" customHeight="1"/>
    <row r="117" ht="16.5" customHeight="1"/>
    <row r="118" ht="16.5" customHeight="1"/>
    <row r="119" ht="16.5" customHeight="1"/>
    <row r="120" ht="16.5" customHeight="1"/>
    <row r="121" ht="16.5" customHeight="1"/>
    <row r="122" ht="16.5" customHeight="1"/>
    <row r="123" ht="16.5" customHeight="1"/>
    <row r="124" ht="16.5" customHeight="1"/>
    <row r="125" ht="16.5" customHeight="1"/>
    <row r="126" ht="16.5" customHeight="1"/>
    <row r="127" ht="16.5" customHeight="1"/>
    <row r="128" ht="16.5" customHeight="1"/>
    <row r="129" ht="16.5" customHeight="1"/>
    <row r="130" ht="16.5" customHeight="1"/>
    <row r="131" ht="16.5" customHeight="1"/>
    <row r="132" ht="16.5" customHeight="1"/>
    <row r="133" ht="16.5" customHeight="1"/>
    <row r="134" ht="16.5" customHeight="1"/>
    <row r="135" ht="16.5" customHeight="1"/>
    <row r="136" ht="16.5" customHeight="1"/>
    <row r="137" ht="16.5" customHeight="1"/>
    <row r="138" ht="16.5" customHeight="1"/>
    <row r="139" ht="16.5" customHeight="1"/>
    <row r="140" ht="16.5" customHeight="1"/>
    <row r="141" ht="16.5" customHeight="1"/>
    <row r="142" ht="16.5" customHeight="1"/>
    <row r="143" ht="16.5" customHeight="1"/>
    <row r="144" ht="16.5" customHeight="1"/>
    <row r="145" ht="16.5" customHeight="1"/>
    <row r="146" ht="16.5" customHeight="1"/>
    <row r="147" ht="16.5" customHeight="1"/>
    <row r="148" ht="16.5" customHeight="1"/>
    <row r="149" ht="16.5" customHeight="1"/>
    <row r="150" ht="16.5" customHeight="1"/>
    <row r="151" ht="16.5" customHeight="1"/>
    <row r="152" ht="16.5" customHeight="1"/>
    <row r="153" ht="16.5" customHeight="1"/>
    <row r="154" ht="16.5" customHeight="1"/>
    <row r="155" ht="16.5" customHeight="1"/>
    <row r="156" ht="16.5" customHeight="1"/>
    <row r="157" ht="16.5" customHeight="1"/>
    <row r="158" ht="16.5" customHeight="1"/>
    <row r="159" ht="16.5" customHeight="1"/>
    <row r="160" ht="16.5" customHeight="1"/>
    <row r="161" ht="16.5" customHeight="1"/>
    <row r="162" ht="16.5" customHeight="1"/>
    <row r="163" ht="16.5" customHeight="1"/>
    <row r="164" ht="16.5" customHeight="1"/>
    <row r="165" ht="16.5" customHeight="1"/>
    <row r="166" ht="16.5" customHeight="1"/>
    <row r="167" ht="16.5" customHeight="1"/>
    <row r="168" ht="16.5" customHeight="1"/>
    <row r="169" ht="16.5" customHeight="1"/>
    <row r="170" ht="16.5" customHeight="1"/>
    <row r="171" ht="16.5" customHeight="1"/>
    <row r="172" ht="16.5" customHeight="1"/>
    <row r="173" ht="16.5" customHeight="1"/>
    <row r="174" ht="16.5" customHeight="1"/>
    <row r="175" ht="16.5" customHeight="1"/>
    <row r="176" ht="16.5" customHeight="1"/>
    <row r="177" ht="16.5" customHeight="1"/>
    <row r="178" ht="16.5" customHeight="1"/>
    <row r="179" ht="16.5" customHeight="1"/>
    <row r="180" ht="16.5" customHeight="1"/>
    <row r="181" ht="16.5" customHeight="1"/>
    <row r="182" ht="16.5" customHeight="1"/>
    <row r="183" ht="16.5" customHeight="1"/>
    <row r="184" ht="16.5" customHeight="1"/>
    <row r="185" ht="16.5" customHeight="1"/>
    <row r="186" ht="16.5" customHeight="1"/>
    <row r="187" ht="16.5" customHeight="1"/>
    <row r="188" ht="16.5" customHeight="1"/>
    <row r="189" ht="16.5" customHeight="1"/>
    <row r="190" ht="16.5" customHeight="1"/>
    <row r="191" ht="16.5" customHeight="1"/>
    <row r="192" ht="16.5" customHeight="1"/>
    <row r="193" ht="16.5" customHeight="1"/>
    <row r="194" ht="16.5" customHeight="1"/>
    <row r="195" ht="16.5" customHeight="1"/>
    <row r="196" ht="16.5" customHeight="1"/>
    <row r="197" ht="16.5" customHeight="1"/>
    <row r="198" ht="16.5" customHeight="1"/>
    <row r="199" ht="16.5" customHeight="1"/>
    <row r="200" ht="16.5" customHeight="1"/>
    <row r="201" ht="16.5" customHeight="1"/>
    <row r="202" ht="16.5" customHeight="1"/>
    <row r="203" ht="16.5" customHeight="1"/>
    <row r="204" ht="16.5" customHeight="1"/>
    <row r="205" ht="16.5" customHeight="1"/>
    <row r="206" ht="16.5" customHeight="1"/>
    <row r="207" ht="16.5" customHeight="1"/>
    <row r="208" ht="16.5" customHeight="1"/>
    <row r="209" ht="16.5" customHeight="1"/>
    <row r="210" ht="16.5" customHeight="1"/>
    <row r="211" ht="16.5" customHeight="1"/>
    <row r="212" ht="16.5" customHeight="1"/>
    <row r="213" ht="16.5" customHeight="1"/>
    <row r="214" ht="16.5" customHeight="1"/>
    <row r="215" ht="16.5" customHeight="1"/>
    <row r="216" ht="16.5" customHeight="1"/>
    <row r="217" ht="16.5" customHeight="1"/>
    <row r="218" ht="16.5" customHeight="1"/>
    <row r="219" ht="16.5" customHeight="1"/>
    <row r="220" ht="16.5" customHeight="1"/>
    <row r="221" ht="16.5" customHeight="1"/>
    <row r="222" ht="16.5" customHeight="1"/>
    <row r="223" ht="16.5" customHeight="1"/>
    <row r="224" ht="16.5" customHeight="1"/>
    <row r="225" ht="16.5" customHeight="1"/>
    <row r="226" ht="16.5" customHeight="1"/>
    <row r="227" ht="16.5" customHeight="1"/>
    <row r="228" ht="16.5" customHeight="1"/>
    <row r="229" ht="16.5" customHeight="1"/>
    <row r="230" ht="16.5" customHeight="1"/>
    <row r="231" ht="16.5" customHeight="1"/>
    <row r="232" ht="16.5" customHeight="1"/>
    <row r="233" ht="16.5" customHeight="1"/>
    <row r="234" ht="16.5" customHeight="1"/>
    <row r="235" ht="16.5" customHeight="1"/>
    <row r="236" ht="16.5" customHeight="1"/>
    <row r="237" ht="16.5" customHeight="1"/>
    <row r="238" ht="16.5" customHeight="1"/>
    <row r="239" ht="16.5" customHeight="1"/>
    <row r="240" ht="16.5" customHeight="1"/>
    <row r="241" ht="16.5" customHeight="1"/>
    <row r="242" ht="16.5" customHeight="1"/>
    <row r="243" ht="16.5" customHeight="1"/>
    <row r="244" ht="16.5" customHeight="1"/>
    <row r="245" ht="16.5" customHeight="1"/>
    <row r="246" ht="16.5" customHeight="1"/>
    <row r="247" ht="16.5" customHeight="1"/>
    <row r="248" ht="16.5" customHeight="1"/>
    <row r="249" ht="16.5" customHeight="1"/>
    <row r="250" ht="16.5" customHeight="1"/>
    <row r="251" ht="16.5" customHeight="1"/>
    <row r="252" ht="16.5" customHeight="1"/>
    <row r="253" ht="16.5" customHeight="1"/>
    <row r="254" ht="16.5" customHeight="1"/>
    <row r="255" ht="16.5" customHeight="1"/>
    <row r="256" ht="16.5" customHeight="1"/>
    <row r="257" ht="16.5" customHeight="1"/>
    <row r="258" ht="16.5" customHeight="1"/>
    <row r="259" ht="16.5" customHeight="1"/>
    <row r="260" ht="16.5" customHeight="1"/>
    <row r="261" ht="16.5" customHeight="1"/>
    <row r="262" ht="16.5" customHeight="1"/>
    <row r="263" ht="16.5" customHeight="1"/>
    <row r="264" ht="16.5" customHeight="1"/>
    <row r="265" ht="16.5" customHeight="1"/>
    <row r="266" ht="16.5" customHeight="1"/>
    <row r="267" ht="16.5" customHeight="1"/>
    <row r="268" ht="16.5" customHeight="1"/>
    <row r="269" ht="16.5" customHeight="1"/>
    <row r="270" ht="16.5" customHeight="1"/>
    <row r="271" ht="16.5" customHeight="1"/>
    <row r="272" ht="16.5" customHeight="1"/>
    <row r="273" ht="16.5" customHeight="1"/>
    <row r="274" ht="16.5" customHeight="1"/>
    <row r="275" ht="16.5" customHeight="1"/>
    <row r="276" ht="16.5" customHeight="1"/>
    <row r="277" ht="16.5" customHeight="1"/>
    <row r="278" ht="16.5" customHeight="1"/>
    <row r="279" ht="16.5" customHeight="1"/>
    <row r="280" ht="16.5" customHeight="1"/>
    <row r="281" ht="16.5" customHeight="1"/>
    <row r="282" ht="16.5" customHeight="1"/>
    <row r="283" ht="16.5" customHeight="1"/>
    <row r="284" ht="16.5" customHeight="1"/>
    <row r="285" ht="16.5" customHeight="1"/>
    <row r="286" ht="16.5" customHeight="1"/>
    <row r="287" ht="16.5" customHeight="1"/>
    <row r="288" ht="16.5" customHeight="1"/>
    <row r="289" ht="16.5" customHeight="1"/>
    <row r="290" ht="16.5" customHeight="1"/>
    <row r="291" ht="16.5" customHeight="1"/>
    <row r="292" ht="16.5" customHeight="1"/>
    <row r="293" ht="16.5" customHeight="1"/>
    <row r="294" ht="16.5" customHeight="1"/>
    <row r="295" ht="16.5" customHeight="1"/>
    <row r="296" ht="16.5" customHeight="1"/>
    <row r="297" ht="16.5" customHeight="1"/>
    <row r="298" ht="16.5" customHeight="1"/>
    <row r="299" ht="16.5" customHeight="1"/>
    <row r="300" ht="16.5" customHeight="1"/>
    <row r="301" ht="16.5" customHeight="1"/>
    <row r="302" ht="16.5" customHeight="1"/>
    <row r="303" ht="16.5" customHeight="1"/>
    <row r="304" ht="16.5" customHeight="1"/>
    <row r="305" ht="16.5" customHeight="1"/>
  </sheetData>
  <mergeCells count="6">
    <mergeCell ref="B1:E1"/>
    <mergeCell ref="F1:I1"/>
    <mergeCell ref="B2:E2"/>
    <mergeCell ref="F2:I2"/>
    <mergeCell ref="B10:E10"/>
    <mergeCell ref="F10:I10"/>
  </mergeCells>
  <phoneticPr fontId="5" type="noConversion"/>
  <pageMargins left="0.7" right="0.7" top="0.75" bottom="0.75" header="0.3" footer="0.3"/>
  <pageSetup paperSize="9" orientation="portrait" horizontalDpi="0" verticalDpi="0"/>
</worksheet>
</file>

<file path=xl/worksheets/sheet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34F1073-8DE8-495B-B3D2-A51D6BE1CE6F}">
  <sheetPr codeName="工作表57"/>
  <dimension ref="A1:I301"/>
  <sheetViews>
    <sheetView workbookViewId="0">
      <selection activeCell="C8" sqref="C8"/>
    </sheetView>
  </sheetViews>
  <sheetFormatPr defaultColWidth="6.625" defaultRowHeight="13.5"/>
  <cols>
    <col min="1" max="1" width="3.125" style="4" bestFit="1" customWidth="1"/>
    <col min="2" max="2" width="5.5" style="8" customWidth="1"/>
    <col min="3" max="3" width="23.125" style="4" customWidth="1"/>
    <col min="4" max="4" width="30.125" style="4" customWidth="1"/>
    <col min="5" max="5" width="11.125" style="4" bestFit="1" customWidth="1"/>
    <col min="6" max="6" width="10.375" style="4" customWidth="1"/>
    <col min="7" max="8" width="45.625" style="4" customWidth="1"/>
    <col min="9" max="9" width="30.125" style="4" customWidth="1"/>
    <col min="10" max="16384" width="6.625" style="4"/>
  </cols>
  <sheetData>
    <row r="1" spans="1:9" ht="24">
      <c r="A1" s="149" t="e">
        <f ca="1">HYPERLINK("#'介面'!E"&amp;MATCH(VALUE(RIGHT(CELL("filename"),LEN(CELL("filename"))-FIND("]",CELL("filename")))),介面!D:D,"0"),"←")</f>
        <v>#VALUE!</v>
      </c>
      <c r="B1" s="207" t="s">
        <v>2044</v>
      </c>
      <c r="C1" s="208"/>
      <c r="D1" s="208"/>
      <c r="E1" s="209"/>
      <c r="F1" s="207" t="s">
        <v>2045</v>
      </c>
      <c r="G1" s="208"/>
      <c r="H1" s="208"/>
      <c r="I1" s="208"/>
    </row>
    <row r="2" spans="1:9" ht="24">
      <c r="A2" s="1"/>
      <c r="B2" s="210" t="s">
        <v>275</v>
      </c>
      <c r="C2" s="211"/>
      <c r="D2" s="211"/>
      <c r="E2" s="212"/>
      <c r="F2" s="210"/>
      <c r="G2" s="211"/>
      <c r="H2" s="211"/>
      <c r="I2" s="212"/>
    </row>
    <row r="3" spans="1:9" s="8" customFormat="1" ht="15">
      <c r="A3" s="6"/>
      <c r="B3" s="7" t="s">
        <v>276</v>
      </c>
      <c r="C3" s="56" t="s">
        <v>277</v>
      </c>
      <c r="D3" s="56" t="s">
        <v>278</v>
      </c>
      <c r="E3" s="57" t="s">
        <v>279</v>
      </c>
      <c r="F3" s="57" t="s">
        <v>280</v>
      </c>
      <c r="G3" s="56" t="s">
        <v>281</v>
      </c>
      <c r="H3" s="141" t="s">
        <v>11</v>
      </c>
      <c r="I3" s="56" t="s">
        <v>282</v>
      </c>
    </row>
    <row r="4" spans="1:9" s="24" customFormat="1" ht="15.75">
      <c r="A4" s="25"/>
      <c r="B4" s="46">
        <v>1</v>
      </c>
      <c r="C4" s="80" t="s">
        <v>297</v>
      </c>
      <c r="D4" s="80" t="s">
        <v>298</v>
      </c>
      <c r="E4" s="81" t="s">
        <v>285</v>
      </c>
      <c r="F4" s="81">
        <v>500</v>
      </c>
      <c r="G4" s="66" t="s">
        <v>330</v>
      </c>
      <c r="H4" s="142" t="s">
        <v>302</v>
      </c>
      <c r="I4" s="66" t="s">
        <v>287</v>
      </c>
    </row>
    <row r="5" spans="1:9" s="24" customFormat="1" ht="15">
      <c r="A5" s="25"/>
      <c r="B5" s="46">
        <f>B4+1</f>
        <v>2</v>
      </c>
      <c r="C5" s="50" t="s">
        <v>303</v>
      </c>
      <c r="D5" s="76" t="s">
        <v>304</v>
      </c>
      <c r="E5" s="51" t="s">
        <v>296</v>
      </c>
      <c r="F5" s="51">
        <v>20</v>
      </c>
      <c r="G5" s="66" t="s">
        <v>331</v>
      </c>
      <c r="H5" s="142"/>
      <c r="I5" s="19" t="s">
        <v>287</v>
      </c>
    </row>
    <row r="6" spans="1:9" s="95" customFormat="1" ht="15.75">
      <c r="A6" s="93"/>
      <c r="B6" s="94">
        <f>B5+1</f>
        <v>3</v>
      </c>
      <c r="C6" s="80" t="s">
        <v>335</v>
      </c>
      <c r="D6" s="80" t="s">
        <v>336</v>
      </c>
      <c r="E6" s="81" t="s">
        <v>316</v>
      </c>
      <c r="F6" s="81"/>
      <c r="G6" s="91" t="s">
        <v>985</v>
      </c>
      <c r="H6" s="142"/>
      <c r="I6" s="19" t="s">
        <v>287</v>
      </c>
    </row>
    <row r="7" spans="1:9" s="24" customFormat="1" ht="15">
      <c r="A7" s="25"/>
      <c r="B7" s="46">
        <v>4</v>
      </c>
      <c r="C7" s="50" t="s">
        <v>637</v>
      </c>
      <c r="D7" s="50" t="s">
        <v>364</v>
      </c>
      <c r="E7" s="51" t="s">
        <v>296</v>
      </c>
      <c r="F7" s="51">
        <v>20</v>
      </c>
      <c r="G7" s="66" t="s">
        <v>331</v>
      </c>
      <c r="H7" s="66" t="s">
        <v>638</v>
      </c>
      <c r="I7" s="143" t="s">
        <v>639</v>
      </c>
    </row>
    <row r="8" spans="1:9" s="24" customFormat="1" ht="15">
      <c r="A8" s="25"/>
      <c r="B8" s="46">
        <v>5</v>
      </c>
      <c r="C8" s="50" t="s">
        <v>640</v>
      </c>
      <c r="D8" s="76" t="s">
        <v>641</v>
      </c>
      <c r="E8" s="51" t="s">
        <v>418</v>
      </c>
      <c r="F8" s="51">
        <v>11</v>
      </c>
      <c r="G8" s="66" t="s">
        <v>642</v>
      </c>
      <c r="H8" s="66" t="s">
        <v>638</v>
      </c>
      <c r="I8" s="66" t="s">
        <v>639</v>
      </c>
    </row>
    <row r="9" spans="1:9" ht="15.75">
      <c r="A9" s="1"/>
      <c r="B9" s="2"/>
      <c r="C9" s="3"/>
      <c r="D9" s="3"/>
      <c r="E9" s="3"/>
      <c r="F9" s="3"/>
      <c r="G9" s="3"/>
      <c r="H9" s="151"/>
      <c r="I9" s="158"/>
    </row>
    <row r="10" spans="1:9" ht="24">
      <c r="A10" s="1"/>
      <c r="B10" s="204" t="s">
        <v>291</v>
      </c>
      <c r="C10" s="205"/>
      <c r="D10" s="205"/>
      <c r="E10" s="206"/>
      <c r="F10" s="204"/>
      <c r="G10" s="205"/>
      <c r="H10" s="205"/>
      <c r="I10" s="206"/>
    </row>
    <row r="11" spans="1:9" s="8" customFormat="1" ht="15">
      <c r="A11" s="6"/>
      <c r="B11" s="7" t="s">
        <v>276</v>
      </c>
      <c r="C11" s="56" t="s">
        <v>277</v>
      </c>
      <c r="D11" s="56" t="s">
        <v>278</v>
      </c>
      <c r="E11" s="57" t="s">
        <v>279</v>
      </c>
      <c r="F11" s="57" t="s">
        <v>280</v>
      </c>
      <c r="G11" s="56" t="s">
        <v>11</v>
      </c>
      <c r="H11" s="56" t="s">
        <v>292</v>
      </c>
      <c r="I11" s="56" t="s">
        <v>293</v>
      </c>
    </row>
    <row r="12" spans="1:9" ht="15">
      <c r="A12" s="58"/>
      <c r="B12" s="23">
        <v>1</v>
      </c>
      <c r="C12" s="67" t="s">
        <v>453</v>
      </c>
      <c r="D12" s="67" t="s">
        <v>304</v>
      </c>
      <c r="E12" s="68" t="s">
        <v>452</v>
      </c>
      <c r="F12" s="68">
        <v>20</v>
      </c>
      <c r="G12" s="69"/>
      <c r="H12" s="66" t="s">
        <v>2046</v>
      </c>
      <c r="I12" s="66" t="s">
        <v>304</v>
      </c>
    </row>
    <row r="13" spans="1:9" ht="15.75">
      <c r="A13" s="5"/>
      <c r="B13" s="46">
        <f>B12+1</f>
        <v>2</v>
      </c>
      <c r="C13" s="80" t="s">
        <v>637</v>
      </c>
      <c r="D13" s="80" t="s">
        <v>364</v>
      </c>
      <c r="E13" s="81" t="s">
        <v>296</v>
      </c>
      <c r="F13" s="81">
        <v>20</v>
      </c>
      <c r="G13" s="85"/>
      <c r="H13" s="82"/>
      <c r="I13" s="82"/>
    </row>
    <row r="14" spans="1:9" ht="15">
      <c r="B14" s="46">
        <f>B13+1</f>
        <v>3</v>
      </c>
      <c r="C14" s="64" t="s">
        <v>1957</v>
      </c>
      <c r="D14" s="64" t="s">
        <v>1958</v>
      </c>
      <c r="E14" s="62" t="s">
        <v>452</v>
      </c>
      <c r="F14" s="62">
        <v>20</v>
      </c>
      <c r="G14" s="66"/>
      <c r="H14" s="66" t="s">
        <v>2047</v>
      </c>
      <c r="I14" s="64" t="s">
        <v>1958</v>
      </c>
    </row>
    <row r="15" spans="1:9" ht="15">
      <c r="B15" s="46">
        <f>B14+1</f>
        <v>4</v>
      </c>
      <c r="C15" s="50" t="s">
        <v>2048</v>
      </c>
      <c r="D15" s="50" t="s">
        <v>2049</v>
      </c>
      <c r="E15" s="27" t="s">
        <v>1576</v>
      </c>
      <c r="F15" s="27" t="s">
        <v>2050</v>
      </c>
      <c r="G15" s="19"/>
      <c r="H15" s="19"/>
      <c r="I15" s="19"/>
    </row>
    <row r="16" spans="1:9" ht="15">
      <c r="B16" s="46">
        <f>B15+1</f>
        <v>5</v>
      </c>
      <c r="C16" s="64" t="s">
        <v>311</v>
      </c>
      <c r="D16" s="64" t="s">
        <v>312</v>
      </c>
      <c r="E16" s="72" t="s">
        <v>313</v>
      </c>
      <c r="F16" s="72"/>
      <c r="G16" s="63"/>
      <c r="H16" s="66"/>
      <c r="I16" s="66"/>
    </row>
    <row r="17" spans="2:2" ht="16.5" customHeight="1">
      <c r="B17" s="21"/>
    </row>
    <row r="18" spans="2:2" ht="16.5" customHeight="1">
      <c r="B18" s="45"/>
    </row>
    <row r="19" spans="2:2" ht="16.5" customHeight="1">
      <c r="B19" s="45"/>
    </row>
    <row r="20" spans="2:2" ht="16.5" customHeight="1">
      <c r="B20" s="45"/>
    </row>
    <row r="21" spans="2:2" ht="16.5" customHeight="1"/>
    <row r="22" spans="2:2" ht="16.5" customHeight="1"/>
    <row r="23" spans="2:2" ht="16.5" customHeight="1"/>
    <row r="24" spans="2:2" ht="16.5" customHeight="1"/>
    <row r="25" spans="2:2" ht="16.5" customHeight="1"/>
    <row r="26" spans="2:2" ht="16.5" customHeight="1"/>
    <row r="27" spans="2:2" ht="16.5" customHeight="1"/>
    <row r="28" spans="2:2" ht="16.5" customHeight="1"/>
    <row r="29" spans="2:2" ht="16.5" customHeight="1"/>
    <row r="30" spans="2:2" ht="16.5" customHeight="1"/>
    <row r="31" spans="2:2" ht="16.5" customHeight="1"/>
    <row r="32" spans="2:2" ht="16.5" customHeight="1"/>
    <row r="33" ht="16.5" customHeight="1"/>
    <row r="34" ht="16.5" customHeight="1"/>
    <row r="35" ht="16.5" customHeight="1"/>
    <row r="36" ht="16.5" customHeight="1"/>
    <row r="37" ht="16.5" customHeight="1"/>
    <row r="38" ht="16.5" customHeight="1"/>
    <row r="39" ht="16.5" customHeight="1"/>
    <row r="40" ht="16.5" customHeight="1"/>
    <row r="41" ht="16.5" customHeight="1"/>
    <row r="42" ht="16.5" customHeight="1"/>
    <row r="43" ht="16.5" customHeight="1"/>
    <row r="44" ht="16.5" customHeight="1"/>
    <row r="45" ht="16.5" customHeight="1"/>
    <row r="46" ht="16.5" customHeight="1"/>
    <row r="47" ht="16.5" customHeight="1"/>
    <row r="48" ht="16.5" customHeight="1"/>
    <row r="49" ht="16.5" customHeight="1"/>
    <row r="50" ht="16.5" customHeight="1"/>
    <row r="51" ht="16.5" customHeight="1"/>
    <row r="52" ht="16.5" customHeight="1"/>
    <row r="53" ht="16.5" customHeight="1"/>
    <row r="54" ht="16.5" customHeight="1"/>
    <row r="55" ht="16.5" customHeight="1"/>
    <row r="56" ht="16.5" customHeight="1"/>
    <row r="57" ht="16.5" customHeight="1"/>
    <row r="58" ht="16.5" customHeight="1"/>
    <row r="59" ht="16.5" customHeight="1"/>
    <row r="60" ht="16.5" customHeight="1"/>
    <row r="61" ht="16.5" customHeight="1"/>
    <row r="62" ht="16.5" customHeight="1"/>
    <row r="63" ht="16.5" customHeight="1"/>
    <row r="64" ht="16.5" customHeight="1"/>
    <row r="65" ht="16.5" customHeight="1"/>
    <row r="66" ht="16.5" customHeight="1"/>
    <row r="67" ht="16.5" customHeight="1"/>
    <row r="68" ht="16.5" customHeight="1"/>
    <row r="69" ht="16.5" customHeight="1"/>
    <row r="70" ht="16.5" customHeight="1"/>
    <row r="71" ht="16.5" customHeight="1"/>
    <row r="72" ht="16.5" customHeight="1"/>
    <row r="73" ht="16.5" customHeight="1"/>
    <row r="74" ht="16.5" customHeight="1"/>
    <row r="75" ht="16.5" customHeight="1"/>
    <row r="76" ht="16.5" customHeight="1"/>
    <row r="77" ht="16.5" customHeight="1"/>
    <row r="78" ht="16.5" customHeight="1"/>
    <row r="79" ht="16.5" customHeight="1"/>
    <row r="80" ht="16.5" customHeight="1"/>
    <row r="81" ht="16.5" customHeight="1"/>
    <row r="82" ht="16.5" customHeight="1"/>
    <row r="83" ht="16.5" customHeight="1"/>
    <row r="84" ht="16.5" customHeight="1"/>
    <row r="85" ht="16.5" customHeight="1"/>
    <row r="86" ht="16.5" customHeight="1"/>
    <row r="87" ht="16.5" customHeight="1"/>
    <row r="88" ht="16.5" customHeight="1"/>
    <row r="89" ht="16.5" customHeight="1"/>
    <row r="90" ht="16.5" customHeight="1"/>
    <row r="91" ht="16.5" customHeight="1"/>
    <row r="92" ht="16.5" customHeight="1"/>
    <row r="93" ht="16.5" customHeight="1"/>
    <row r="94" ht="16.5" customHeight="1"/>
    <row r="95" ht="16.5" customHeight="1"/>
    <row r="96" ht="16.5" customHeight="1"/>
    <row r="97" ht="16.5" customHeight="1"/>
    <row r="98" ht="16.5" customHeight="1"/>
    <row r="99" ht="16.5" customHeight="1"/>
    <row r="100" ht="16.5" customHeight="1"/>
    <row r="101" ht="16.5" customHeight="1"/>
    <row r="102" ht="16.5" customHeight="1"/>
    <row r="103" ht="16.5" customHeight="1"/>
    <row r="104" ht="16.5" customHeight="1"/>
    <row r="105" ht="16.5" customHeight="1"/>
    <row r="106" ht="16.5" customHeight="1"/>
    <row r="107" ht="16.5" customHeight="1"/>
    <row r="108" ht="16.5" customHeight="1"/>
    <row r="109" ht="16.5" customHeight="1"/>
    <row r="110" ht="16.5" customHeight="1"/>
    <row r="111" ht="16.5" customHeight="1"/>
    <row r="112" ht="16.5" customHeight="1"/>
    <row r="113" ht="16.5" customHeight="1"/>
    <row r="114" ht="16.5" customHeight="1"/>
    <row r="115" ht="16.5" customHeight="1"/>
    <row r="116" ht="16.5" customHeight="1"/>
    <row r="117" ht="16.5" customHeight="1"/>
    <row r="118" ht="16.5" customHeight="1"/>
    <row r="119" ht="16.5" customHeight="1"/>
    <row r="120" ht="16.5" customHeight="1"/>
    <row r="121" ht="16.5" customHeight="1"/>
    <row r="122" ht="16.5" customHeight="1"/>
    <row r="123" ht="16.5" customHeight="1"/>
    <row r="124" ht="16.5" customHeight="1"/>
    <row r="125" ht="16.5" customHeight="1"/>
    <row r="126" ht="16.5" customHeight="1"/>
    <row r="127" ht="16.5" customHeight="1"/>
    <row r="128" ht="16.5" customHeight="1"/>
    <row r="129" ht="16.5" customHeight="1"/>
    <row r="130" ht="16.5" customHeight="1"/>
    <row r="131" ht="16.5" customHeight="1"/>
    <row r="132" ht="16.5" customHeight="1"/>
    <row r="133" ht="16.5" customHeight="1"/>
    <row r="134" ht="16.5" customHeight="1"/>
    <row r="135" ht="16.5" customHeight="1"/>
    <row r="136" ht="16.5" customHeight="1"/>
    <row r="137" ht="16.5" customHeight="1"/>
    <row r="138" ht="16.5" customHeight="1"/>
    <row r="139" ht="16.5" customHeight="1"/>
    <row r="140" ht="16.5" customHeight="1"/>
    <row r="141" ht="16.5" customHeight="1"/>
    <row r="142" ht="16.5" customHeight="1"/>
    <row r="143" ht="16.5" customHeight="1"/>
    <row r="144" ht="16.5" customHeight="1"/>
    <row r="145" ht="16.5" customHeight="1"/>
    <row r="146" ht="16.5" customHeight="1"/>
    <row r="147" ht="16.5" customHeight="1"/>
    <row r="148" ht="16.5" customHeight="1"/>
    <row r="149" ht="16.5" customHeight="1"/>
    <row r="150" ht="16.5" customHeight="1"/>
    <row r="151" ht="16.5" customHeight="1"/>
    <row r="152" ht="16.5" customHeight="1"/>
    <row r="153" ht="16.5" customHeight="1"/>
    <row r="154" ht="16.5" customHeight="1"/>
    <row r="155" ht="16.5" customHeight="1"/>
    <row r="156" ht="16.5" customHeight="1"/>
    <row r="157" ht="16.5" customHeight="1"/>
    <row r="158" ht="16.5" customHeight="1"/>
    <row r="159" ht="16.5" customHeight="1"/>
    <row r="160" ht="16.5" customHeight="1"/>
    <row r="161" ht="16.5" customHeight="1"/>
    <row r="162" ht="16.5" customHeight="1"/>
    <row r="163" ht="16.5" customHeight="1"/>
    <row r="164" ht="16.5" customHeight="1"/>
    <row r="165" ht="16.5" customHeight="1"/>
    <row r="166" ht="16.5" customHeight="1"/>
    <row r="167" ht="16.5" customHeight="1"/>
    <row r="168" ht="16.5" customHeight="1"/>
    <row r="169" ht="16.5" customHeight="1"/>
    <row r="170" ht="16.5" customHeight="1"/>
    <row r="171" ht="16.5" customHeight="1"/>
    <row r="172" ht="16.5" customHeight="1"/>
    <row r="173" ht="16.5" customHeight="1"/>
    <row r="174" ht="16.5" customHeight="1"/>
    <row r="175" ht="16.5" customHeight="1"/>
    <row r="176" ht="16.5" customHeight="1"/>
    <row r="177" ht="16.5" customHeight="1"/>
    <row r="178" ht="16.5" customHeight="1"/>
    <row r="179" ht="16.5" customHeight="1"/>
    <row r="180" ht="16.5" customHeight="1"/>
    <row r="181" ht="16.5" customHeight="1"/>
    <row r="182" ht="16.5" customHeight="1"/>
    <row r="183" ht="16.5" customHeight="1"/>
    <row r="184" ht="16.5" customHeight="1"/>
    <row r="185" ht="16.5" customHeight="1"/>
    <row r="186" ht="16.5" customHeight="1"/>
    <row r="187" ht="16.5" customHeight="1"/>
    <row r="188" ht="16.5" customHeight="1"/>
    <row r="189" ht="16.5" customHeight="1"/>
    <row r="190" ht="16.5" customHeight="1"/>
    <row r="191" ht="16.5" customHeight="1"/>
    <row r="192" ht="16.5" customHeight="1"/>
    <row r="193" ht="16.5" customHeight="1"/>
    <row r="194" ht="16.5" customHeight="1"/>
    <row r="195" ht="16.5" customHeight="1"/>
    <row r="196" ht="16.5" customHeight="1"/>
    <row r="197" ht="16.5" customHeight="1"/>
    <row r="198" ht="16.5" customHeight="1"/>
    <row r="199" ht="16.5" customHeight="1"/>
    <row r="200" ht="16.5" customHeight="1"/>
    <row r="201" ht="16.5" customHeight="1"/>
    <row r="202" ht="16.5" customHeight="1"/>
    <row r="203" ht="16.5" customHeight="1"/>
    <row r="204" ht="16.5" customHeight="1"/>
    <row r="205" ht="16.5" customHeight="1"/>
    <row r="206" ht="16.5" customHeight="1"/>
    <row r="207" ht="16.5" customHeight="1"/>
    <row r="208" ht="16.5" customHeight="1"/>
    <row r="209" ht="16.5" customHeight="1"/>
    <row r="210" ht="16.5" customHeight="1"/>
    <row r="211" ht="16.5" customHeight="1"/>
    <row r="212" ht="16.5" customHeight="1"/>
    <row r="213" ht="16.5" customHeight="1"/>
    <row r="214" ht="16.5" customHeight="1"/>
    <row r="215" ht="16.5" customHeight="1"/>
    <row r="216" ht="16.5" customHeight="1"/>
    <row r="217" ht="16.5" customHeight="1"/>
    <row r="218" ht="16.5" customHeight="1"/>
    <row r="219" ht="16.5" customHeight="1"/>
    <row r="220" ht="16.5" customHeight="1"/>
    <row r="221" ht="16.5" customHeight="1"/>
    <row r="222" ht="16.5" customHeight="1"/>
    <row r="223" ht="16.5" customHeight="1"/>
    <row r="224" ht="16.5" customHeight="1"/>
    <row r="225" ht="16.5" customHeight="1"/>
    <row r="226" ht="16.5" customHeight="1"/>
    <row r="227" ht="16.5" customHeight="1"/>
    <row r="228" ht="16.5" customHeight="1"/>
    <row r="229" ht="16.5" customHeight="1"/>
    <row r="230" ht="16.5" customHeight="1"/>
    <row r="231" ht="16.5" customHeight="1"/>
    <row r="232" ht="16.5" customHeight="1"/>
    <row r="233" ht="16.5" customHeight="1"/>
    <row r="234" ht="16.5" customHeight="1"/>
    <row r="235" ht="16.5" customHeight="1"/>
    <row r="236" ht="16.5" customHeight="1"/>
    <row r="237" ht="16.5" customHeight="1"/>
    <row r="238" ht="16.5" customHeight="1"/>
    <row r="239" ht="16.5" customHeight="1"/>
    <row r="240" ht="16.5" customHeight="1"/>
    <row r="241" ht="16.5" customHeight="1"/>
    <row r="242" ht="16.5" customHeight="1"/>
    <row r="243" ht="16.5" customHeight="1"/>
    <row r="244" ht="16.5" customHeight="1"/>
    <row r="245" ht="16.5" customHeight="1"/>
    <row r="246" ht="16.5" customHeight="1"/>
    <row r="247" ht="16.5" customHeight="1"/>
    <row r="248" ht="16.5" customHeight="1"/>
    <row r="249" ht="16.5" customHeight="1"/>
    <row r="250" ht="16.5" customHeight="1"/>
    <row r="251" ht="16.5" customHeight="1"/>
    <row r="252" ht="16.5" customHeight="1"/>
    <row r="253" ht="16.5" customHeight="1"/>
    <row r="254" ht="16.5" customHeight="1"/>
    <row r="255" ht="16.5" customHeight="1"/>
    <row r="256" ht="16.5" customHeight="1"/>
    <row r="257" ht="16.5" customHeight="1"/>
    <row r="258" ht="16.5" customHeight="1"/>
    <row r="259" ht="16.5" customHeight="1"/>
    <row r="260" ht="16.5" customHeight="1"/>
    <row r="261" ht="16.5" customHeight="1"/>
    <row r="262" ht="16.5" customHeight="1"/>
    <row r="263" ht="16.5" customHeight="1"/>
    <row r="264" ht="16.5" customHeight="1"/>
    <row r="265" ht="16.5" customHeight="1"/>
    <row r="266" ht="16.5" customHeight="1"/>
    <row r="267" ht="16.5" customHeight="1"/>
    <row r="268" ht="16.5" customHeight="1"/>
    <row r="269" ht="16.5" customHeight="1"/>
    <row r="270" ht="16.5" customHeight="1"/>
    <row r="271" ht="16.5" customHeight="1"/>
    <row r="272" ht="16.5" customHeight="1"/>
    <row r="273" ht="16.5" customHeight="1"/>
    <row r="274" ht="16.5" customHeight="1"/>
    <row r="275" ht="16.5" customHeight="1"/>
    <row r="276" ht="16.5" customHeight="1"/>
    <row r="277" ht="16.5" customHeight="1"/>
    <row r="278" ht="16.5" customHeight="1"/>
    <row r="279" ht="16.5" customHeight="1"/>
    <row r="280" ht="16.5" customHeight="1"/>
    <row r="281" ht="16.5" customHeight="1"/>
    <row r="282" ht="16.5" customHeight="1"/>
    <row r="283" ht="16.5" customHeight="1"/>
    <row r="284" ht="16.5" customHeight="1"/>
    <row r="285" ht="16.5" customHeight="1"/>
    <row r="286" ht="16.5" customHeight="1"/>
    <row r="287" ht="16.5" customHeight="1"/>
    <row r="288" ht="16.5" customHeight="1"/>
    <row r="289" ht="16.5" customHeight="1"/>
    <row r="290" ht="16.5" customHeight="1"/>
    <row r="291" ht="16.5" customHeight="1"/>
    <row r="292" ht="16.5" customHeight="1"/>
    <row r="293" ht="16.5" customHeight="1"/>
    <row r="294" ht="16.5" customHeight="1"/>
    <row r="295" ht="16.5" customHeight="1"/>
    <row r="296" ht="16.5" customHeight="1"/>
    <row r="297" ht="16.5" customHeight="1"/>
    <row r="299" ht="16.5" customHeight="1"/>
    <row r="300" ht="16.5" customHeight="1"/>
    <row r="301" ht="16.5" customHeight="1"/>
  </sheetData>
  <mergeCells count="6">
    <mergeCell ref="B1:E1"/>
    <mergeCell ref="F1:I1"/>
    <mergeCell ref="B2:E2"/>
    <mergeCell ref="F2:I2"/>
    <mergeCell ref="B10:E10"/>
    <mergeCell ref="F10:I10"/>
  </mergeCells>
  <phoneticPr fontId="5" type="noConversion"/>
  <pageMargins left="0.7" right="0.7" top="0.75" bottom="0.75" header="0.3" footer="0.3"/>
  <pageSetup paperSize="9" orientation="portrait" horizontalDpi="0" verticalDpi="0"/>
</worksheet>
</file>

<file path=xl/worksheets/sheet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75CBF2F-BDFB-46C9-B85A-4F9940706BD8}">
  <sheetPr codeName="工作表58"/>
  <dimension ref="A1:I112"/>
  <sheetViews>
    <sheetView workbookViewId="0">
      <selection activeCell="C10" sqref="C10"/>
    </sheetView>
  </sheetViews>
  <sheetFormatPr defaultColWidth="6.625" defaultRowHeight="13.5"/>
  <cols>
    <col min="1" max="1" width="3.125" style="4" bestFit="1" customWidth="1"/>
    <col min="2" max="2" width="5.5" style="8" customWidth="1"/>
    <col min="3" max="3" width="26.5" style="4" customWidth="1"/>
    <col min="4" max="4" width="30.125" style="4" customWidth="1"/>
    <col min="5" max="5" width="11.125" style="4" bestFit="1" customWidth="1"/>
    <col min="6" max="6" width="10.375" style="4" customWidth="1"/>
    <col min="7" max="7" width="50.625" style="4" customWidth="1"/>
    <col min="8" max="8" width="45.625" style="4" customWidth="1"/>
    <col min="9" max="9" width="30.125" style="4" customWidth="1"/>
    <col min="10" max="16384" width="6.625" style="4"/>
  </cols>
  <sheetData>
    <row r="1" spans="1:9" ht="24">
      <c r="A1" s="1" t="e">
        <f ca="1">HYPERLINK("#'介面'!E"&amp;MATCH(VALUE(RIGHT(CELL("filename"),LEN(CELL("filename"))-FIND("]",CELL("filename")))),介面!D:D,"0"),"←")</f>
        <v>#VALUE!</v>
      </c>
      <c r="B1" s="207" t="s">
        <v>158</v>
      </c>
      <c r="C1" s="208"/>
      <c r="D1" s="208"/>
      <c r="E1" s="209"/>
      <c r="F1" s="207" t="s">
        <v>2051</v>
      </c>
      <c r="G1" s="208"/>
      <c r="H1" s="208"/>
      <c r="I1" s="208"/>
    </row>
    <row r="2" spans="1:9" ht="24">
      <c r="A2" s="1"/>
      <c r="B2" s="210" t="s">
        <v>275</v>
      </c>
      <c r="C2" s="211"/>
      <c r="D2" s="211"/>
      <c r="E2" s="212"/>
      <c r="F2" s="210"/>
      <c r="G2" s="211"/>
      <c r="H2" s="211"/>
      <c r="I2" s="212"/>
    </row>
    <row r="3" spans="1:9" s="8" customFormat="1" ht="15">
      <c r="A3" s="6"/>
      <c r="B3" s="7" t="s">
        <v>276</v>
      </c>
      <c r="C3" s="56" t="s">
        <v>277</v>
      </c>
      <c r="D3" s="56" t="s">
        <v>278</v>
      </c>
      <c r="E3" s="57" t="s">
        <v>279</v>
      </c>
      <c r="F3" s="57" t="s">
        <v>280</v>
      </c>
      <c r="G3" s="56" t="s">
        <v>281</v>
      </c>
      <c r="H3" s="141" t="s">
        <v>11</v>
      </c>
      <c r="I3" s="56" t="s">
        <v>282</v>
      </c>
    </row>
    <row r="4" spans="1:9" s="24" customFormat="1" ht="15.75">
      <c r="A4" s="25"/>
      <c r="B4" s="46">
        <v>1</v>
      </c>
      <c r="C4" s="80" t="s">
        <v>297</v>
      </c>
      <c r="D4" s="80" t="s">
        <v>298</v>
      </c>
      <c r="E4" s="81" t="s">
        <v>285</v>
      </c>
      <c r="F4" s="81">
        <v>500</v>
      </c>
      <c r="G4" s="66" t="s">
        <v>330</v>
      </c>
      <c r="H4" s="142" t="s">
        <v>302</v>
      </c>
      <c r="I4" s="66" t="s">
        <v>287</v>
      </c>
    </row>
    <row r="5" spans="1:9" s="24" customFormat="1" ht="15">
      <c r="A5" s="25"/>
      <c r="B5" s="46">
        <v>2</v>
      </c>
      <c r="C5" s="50" t="s">
        <v>303</v>
      </c>
      <c r="D5" s="76" t="s">
        <v>304</v>
      </c>
      <c r="E5" s="51" t="s">
        <v>296</v>
      </c>
      <c r="F5" s="51">
        <v>20</v>
      </c>
      <c r="G5" s="66" t="s">
        <v>331</v>
      </c>
      <c r="H5" s="142"/>
      <c r="I5" s="19" t="s">
        <v>287</v>
      </c>
    </row>
    <row r="6" spans="1:9" s="95" customFormat="1" ht="15.75">
      <c r="A6" s="93"/>
      <c r="B6" s="46">
        <v>3</v>
      </c>
      <c r="C6" s="80" t="s">
        <v>2052</v>
      </c>
      <c r="D6" s="80" t="s">
        <v>2053</v>
      </c>
      <c r="E6" s="81" t="s">
        <v>326</v>
      </c>
      <c r="F6" s="81">
        <v>4</v>
      </c>
      <c r="G6" s="91" t="s">
        <v>2054</v>
      </c>
      <c r="H6" s="142"/>
      <c r="I6" s="19" t="s">
        <v>287</v>
      </c>
    </row>
    <row r="7" spans="1:9" s="95" customFormat="1" ht="15.75">
      <c r="A7" s="93"/>
      <c r="B7" s="46">
        <v>4</v>
      </c>
      <c r="C7" s="80" t="s">
        <v>2055</v>
      </c>
      <c r="D7" s="80" t="s">
        <v>2056</v>
      </c>
      <c r="E7" s="81" t="s">
        <v>285</v>
      </c>
      <c r="F7" s="81">
        <v>6</v>
      </c>
      <c r="G7" s="91" t="s">
        <v>2057</v>
      </c>
      <c r="H7" s="66"/>
      <c r="I7" s="19" t="s">
        <v>287</v>
      </c>
    </row>
    <row r="8" spans="1:9" s="95" customFormat="1" ht="15.75">
      <c r="A8" s="93"/>
      <c r="B8" s="46">
        <v>5</v>
      </c>
      <c r="C8" s="80" t="s">
        <v>2058</v>
      </c>
      <c r="D8" s="80" t="s">
        <v>2059</v>
      </c>
      <c r="E8" s="81" t="s">
        <v>285</v>
      </c>
      <c r="F8" s="81">
        <v>6</v>
      </c>
      <c r="G8" s="91" t="s">
        <v>2060</v>
      </c>
      <c r="H8" s="66"/>
      <c r="I8" s="19" t="s">
        <v>287</v>
      </c>
    </row>
    <row r="9" spans="1:9" s="24" customFormat="1" ht="15">
      <c r="A9" s="25"/>
      <c r="B9" s="46">
        <v>6</v>
      </c>
      <c r="C9" s="50" t="s">
        <v>637</v>
      </c>
      <c r="D9" s="50" t="s">
        <v>364</v>
      </c>
      <c r="E9" s="51" t="s">
        <v>296</v>
      </c>
      <c r="F9" s="51">
        <v>20</v>
      </c>
      <c r="G9" s="66" t="s">
        <v>331</v>
      </c>
      <c r="H9" s="66" t="s">
        <v>638</v>
      </c>
      <c r="I9" s="66" t="s">
        <v>639</v>
      </c>
    </row>
    <row r="10" spans="1:9" s="24" customFormat="1" ht="15">
      <c r="A10" s="25"/>
      <c r="B10" s="46">
        <v>7</v>
      </c>
      <c r="C10" s="50" t="s">
        <v>640</v>
      </c>
      <c r="D10" s="76" t="s">
        <v>641</v>
      </c>
      <c r="E10" s="51" t="s">
        <v>418</v>
      </c>
      <c r="F10" s="51">
        <v>11</v>
      </c>
      <c r="G10" s="66" t="s">
        <v>642</v>
      </c>
      <c r="H10" s="66" t="s">
        <v>638</v>
      </c>
      <c r="I10" s="66" t="s">
        <v>639</v>
      </c>
    </row>
    <row r="11" spans="1:9" ht="15.75">
      <c r="A11" s="1"/>
      <c r="B11" s="2"/>
      <c r="C11" s="3"/>
      <c r="D11" s="3"/>
      <c r="E11" s="3"/>
      <c r="F11" s="3"/>
      <c r="G11" s="3"/>
      <c r="H11" s="3"/>
      <c r="I11" s="3"/>
    </row>
    <row r="12" spans="1:9" ht="24">
      <c r="A12" s="1"/>
      <c r="B12" s="204" t="s">
        <v>291</v>
      </c>
      <c r="C12" s="205"/>
      <c r="D12" s="205"/>
      <c r="E12" s="206"/>
      <c r="F12" s="204"/>
      <c r="G12" s="205"/>
      <c r="H12" s="205"/>
      <c r="I12" s="206"/>
    </row>
    <row r="13" spans="1:9" s="8" customFormat="1" ht="15">
      <c r="A13" s="6"/>
      <c r="B13" s="7" t="s">
        <v>276</v>
      </c>
      <c r="C13" s="56" t="s">
        <v>277</v>
      </c>
      <c r="D13" s="56" t="s">
        <v>278</v>
      </c>
      <c r="E13" s="57" t="s">
        <v>279</v>
      </c>
      <c r="F13" s="57" t="s">
        <v>280</v>
      </c>
      <c r="G13" s="56" t="s">
        <v>11</v>
      </c>
      <c r="H13" s="56" t="s">
        <v>292</v>
      </c>
      <c r="I13" s="56" t="s">
        <v>293</v>
      </c>
    </row>
    <row r="14" spans="1:9" s="24" customFormat="1" ht="15.75">
      <c r="A14" s="25"/>
      <c r="B14" s="23">
        <v>1</v>
      </c>
      <c r="C14" s="26" t="s">
        <v>1660</v>
      </c>
      <c r="D14" s="26" t="s">
        <v>1661</v>
      </c>
      <c r="E14" s="27" t="s">
        <v>296</v>
      </c>
      <c r="F14" s="27">
        <v>20</v>
      </c>
      <c r="G14" s="85"/>
      <c r="H14" s="82"/>
      <c r="I14" s="82"/>
    </row>
    <row r="15" spans="1:9" s="24" customFormat="1" ht="15">
      <c r="A15" s="22"/>
      <c r="B15" s="23">
        <f>B14+1</f>
        <v>2</v>
      </c>
      <c r="C15" s="26" t="s">
        <v>2061</v>
      </c>
      <c r="D15" s="26" t="s">
        <v>2062</v>
      </c>
      <c r="E15" s="27" t="s">
        <v>456</v>
      </c>
      <c r="F15" s="27">
        <v>100</v>
      </c>
      <c r="G15" s="28"/>
      <c r="H15" s="28"/>
      <c r="I15" s="28"/>
    </row>
    <row r="16" spans="1:9" ht="15">
      <c r="A16" s="5"/>
      <c r="B16" s="23">
        <f t="shared" ref="B16:B40" si="0">B15+1</f>
        <v>3</v>
      </c>
      <c r="C16" s="67" t="s">
        <v>453</v>
      </c>
      <c r="D16" s="67" t="s">
        <v>304</v>
      </c>
      <c r="E16" s="68" t="s">
        <v>452</v>
      </c>
      <c r="F16" s="68">
        <v>20</v>
      </c>
      <c r="G16" s="69"/>
      <c r="H16" s="66" t="s">
        <v>1924</v>
      </c>
      <c r="I16" s="66" t="s">
        <v>304</v>
      </c>
    </row>
    <row r="17" spans="1:9" s="24" customFormat="1" ht="15.75">
      <c r="A17" s="25"/>
      <c r="B17" s="23">
        <f t="shared" si="0"/>
        <v>4</v>
      </c>
      <c r="C17" s="80" t="s">
        <v>637</v>
      </c>
      <c r="D17" s="80" t="s">
        <v>364</v>
      </c>
      <c r="E17" s="81" t="s">
        <v>296</v>
      </c>
      <c r="F17" s="81">
        <v>20</v>
      </c>
      <c r="G17" s="85"/>
      <c r="H17" s="66" t="s">
        <v>84</v>
      </c>
      <c r="I17" s="82" t="s">
        <v>364</v>
      </c>
    </row>
    <row r="18" spans="1:9" s="24" customFormat="1" ht="15">
      <c r="A18" s="22"/>
      <c r="B18" s="23">
        <f t="shared" si="0"/>
        <v>5</v>
      </c>
      <c r="C18" s="26" t="s">
        <v>2063</v>
      </c>
      <c r="D18" s="26" t="s">
        <v>2064</v>
      </c>
      <c r="E18" s="27" t="s">
        <v>326</v>
      </c>
      <c r="F18" s="27">
        <v>4</v>
      </c>
      <c r="G18" s="29" t="s">
        <v>2065</v>
      </c>
      <c r="H18" s="28" t="s">
        <v>2066</v>
      </c>
      <c r="I18" s="28"/>
    </row>
    <row r="19" spans="1:9" s="24" customFormat="1" ht="30">
      <c r="A19" s="22"/>
      <c r="B19" s="23">
        <f t="shared" si="0"/>
        <v>6</v>
      </c>
      <c r="C19" s="26" t="s">
        <v>2067</v>
      </c>
      <c r="D19" s="50" t="s">
        <v>2068</v>
      </c>
      <c r="E19" s="51" t="s">
        <v>316</v>
      </c>
      <c r="F19" s="27"/>
      <c r="G19" s="29" t="s">
        <v>2069</v>
      </c>
      <c r="H19" s="28"/>
      <c r="I19" s="28"/>
    </row>
    <row r="20" spans="1:9" s="24" customFormat="1" ht="15">
      <c r="A20" s="22"/>
      <c r="B20" s="23">
        <f t="shared" si="0"/>
        <v>7</v>
      </c>
      <c r="C20" s="26" t="s">
        <v>2070</v>
      </c>
      <c r="D20" s="26" t="s">
        <v>2071</v>
      </c>
      <c r="E20" s="27" t="s">
        <v>316</v>
      </c>
      <c r="F20" s="27"/>
      <c r="G20" s="28"/>
      <c r="H20" s="28"/>
      <c r="I20" s="28"/>
    </row>
    <row r="21" spans="1:9" s="24" customFormat="1" ht="15">
      <c r="A21" s="22"/>
      <c r="B21" s="23">
        <f t="shared" si="0"/>
        <v>8</v>
      </c>
      <c r="C21" s="26" t="s">
        <v>2072</v>
      </c>
      <c r="D21" s="26" t="s">
        <v>2073</v>
      </c>
      <c r="E21" s="27" t="s">
        <v>316</v>
      </c>
      <c r="F21" s="27"/>
      <c r="G21" s="28" t="s">
        <v>2074</v>
      </c>
      <c r="H21" s="28"/>
      <c r="I21" s="28"/>
    </row>
    <row r="22" spans="1:9" s="24" customFormat="1" ht="15.75">
      <c r="A22" s="25"/>
      <c r="B22" s="23">
        <f t="shared" si="0"/>
        <v>9</v>
      </c>
      <c r="C22" s="26" t="s">
        <v>2075</v>
      </c>
      <c r="D22" s="26" t="s">
        <v>2076</v>
      </c>
      <c r="E22" s="74" t="s">
        <v>1576</v>
      </c>
      <c r="F22" s="72" t="s">
        <v>2007</v>
      </c>
      <c r="G22" s="89"/>
      <c r="H22" s="28"/>
      <c r="I22" s="28"/>
    </row>
    <row r="23" spans="1:9" s="24" customFormat="1" ht="15.75">
      <c r="A23" s="25"/>
      <c r="B23" s="23">
        <f t="shared" si="0"/>
        <v>10</v>
      </c>
      <c r="C23" s="26" t="s">
        <v>2077</v>
      </c>
      <c r="D23" s="26" t="s">
        <v>2078</v>
      </c>
      <c r="E23" s="74" t="s">
        <v>1576</v>
      </c>
      <c r="F23" s="72" t="s">
        <v>2007</v>
      </c>
      <c r="G23" s="89"/>
      <c r="H23" s="28"/>
      <c r="I23" s="28"/>
    </row>
    <row r="24" spans="1:9" s="24" customFormat="1" ht="15.75">
      <c r="A24" s="25"/>
      <c r="B24" s="23">
        <f t="shared" si="0"/>
        <v>11</v>
      </c>
      <c r="C24" s="26" t="s">
        <v>2079</v>
      </c>
      <c r="D24" s="26" t="s">
        <v>2080</v>
      </c>
      <c r="E24" s="74" t="s">
        <v>1576</v>
      </c>
      <c r="F24" s="72" t="s">
        <v>2007</v>
      </c>
      <c r="G24" s="89"/>
      <c r="H24" s="28"/>
      <c r="I24" s="28"/>
    </row>
    <row r="25" spans="1:9" ht="16.5" customHeight="1">
      <c r="B25" s="23">
        <f t="shared" si="0"/>
        <v>12</v>
      </c>
      <c r="C25" s="26" t="s">
        <v>438</v>
      </c>
      <c r="D25" s="26" t="s">
        <v>439</v>
      </c>
      <c r="E25" s="27" t="s">
        <v>296</v>
      </c>
      <c r="F25" s="27">
        <v>20</v>
      </c>
      <c r="G25" s="29"/>
      <c r="H25" s="28" t="s">
        <v>47</v>
      </c>
      <c r="I25" s="26" t="s">
        <v>439</v>
      </c>
    </row>
    <row r="26" spans="1:9" ht="16.5" customHeight="1">
      <c r="B26" s="23">
        <f t="shared" si="0"/>
        <v>13</v>
      </c>
      <c r="C26" s="90" t="s">
        <v>828</v>
      </c>
      <c r="D26" s="90" t="s">
        <v>2081</v>
      </c>
      <c r="E26" s="87" t="s">
        <v>296</v>
      </c>
      <c r="F26" s="87">
        <v>20</v>
      </c>
      <c r="G26" s="88" t="s">
        <v>830</v>
      </c>
      <c r="H26" s="28" t="s">
        <v>43</v>
      </c>
      <c r="I26" s="89" t="s">
        <v>339</v>
      </c>
    </row>
    <row r="27" spans="1:9" ht="16.5" customHeight="1">
      <c r="B27" s="23">
        <f t="shared" si="0"/>
        <v>14</v>
      </c>
      <c r="C27" s="90" t="s">
        <v>835</v>
      </c>
      <c r="D27" s="90" t="s">
        <v>2082</v>
      </c>
      <c r="E27" s="87" t="s">
        <v>296</v>
      </c>
      <c r="F27" s="87">
        <v>20</v>
      </c>
      <c r="G27" s="88" t="s">
        <v>837</v>
      </c>
      <c r="H27" s="28" t="s">
        <v>43</v>
      </c>
      <c r="I27" s="89" t="s">
        <v>339</v>
      </c>
    </row>
    <row r="28" spans="1:9" ht="16.5" customHeight="1">
      <c r="B28" s="23">
        <f t="shared" si="0"/>
        <v>15</v>
      </c>
      <c r="C28" s="90" t="s">
        <v>843</v>
      </c>
      <c r="D28" s="90" t="s">
        <v>2083</v>
      </c>
      <c r="E28" s="87" t="s">
        <v>296</v>
      </c>
      <c r="F28" s="87">
        <v>20</v>
      </c>
      <c r="G28" s="88" t="s">
        <v>845</v>
      </c>
      <c r="H28" s="28" t="s">
        <v>43</v>
      </c>
      <c r="I28" s="89" t="s">
        <v>339</v>
      </c>
    </row>
    <row r="29" spans="1:9" ht="16.5" customHeight="1">
      <c r="B29" s="23">
        <f t="shared" si="0"/>
        <v>16</v>
      </c>
      <c r="C29" s="90" t="s">
        <v>850</v>
      </c>
      <c r="D29" s="90" t="s">
        <v>2084</v>
      </c>
      <c r="E29" s="87" t="s">
        <v>296</v>
      </c>
      <c r="F29" s="87">
        <v>20</v>
      </c>
      <c r="G29" s="88" t="s">
        <v>852</v>
      </c>
      <c r="H29" s="28" t="s">
        <v>43</v>
      </c>
      <c r="I29" s="89" t="s">
        <v>339</v>
      </c>
    </row>
    <row r="30" spans="1:9" ht="16.5" customHeight="1">
      <c r="B30" s="23">
        <f t="shared" si="0"/>
        <v>17</v>
      </c>
      <c r="C30" s="90" t="s">
        <v>857</v>
      </c>
      <c r="D30" s="90" t="s">
        <v>2085</v>
      </c>
      <c r="E30" s="87" t="s">
        <v>296</v>
      </c>
      <c r="F30" s="87">
        <v>20</v>
      </c>
      <c r="G30" s="88" t="s">
        <v>859</v>
      </c>
      <c r="H30" s="28" t="s">
        <v>43</v>
      </c>
      <c r="I30" s="89" t="s">
        <v>339</v>
      </c>
    </row>
    <row r="31" spans="1:9" ht="16.5" customHeight="1">
      <c r="B31" s="23">
        <f t="shared" si="0"/>
        <v>18</v>
      </c>
      <c r="C31" s="129" t="s">
        <v>2086</v>
      </c>
      <c r="D31" s="86" t="s">
        <v>475</v>
      </c>
      <c r="E31" s="87" t="s">
        <v>296</v>
      </c>
      <c r="F31" s="87">
        <v>20</v>
      </c>
      <c r="G31" s="129"/>
      <c r="H31" s="28" t="s">
        <v>2087</v>
      </c>
      <c r="I31" s="89" t="s">
        <v>475</v>
      </c>
    </row>
    <row r="32" spans="1:9" ht="16.5" customHeight="1">
      <c r="B32" s="23">
        <f t="shared" si="0"/>
        <v>19</v>
      </c>
      <c r="C32" s="129" t="s">
        <v>2088</v>
      </c>
      <c r="D32" s="86" t="s">
        <v>466</v>
      </c>
      <c r="E32" s="87" t="s">
        <v>296</v>
      </c>
      <c r="F32" s="87">
        <v>20</v>
      </c>
      <c r="G32" s="129"/>
      <c r="H32" s="28" t="s">
        <v>2089</v>
      </c>
      <c r="I32" s="89" t="s">
        <v>466</v>
      </c>
    </row>
    <row r="33" spans="2:9" ht="16.5" customHeight="1">
      <c r="B33" s="23">
        <f t="shared" si="0"/>
        <v>20</v>
      </c>
      <c r="C33" s="129" t="s">
        <v>2090</v>
      </c>
      <c r="D33" s="86" t="s">
        <v>464</v>
      </c>
      <c r="E33" s="87" t="s">
        <v>296</v>
      </c>
      <c r="F33" s="87">
        <v>20</v>
      </c>
      <c r="G33" s="129"/>
      <c r="H33" s="28" t="s">
        <v>2091</v>
      </c>
      <c r="I33" s="86" t="s">
        <v>464</v>
      </c>
    </row>
    <row r="34" spans="2:9" ht="16.5" customHeight="1">
      <c r="B34" s="23">
        <f t="shared" si="0"/>
        <v>21</v>
      </c>
      <c r="C34" s="129" t="s">
        <v>2092</v>
      </c>
      <c r="D34" s="90" t="s">
        <v>527</v>
      </c>
      <c r="E34" s="87" t="s">
        <v>296</v>
      </c>
      <c r="F34" s="87">
        <v>20</v>
      </c>
      <c r="G34" s="129"/>
      <c r="H34" s="28" t="s">
        <v>2093</v>
      </c>
      <c r="I34" s="89" t="s">
        <v>527</v>
      </c>
    </row>
    <row r="35" spans="2:9" ht="16.5" customHeight="1">
      <c r="B35" s="23">
        <f t="shared" si="0"/>
        <v>22</v>
      </c>
      <c r="C35" s="129" t="s">
        <v>897</v>
      </c>
      <c r="D35" s="90" t="s">
        <v>2094</v>
      </c>
      <c r="E35" s="87" t="s">
        <v>326</v>
      </c>
      <c r="F35" s="87">
        <v>4</v>
      </c>
      <c r="G35" s="129" t="s">
        <v>2095</v>
      </c>
      <c r="H35" s="28" t="s">
        <v>899</v>
      </c>
      <c r="I35" s="89"/>
    </row>
    <row r="36" spans="2:9" ht="16.5" customHeight="1">
      <c r="B36" s="23">
        <f t="shared" si="0"/>
        <v>23</v>
      </c>
      <c r="C36" s="129" t="s">
        <v>902</v>
      </c>
      <c r="D36" s="90" t="s">
        <v>2096</v>
      </c>
      <c r="E36" s="87" t="s">
        <v>326</v>
      </c>
      <c r="F36" s="87">
        <v>4</v>
      </c>
      <c r="G36" s="129" t="s">
        <v>2097</v>
      </c>
      <c r="H36" s="28" t="s">
        <v>904</v>
      </c>
      <c r="I36" s="89"/>
    </row>
    <row r="37" spans="2:9" ht="16.5" customHeight="1">
      <c r="B37" s="23">
        <f t="shared" si="0"/>
        <v>24</v>
      </c>
      <c r="C37" s="129" t="s">
        <v>907</v>
      </c>
      <c r="D37" s="90" t="s">
        <v>2098</v>
      </c>
      <c r="E37" s="87" t="s">
        <v>326</v>
      </c>
      <c r="F37" s="87">
        <v>4</v>
      </c>
      <c r="G37" s="129" t="s">
        <v>2099</v>
      </c>
      <c r="H37" s="28" t="s">
        <v>909</v>
      </c>
      <c r="I37" s="89"/>
    </row>
    <row r="38" spans="2:9" ht="16.5" customHeight="1">
      <c r="B38" s="23">
        <f t="shared" si="0"/>
        <v>25</v>
      </c>
      <c r="C38" s="129" t="s">
        <v>2100</v>
      </c>
      <c r="D38" s="86" t="s">
        <v>536</v>
      </c>
      <c r="E38" s="87" t="s">
        <v>296</v>
      </c>
      <c r="F38" s="87">
        <v>20</v>
      </c>
      <c r="G38" s="129"/>
      <c r="H38" s="28" t="s">
        <v>2101</v>
      </c>
      <c r="I38" s="86" t="s">
        <v>536</v>
      </c>
    </row>
    <row r="39" spans="2:9" ht="16.5" customHeight="1">
      <c r="B39" s="23">
        <f t="shared" si="0"/>
        <v>26</v>
      </c>
      <c r="C39" s="129" t="s">
        <v>2102</v>
      </c>
      <c r="D39" s="86" t="s">
        <v>916</v>
      </c>
      <c r="E39" s="87" t="s">
        <v>296</v>
      </c>
      <c r="F39" s="87">
        <v>20</v>
      </c>
      <c r="G39" s="129"/>
      <c r="H39" s="28" t="s">
        <v>2103</v>
      </c>
      <c r="I39" s="86" t="s">
        <v>916</v>
      </c>
    </row>
    <row r="40" spans="2:9" ht="16.5" customHeight="1">
      <c r="B40" s="23">
        <f t="shared" si="0"/>
        <v>27</v>
      </c>
      <c r="C40" s="129" t="s">
        <v>2104</v>
      </c>
      <c r="D40" s="90" t="s">
        <v>557</v>
      </c>
      <c r="E40" s="87" t="s">
        <v>296</v>
      </c>
      <c r="F40" s="87">
        <v>20</v>
      </c>
      <c r="G40" s="129"/>
      <c r="H40" s="28" t="s">
        <v>2105</v>
      </c>
      <c r="I40" s="89" t="s">
        <v>557</v>
      </c>
    </row>
    <row r="41" spans="2:9" ht="16.5" customHeight="1">
      <c r="B41" s="21"/>
    </row>
    <row r="42" spans="2:9" ht="16.5" customHeight="1">
      <c r="B42" s="45"/>
    </row>
    <row r="43" spans="2:9" ht="16.5" customHeight="1">
      <c r="B43" s="20"/>
    </row>
    <row r="44" spans="2:9" ht="16.5" customHeight="1">
      <c r="B44" s="45"/>
    </row>
    <row r="45" spans="2:9" ht="16.5" customHeight="1"/>
    <row r="46" spans="2:9" ht="16.5" customHeight="1"/>
    <row r="47" spans="2:9" ht="16.5" customHeight="1"/>
    <row r="48" spans="2:9" ht="16.5" customHeight="1"/>
    <row r="49" ht="16.5" customHeight="1"/>
    <row r="50" ht="16.5" customHeight="1"/>
    <row r="51" ht="16.5" customHeight="1"/>
    <row r="52" ht="16.5" customHeight="1"/>
    <row r="53" ht="16.5" customHeight="1"/>
    <row r="54" ht="16.5" customHeight="1"/>
    <row r="55" ht="16.5" customHeight="1"/>
    <row r="56" ht="16.5" customHeight="1"/>
    <row r="57" ht="16.5" customHeight="1"/>
    <row r="58" ht="16.5" customHeight="1"/>
    <row r="59" ht="16.5" customHeight="1"/>
    <row r="60" ht="16.5" customHeight="1"/>
    <row r="61" ht="16.5" customHeight="1"/>
    <row r="62" ht="16.5" customHeight="1"/>
    <row r="63" ht="16.5" customHeight="1"/>
    <row r="64" ht="16.5" customHeight="1"/>
    <row r="65" ht="16.5" customHeight="1"/>
    <row r="66" ht="16.5" customHeight="1"/>
    <row r="67" ht="16.5" customHeight="1"/>
    <row r="68" ht="16.5" customHeight="1"/>
    <row r="69" ht="16.5" customHeight="1"/>
    <row r="70" ht="16.5" customHeight="1"/>
    <row r="71" ht="16.5" customHeight="1"/>
    <row r="72" ht="16.5" customHeight="1"/>
    <row r="73" ht="16.5" customHeight="1"/>
    <row r="74" ht="16.5" customHeight="1"/>
    <row r="75" ht="16.5" customHeight="1"/>
    <row r="76" ht="16.5" customHeight="1"/>
    <row r="77" ht="16.5" customHeight="1"/>
    <row r="78" ht="16.5" customHeight="1"/>
    <row r="79" ht="16.5" customHeight="1"/>
    <row r="80" ht="16.5" customHeight="1"/>
    <row r="81" ht="16.5" customHeight="1"/>
    <row r="82" ht="16.5" customHeight="1"/>
    <row r="83" ht="16.5" customHeight="1"/>
    <row r="84" ht="16.5" customHeight="1"/>
    <row r="85" ht="16.5" customHeight="1"/>
    <row r="86" ht="16.5" customHeight="1"/>
    <row r="87" ht="16.5" customHeight="1"/>
    <row r="88" ht="16.5" customHeight="1"/>
    <row r="89" ht="16.5" customHeight="1"/>
    <row r="90" ht="16.5" customHeight="1"/>
    <row r="91" ht="16.5" customHeight="1"/>
    <row r="92" ht="16.5" customHeight="1"/>
    <row r="93" ht="16.5" customHeight="1"/>
    <row r="94" ht="16.5" customHeight="1"/>
    <row r="95" ht="16.5" customHeight="1"/>
    <row r="96" ht="16.5" customHeight="1"/>
    <row r="97" ht="16.5" customHeight="1"/>
    <row r="98" ht="16.5" customHeight="1"/>
    <row r="99" ht="16.5" customHeight="1"/>
    <row r="100" ht="16.5" customHeight="1"/>
    <row r="101" ht="16.5" customHeight="1"/>
    <row r="102" ht="16.5" customHeight="1"/>
    <row r="103" ht="16.5" customHeight="1"/>
    <row r="104" ht="16.5" customHeight="1"/>
    <row r="105" ht="16.5" customHeight="1"/>
    <row r="106" ht="16.5" customHeight="1"/>
    <row r="107" ht="16.5" customHeight="1"/>
    <row r="108" ht="16.5" customHeight="1"/>
    <row r="109" ht="16.5" customHeight="1"/>
    <row r="110" ht="16.5" customHeight="1"/>
    <row r="111" ht="16.5" customHeight="1"/>
    <row r="112" ht="16.5" customHeight="1"/>
  </sheetData>
  <mergeCells count="6">
    <mergeCell ref="B12:E12"/>
    <mergeCell ref="F12:I12"/>
    <mergeCell ref="B1:E1"/>
    <mergeCell ref="F1:I1"/>
    <mergeCell ref="B2:E2"/>
    <mergeCell ref="F2:I2"/>
  </mergeCells>
  <phoneticPr fontId="5" type="noConversion"/>
  <pageMargins left="0.7" right="0.7" top="0.75" bottom="0.75" header="0.3" footer="0.3"/>
  <pageSetup paperSize="9" orientation="portrait" horizontalDpi="0" verticalDpi="0"/>
</worksheet>
</file>

<file path=xl/worksheets/sheet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747D0C3-2765-42C9-BE5B-7461D16048FA}">
  <sheetPr codeName="工作表59"/>
  <dimension ref="A1:I56"/>
  <sheetViews>
    <sheetView workbookViewId="0">
      <selection activeCell="C10" sqref="C10"/>
    </sheetView>
  </sheetViews>
  <sheetFormatPr defaultColWidth="6.625" defaultRowHeight="13.5"/>
  <cols>
    <col min="1" max="1" width="3.125" style="4" bestFit="1" customWidth="1"/>
    <col min="2" max="2" width="5.5" style="8" customWidth="1"/>
    <col min="3" max="3" width="26.5" style="4" customWidth="1"/>
    <col min="4" max="4" width="30.125" style="4" customWidth="1"/>
    <col min="5" max="5" width="11.125" style="4" bestFit="1" customWidth="1"/>
    <col min="6" max="6" width="10.375" style="4" customWidth="1"/>
    <col min="7" max="7" width="50.625" style="4" customWidth="1"/>
    <col min="8" max="8" width="45.625" style="4" customWidth="1"/>
    <col min="9" max="9" width="30.125" style="4" customWidth="1"/>
    <col min="10" max="16384" width="6.625" style="4"/>
  </cols>
  <sheetData>
    <row r="1" spans="1:9" ht="24">
      <c r="A1" s="1" t="e">
        <f ca="1">HYPERLINK("#'介面'!E"&amp;MATCH(VALUE(RIGHT(CELL("filename"),LEN(CELL("filename"))-FIND("]",CELL("filename")))),介面!D:D,"0"),"←")</f>
        <v>#VALUE!</v>
      </c>
      <c r="B1" s="207" t="s">
        <v>160</v>
      </c>
      <c r="C1" s="208"/>
      <c r="D1" s="208"/>
      <c r="E1" s="209"/>
      <c r="F1" s="207" t="s">
        <v>2106</v>
      </c>
      <c r="G1" s="208"/>
      <c r="H1" s="208"/>
      <c r="I1" s="208"/>
    </row>
    <row r="2" spans="1:9" ht="24">
      <c r="A2" s="1"/>
      <c r="B2" s="210" t="s">
        <v>275</v>
      </c>
      <c r="C2" s="211"/>
      <c r="D2" s="211"/>
      <c r="E2" s="212"/>
      <c r="F2" s="210"/>
      <c r="G2" s="211"/>
      <c r="H2" s="211"/>
      <c r="I2" s="212"/>
    </row>
    <row r="3" spans="1:9" s="8" customFormat="1" ht="15">
      <c r="A3" s="6"/>
      <c r="B3" s="7" t="s">
        <v>276</v>
      </c>
      <c r="C3" s="56" t="s">
        <v>277</v>
      </c>
      <c r="D3" s="56" t="s">
        <v>278</v>
      </c>
      <c r="E3" s="57" t="s">
        <v>279</v>
      </c>
      <c r="F3" s="57" t="s">
        <v>280</v>
      </c>
      <c r="G3" s="56" t="s">
        <v>281</v>
      </c>
      <c r="H3" s="141" t="s">
        <v>11</v>
      </c>
      <c r="I3" s="56" t="s">
        <v>282</v>
      </c>
    </row>
    <row r="4" spans="1:9" s="24" customFormat="1" ht="15.75">
      <c r="A4" s="25"/>
      <c r="B4" s="46">
        <v>1</v>
      </c>
      <c r="C4" s="80" t="s">
        <v>297</v>
      </c>
      <c r="D4" s="80" t="s">
        <v>298</v>
      </c>
      <c r="E4" s="81" t="s">
        <v>285</v>
      </c>
      <c r="F4" s="81">
        <v>500</v>
      </c>
      <c r="G4" s="66" t="s">
        <v>330</v>
      </c>
      <c r="H4" s="142" t="s">
        <v>302</v>
      </c>
      <c r="I4" s="66" t="s">
        <v>287</v>
      </c>
    </row>
    <row r="5" spans="1:9" s="24" customFormat="1" ht="15">
      <c r="A5" s="25"/>
      <c r="B5" s="46">
        <v>2</v>
      </c>
      <c r="C5" s="50" t="s">
        <v>303</v>
      </c>
      <c r="D5" s="76" t="s">
        <v>304</v>
      </c>
      <c r="E5" s="51" t="s">
        <v>296</v>
      </c>
      <c r="F5" s="51">
        <v>20</v>
      </c>
      <c r="G5" s="66" t="s">
        <v>331</v>
      </c>
      <c r="H5" s="142"/>
      <c r="I5" s="19" t="s">
        <v>287</v>
      </c>
    </row>
    <row r="6" spans="1:9" s="95" customFormat="1" ht="15.75">
      <c r="A6" s="93"/>
      <c r="B6" s="46">
        <v>3</v>
      </c>
      <c r="C6" s="80" t="s">
        <v>2052</v>
      </c>
      <c r="D6" s="80" t="s">
        <v>2053</v>
      </c>
      <c r="E6" s="81" t="s">
        <v>326</v>
      </c>
      <c r="F6" s="81">
        <v>4</v>
      </c>
      <c r="G6" s="91" t="s">
        <v>2054</v>
      </c>
      <c r="H6" s="142"/>
      <c r="I6" s="19" t="s">
        <v>287</v>
      </c>
    </row>
    <row r="7" spans="1:9" s="95" customFormat="1" ht="15.75">
      <c r="A7" s="93"/>
      <c r="B7" s="46">
        <v>4</v>
      </c>
      <c r="C7" s="80" t="s">
        <v>2055</v>
      </c>
      <c r="D7" s="80" t="s">
        <v>2056</v>
      </c>
      <c r="E7" s="81" t="s">
        <v>285</v>
      </c>
      <c r="F7" s="81">
        <v>6</v>
      </c>
      <c r="G7" s="91" t="s">
        <v>2057</v>
      </c>
      <c r="H7" s="66"/>
      <c r="I7" s="19" t="s">
        <v>287</v>
      </c>
    </row>
    <row r="8" spans="1:9" s="95" customFormat="1" ht="15.75">
      <c r="A8" s="93"/>
      <c r="B8" s="46">
        <v>5</v>
      </c>
      <c r="C8" s="80" t="s">
        <v>2058</v>
      </c>
      <c r="D8" s="80" t="s">
        <v>2059</v>
      </c>
      <c r="E8" s="81" t="s">
        <v>285</v>
      </c>
      <c r="F8" s="81">
        <v>6</v>
      </c>
      <c r="G8" s="91" t="s">
        <v>2060</v>
      </c>
      <c r="H8" s="66"/>
      <c r="I8" s="19" t="s">
        <v>287</v>
      </c>
    </row>
    <row r="9" spans="1:9" s="24" customFormat="1" ht="15">
      <c r="A9" s="25"/>
      <c r="B9" s="46">
        <v>6</v>
      </c>
      <c r="C9" s="50" t="s">
        <v>637</v>
      </c>
      <c r="D9" s="50" t="s">
        <v>364</v>
      </c>
      <c r="E9" s="51" t="s">
        <v>296</v>
      </c>
      <c r="F9" s="51">
        <v>20</v>
      </c>
      <c r="G9" s="66" t="s">
        <v>331</v>
      </c>
      <c r="H9" s="66" t="s">
        <v>638</v>
      </c>
      <c r="I9" s="66" t="s">
        <v>639</v>
      </c>
    </row>
    <row r="10" spans="1:9" s="24" customFormat="1" ht="15">
      <c r="A10" s="25"/>
      <c r="B10" s="46">
        <v>7</v>
      </c>
      <c r="C10" s="50" t="s">
        <v>640</v>
      </c>
      <c r="D10" s="76" t="s">
        <v>641</v>
      </c>
      <c r="E10" s="51" t="s">
        <v>418</v>
      </c>
      <c r="F10" s="51">
        <v>11</v>
      </c>
      <c r="G10" s="66" t="s">
        <v>642</v>
      </c>
      <c r="H10" s="66" t="s">
        <v>638</v>
      </c>
      <c r="I10" s="66" t="s">
        <v>639</v>
      </c>
    </row>
    <row r="11" spans="1:9" s="24" customFormat="1" ht="15">
      <c r="A11" s="25"/>
      <c r="B11" s="152"/>
      <c r="C11" s="153"/>
      <c r="D11" s="154"/>
      <c r="E11" s="155"/>
      <c r="F11" s="156"/>
      <c r="G11" s="151"/>
      <c r="H11" s="151"/>
      <c r="I11" s="158"/>
    </row>
    <row r="12" spans="1:9" ht="24">
      <c r="A12" s="1"/>
      <c r="B12" s="204" t="s">
        <v>291</v>
      </c>
      <c r="C12" s="205"/>
      <c r="D12" s="205"/>
      <c r="E12" s="206"/>
      <c r="F12" s="204"/>
      <c r="G12" s="205"/>
      <c r="H12" s="205"/>
      <c r="I12" s="206"/>
    </row>
    <row r="13" spans="1:9" s="8" customFormat="1" ht="15">
      <c r="A13" s="6"/>
      <c r="B13" s="7" t="s">
        <v>276</v>
      </c>
      <c r="C13" s="56" t="s">
        <v>277</v>
      </c>
      <c r="D13" s="56" t="s">
        <v>278</v>
      </c>
      <c r="E13" s="57" t="s">
        <v>279</v>
      </c>
      <c r="F13" s="57" t="s">
        <v>280</v>
      </c>
      <c r="G13" s="56" t="s">
        <v>11</v>
      </c>
      <c r="H13" s="56" t="s">
        <v>292</v>
      </c>
      <c r="I13" s="56" t="s">
        <v>293</v>
      </c>
    </row>
    <row r="14" spans="1:9" ht="15">
      <c r="A14" s="58"/>
      <c r="B14" s="23">
        <v>1</v>
      </c>
      <c r="C14" s="67" t="s">
        <v>453</v>
      </c>
      <c r="D14" s="67" t="s">
        <v>304</v>
      </c>
      <c r="E14" s="68" t="s">
        <v>452</v>
      </c>
      <c r="F14" s="68">
        <v>20</v>
      </c>
      <c r="G14" s="69"/>
      <c r="H14" s="66" t="s">
        <v>1924</v>
      </c>
      <c r="I14" s="66" t="s">
        <v>304</v>
      </c>
    </row>
    <row r="15" spans="1:9" ht="15.75">
      <c r="A15" s="5"/>
      <c r="B15" s="46">
        <f>B14+1</f>
        <v>2</v>
      </c>
      <c r="C15" s="80" t="s">
        <v>637</v>
      </c>
      <c r="D15" s="80" t="s">
        <v>364</v>
      </c>
      <c r="E15" s="81" t="s">
        <v>296</v>
      </c>
      <c r="F15" s="81">
        <v>20</v>
      </c>
      <c r="G15" s="85"/>
      <c r="H15" s="66" t="s">
        <v>84</v>
      </c>
      <c r="I15" s="82" t="s">
        <v>364</v>
      </c>
    </row>
    <row r="16" spans="1:9" s="24" customFormat="1" ht="15.75">
      <c r="A16" s="25"/>
      <c r="B16" s="46">
        <f t="shared" ref="B16:B24" si="0">B15+1</f>
        <v>3</v>
      </c>
      <c r="C16" s="26" t="s">
        <v>1660</v>
      </c>
      <c r="D16" s="26" t="s">
        <v>1661</v>
      </c>
      <c r="E16" s="27" t="s">
        <v>296</v>
      </c>
      <c r="F16" s="27">
        <v>20</v>
      </c>
      <c r="G16" s="85"/>
      <c r="H16" s="82"/>
      <c r="I16" s="82"/>
    </row>
    <row r="17" spans="1:9" ht="15">
      <c r="A17" s="5"/>
      <c r="B17" s="46">
        <f t="shared" si="0"/>
        <v>4</v>
      </c>
      <c r="C17" s="26" t="s">
        <v>2063</v>
      </c>
      <c r="D17" s="26" t="s">
        <v>2064</v>
      </c>
      <c r="E17" s="27" t="s">
        <v>326</v>
      </c>
      <c r="F17" s="27">
        <v>4</v>
      </c>
      <c r="G17" s="29" t="s">
        <v>2065</v>
      </c>
      <c r="H17" s="28" t="s">
        <v>2066</v>
      </c>
      <c r="I17" s="28"/>
    </row>
    <row r="18" spans="1:9" ht="15">
      <c r="B18" s="46">
        <f t="shared" si="0"/>
        <v>5</v>
      </c>
      <c r="C18" s="26" t="s">
        <v>2061</v>
      </c>
      <c r="D18" s="26" t="s">
        <v>2062</v>
      </c>
      <c r="E18" s="27" t="s">
        <v>456</v>
      </c>
      <c r="F18" s="27">
        <v>100</v>
      </c>
      <c r="G18" s="28"/>
      <c r="H18" s="28"/>
      <c r="I18" s="28"/>
    </row>
    <row r="19" spans="1:9" ht="15">
      <c r="B19" s="46">
        <f t="shared" si="0"/>
        <v>6</v>
      </c>
      <c r="C19" s="26" t="s">
        <v>2070</v>
      </c>
      <c r="D19" s="26" t="s">
        <v>2071</v>
      </c>
      <c r="E19" s="27" t="s">
        <v>316</v>
      </c>
      <c r="F19" s="27"/>
      <c r="G19" s="28"/>
      <c r="H19" s="28"/>
      <c r="I19" s="28"/>
    </row>
    <row r="20" spans="1:9" s="24" customFormat="1" ht="30">
      <c r="A20" s="22"/>
      <c r="B20" s="23">
        <f t="shared" si="0"/>
        <v>7</v>
      </c>
      <c r="C20" s="26" t="s">
        <v>2067</v>
      </c>
      <c r="D20" s="50" t="s">
        <v>2068</v>
      </c>
      <c r="E20" s="51" t="s">
        <v>316</v>
      </c>
      <c r="F20" s="27"/>
      <c r="G20" s="29" t="s">
        <v>2069</v>
      </c>
      <c r="H20" s="28"/>
      <c r="I20" s="28"/>
    </row>
    <row r="21" spans="1:9" ht="15">
      <c r="B21" s="46">
        <f>B19+1</f>
        <v>7</v>
      </c>
      <c r="C21" s="26" t="s">
        <v>2072</v>
      </c>
      <c r="D21" s="26" t="s">
        <v>2073</v>
      </c>
      <c r="E21" s="27" t="s">
        <v>316</v>
      </c>
      <c r="F21" s="27"/>
      <c r="G21" s="28" t="s">
        <v>2074</v>
      </c>
      <c r="H21" s="28"/>
      <c r="I21" s="28"/>
    </row>
    <row r="22" spans="1:9" ht="15.75">
      <c r="B22" s="46">
        <f t="shared" si="0"/>
        <v>8</v>
      </c>
      <c r="C22" s="71" t="s">
        <v>2032</v>
      </c>
      <c r="D22" s="71" t="s">
        <v>1923</v>
      </c>
      <c r="E22" s="74" t="s">
        <v>296</v>
      </c>
      <c r="F22" s="72">
        <v>20</v>
      </c>
      <c r="G22" s="89"/>
      <c r="H22" s="28"/>
      <c r="I22" s="28"/>
    </row>
    <row r="23" spans="1:9" ht="16.5" customHeight="1">
      <c r="B23" s="46">
        <f t="shared" si="0"/>
        <v>9</v>
      </c>
      <c r="C23" s="26" t="s">
        <v>2107</v>
      </c>
      <c r="D23" s="26" t="s">
        <v>2108</v>
      </c>
      <c r="E23" s="74" t="s">
        <v>1576</v>
      </c>
      <c r="F23" s="72" t="s">
        <v>2007</v>
      </c>
      <c r="G23" s="88"/>
      <c r="H23" s="89"/>
      <c r="I23" s="89"/>
    </row>
    <row r="24" spans="1:9" ht="16.5" customHeight="1">
      <c r="B24" s="46">
        <f t="shared" si="0"/>
        <v>10</v>
      </c>
      <c r="C24" s="114" t="s">
        <v>11</v>
      </c>
      <c r="D24" s="114" t="s">
        <v>397</v>
      </c>
      <c r="E24" s="115" t="s">
        <v>285</v>
      </c>
      <c r="F24" s="115">
        <v>500</v>
      </c>
      <c r="G24" s="88"/>
      <c r="H24" s="89"/>
      <c r="I24" s="89"/>
    </row>
    <row r="25" spans="1:9" ht="16.5" customHeight="1">
      <c r="B25" s="21"/>
    </row>
    <row r="26" spans="1:9" ht="16.5" customHeight="1">
      <c r="B26" s="45"/>
    </row>
    <row r="27" spans="1:9" ht="16.5" customHeight="1">
      <c r="B27" s="20"/>
    </row>
    <row r="28" spans="1:9" ht="16.5" customHeight="1">
      <c r="B28" s="45"/>
    </row>
    <row r="29" spans="1:9" ht="16.5" customHeight="1"/>
    <row r="30" spans="1:9" ht="16.5" customHeight="1"/>
    <row r="31" spans="1:9" ht="16.5" customHeight="1"/>
    <row r="32" spans="1:9" ht="16.5" customHeight="1"/>
    <row r="33" ht="16.5" customHeight="1"/>
    <row r="34" ht="16.5" customHeight="1"/>
    <row r="35" ht="16.5" customHeight="1"/>
    <row r="36" ht="16.5" customHeight="1"/>
    <row r="37" ht="16.5" customHeight="1"/>
    <row r="38" ht="16.5" customHeight="1"/>
    <row r="39" ht="16.5" customHeight="1"/>
    <row r="40" ht="16.5" customHeight="1"/>
    <row r="41" ht="16.5" customHeight="1"/>
    <row r="42" ht="16.5" customHeight="1"/>
    <row r="43" ht="16.5" customHeight="1"/>
    <row r="44" ht="16.5" customHeight="1"/>
    <row r="45" ht="16.5" customHeight="1"/>
    <row r="46" ht="16.5" customHeight="1"/>
    <row r="47" ht="16.5" customHeight="1"/>
    <row r="48" ht="16.5" customHeight="1"/>
    <row r="49" ht="16.5" customHeight="1"/>
    <row r="50" ht="16.5" customHeight="1"/>
    <row r="51" ht="16.5" customHeight="1"/>
    <row r="52" ht="16.5" customHeight="1"/>
    <row r="53" ht="16.5" customHeight="1"/>
    <row r="54" ht="16.5" customHeight="1"/>
    <row r="55" ht="16.5" customHeight="1"/>
    <row r="56" ht="16.5" customHeight="1"/>
  </sheetData>
  <mergeCells count="6">
    <mergeCell ref="B12:E12"/>
    <mergeCell ref="F12:I12"/>
    <mergeCell ref="B1:E1"/>
    <mergeCell ref="F1:I1"/>
    <mergeCell ref="B2:E2"/>
    <mergeCell ref="F2:I2"/>
  </mergeCells>
  <phoneticPr fontId="5" type="noConversion"/>
  <pageMargins left="0.7" right="0.7" top="0.75" bottom="0.75" header="0.3" footer="0.3"/>
  <pageSetup paperSize="9" orientation="portrait" horizontalDpi="0" verticalDpi="0"/>
</worksheet>
</file>

<file path=xl/worksheets/sheet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FE8F681-2E5F-4F66-AA7D-E674D4EBF696}">
  <sheetPr codeName="工作表82"/>
  <dimension ref="A1:I45"/>
  <sheetViews>
    <sheetView workbookViewId="0"/>
  </sheetViews>
  <sheetFormatPr defaultColWidth="6.625" defaultRowHeight="13.5"/>
  <cols>
    <col min="1" max="1" width="3.125" style="4" bestFit="1" customWidth="1"/>
    <col min="2" max="2" width="5.5" style="8" customWidth="1"/>
    <col min="3" max="3" width="26.5" style="4" customWidth="1"/>
    <col min="4" max="4" width="30.125" style="4" customWidth="1"/>
    <col min="5" max="5" width="11.125" style="4" bestFit="1" customWidth="1"/>
    <col min="6" max="6" width="10.375" style="4" customWidth="1"/>
    <col min="7" max="7" width="50.625" style="4" customWidth="1"/>
    <col min="8" max="8" width="45.625" style="4" customWidth="1"/>
    <col min="9" max="9" width="30.125" style="4" customWidth="1"/>
    <col min="10" max="16384" width="6.625" style="4"/>
  </cols>
  <sheetData>
    <row r="1" spans="1:9" ht="24">
      <c r="A1" s="1" t="e">
        <f ca="1">HYPERLINK("#'介面'!E"&amp;MATCH(VALUE(RIGHT(CELL("filename"),LEN(CELL("filename"))-FIND("]",CELL("filename")))),介面!D:D,"0"),"←")</f>
        <v>#VALUE!</v>
      </c>
      <c r="B1" s="207" t="s">
        <v>162</v>
      </c>
      <c r="C1" s="208"/>
      <c r="D1" s="208"/>
      <c r="E1" s="209"/>
      <c r="F1" s="207" t="s">
        <v>163</v>
      </c>
      <c r="G1" s="208"/>
      <c r="H1" s="208"/>
      <c r="I1" s="208"/>
    </row>
    <row r="2" spans="1:9" ht="24">
      <c r="A2" s="1"/>
      <c r="B2" s="210" t="s">
        <v>275</v>
      </c>
      <c r="C2" s="211"/>
      <c r="D2" s="211"/>
      <c r="E2" s="212"/>
      <c r="F2" s="210"/>
      <c r="G2" s="211"/>
      <c r="H2" s="211"/>
      <c r="I2" s="212"/>
    </row>
    <row r="3" spans="1:9" s="8" customFormat="1" ht="15">
      <c r="A3" s="6"/>
      <c r="B3" s="7" t="s">
        <v>276</v>
      </c>
      <c r="C3" s="56" t="s">
        <v>277</v>
      </c>
      <c r="D3" s="56" t="s">
        <v>278</v>
      </c>
      <c r="E3" s="57" t="s">
        <v>279</v>
      </c>
      <c r="F3" s="57" t="s">
        <v>280</v>
      </c>
      <c r="G3" s="56" t="s">
        <v>281</v>
      </c>
      <c r="H3" s="141" t="s">
        <v>11</v>
      </c>
      <c r="I3" s="56" t="s">
        <v>282</v>
      </c>
    </row>
    <row r="4" spans="1:9" s="24" customFormat="1" ht="15.75">
      <c r="A4" s="25"/>
      <c r="B4" s="46">
        <v>1</v>
      </c>
      <c r="C4" s="80" t="s">
        <v>297</v>
      </c>
      <c r="D4" s="80" t="s">
        <v>298</v>
      </c>
      <c r="E4" s="81" t="s">
        <v>285</v>
      </c>
      <c r="F4" s="81">
        <v>500</v>
      </c>
      <c r="G4" s="66" t="s">
        <v>330</v>
      </c>
      <c r="H4" s="142" t="s">
        <v>302</v>
      </c>
      <c r="I4" s="66" t="s">
        <v>287</v>
      </c>
    </row>
    <row r="5" spans="1:9" s="24" customFormat="1" ht="15">
      <c r="A5" s="25"/>
      <c r="B5" s="46">
        <v>2</v>
      </c>
      <c r="C5" s="50" t="s">
        <v>303</v>
      </c>
      <c r="D5" s="76" t="s">
        <v>304</v>
      </c>
      <c r="E5" s="51" t="s">
        <v>296</v>
      </c>
      <c r="F5" s="51">
        <v>20</v>
      </c>
      <c r="G5" s="66" t="s">
        <v>331</v>
      </c>
      <c r="H5" s="142"/>
      <c r="I5" s="19" t="s">
        <v>287</v>
      </c>
    </row>
    <row r="6" spans="1:9" s="24" customFormat="1" ht="15">
      <c r="A6" s="25"/>
      <c r="B6" s="152"/>
      <c r="C6" s="153"/>
      <c r="D6" s="154"/>
      <c r="E6" s="155"/>
      <c r="F6" s="156"/>
      <c r="G6" s="151"/>
      <c r="H6" s="151"/>
      <c r="I6" s="158"/>
    </row>
    <row r="7" spans="1:9" ht="24">
      <c r="A7" s="1"/>
      <c r="B7" s="204" t="s">
        <v>291</v>
      </c>
      <c r="C7" s="205"/>
      <c r="D7" s="205"/>
      <c r="E7" s="206"/>
      <c r="F7" s="204"/>
      <c r="G7" s="205"/>
      <c r="H7" s="205"/>
      <c r="I7" s="206"/>
    </row>
    <row r="8" spans="1:9" s="8" customFormat="1" ht="15">
      <c r="A8" s="6"/>
      <c r="B8" s="7" t="s">
        <v>276</v>
      </c>
      <c r="C8" s="56" t="s">
        <v>277</v>
      </c>
      <c r="D8" s="56" t="s">
        <v>278</v>
      </c>
      <c r="E8" s="57" t="s">
        <v>279</v>
      </c>
      <c r="F8" s="57" t="s">
        <v>280</v>
      </c>
      <c r="G8" s="56" t="s">
        <v>11</v>
      </c>
      <c r="H8" s="56" t="s">
        <v>292</v>
      </c>
      <c r="I8" s="56" t="s">
        <v>293</v>
      </c>
    </row>
    <row r="9" spans="1:9" ht="15">
      <c r="A9" s="5"/>
      <c r="B9" s="46">
        <v>1</v>
      </c>
      <c r="C9" s="64" t="s">
        <v>303</v>
      </c>
      <c r="D9" s="64" t="s">
        <v>304</v>
      </c>
      <c r="E9" s="62" t="s">
        <v>296</v>
      </c>
      <c r="F9" s="62">
        <v>20</v>
      </c>
      <c r="G9" s="75"/>
      <c r="H9" s="162" t="s">
        <v>41</v>
      </c>
      <c r="I9" s="62" t="s">
        <v>304</v>
      </c>
    </row>
    <row r="10" spans="1:9" s="24" customFormat="1" ht="15">
      <c r="A10" s="25"/>
      <c r="B10" s="46">
        <f>B9+1</f>
        <v>2</v>
      </c>
      <c r="C10" s="64" t="s">
        <v>2040</v>
      </c>
      <c r="D10" s="76" t="s">
        <v>2109</v>
      </c>
      <c r="E10" s="62" t="s">
        <v>285</v>
      </c>
      <c r="F10" s="62">
        <v>3</v>
      </c>
      <c r="G10" s="75"/>
      <c r="H10" s="75"/>
      <c r="I10" s="75"/>
    </row>
    <row r="11" spans="1:9" ht="15">
      <c r="A11" s="5"/>
      <c r="B11" s="46">
        <f>B10+1</f>
        <v>3</v>
      </c>
      <c r="C11" s="64" t="s">
        <v>2110</v>
      </c>
      <c r="D11" s="76" t="s">
        <v>2111</v>
      </c>
      <c r="E11" s="62" t="s">
        <v>285</v>
      </c>
      <c r="F11" s="62">
        <v>100</v>
      </c>
      <c r="G11" s="66"/>
      <c r="H11" s="66"/>
      <c r="I11" s="66"/>
    </row>
    <row r="12" spans="1:9" ht="15">
      <c r="B12" s="46">
        <f>B11+1</f>
        <v>4</v>
      </c>
      <c r="C12" s="64" t="s">
        <v>2112</v>
      </c>
      <c r="D12" s="76" t="s">
        <v>2113</v>
      </c>
      <c r="E12" s="62" t="s">
        <v>285</v>
      </c>
      <c r="F12" s="62">
        <v>1000</v>
      </c>
      <c r="G12" s="66"/>
      <c r="H12" s="66"/>
      <c r="I12" s="66"/>
    </row>
    <row r="13" spans="1:9" s="24" customFormat="1" ht="15">
      <c r="A13" s="22"/>
      <c r="B13" s="46">
        <f>B12+1</f>
        <v>5</v>
      </c>
      <c r="C13" s="64" t="s">
        <v>311</v>
      </c>
      <c r="D13" s="64" t="s">
        <v>312</v>
      </c>
      <c r="E13" s="74" t="s">
        <v>313</v>
      </c>
      <c r="F13" s="77"/>
      <c r="G13" s="63"/>
      <c r="H13" s="66"/>
      <c r="I13" s="66"/>
    </row>
    <row r="14" spans="1:9" ht="16.5" customHeight="1">
      <c r="B14" s="21"/>
    </row>
    <row r="15" spans="1:9" ht="16.5" customHeight="1">
      <c r="B15" s="45"/>
    </row>
    <row r="16" spans="1:9" ht="16.5" customHeight="1">
      <c r="B16" s="20"/>
    </row>
    <row r="17" spans="2:2" ht="16.5" customHeight="1">
      <c r="B17" s="45"/>
    </row>
    <row r="18" spans="2:2" ht="16.5" customHeight="1"/>
    <row r="19" spans="2:2" ht="16.5" customHeight="1"/>
    <row r="20" spans="2:2" ht="16.5" customHeight="1"/>
    <row r="21" spans="2:2" ht="16.5" customHeight="1"/>
    <row r="22" spans="2:2" ht="16.5" customHeight="1"/>
    <row r="23" spans="2:2" ht="16.5" customHeight="1"/>
    <row r="24" spans="2:2" ht="16.5" customHeight="1"/>
    <row r="25" spans="2:2" ht="16.5" customHeight="1"/>
    <row r="26" spans="2:2" ht="16.5" customHeight="1"/>
    <row r="27" spans="2:2" ht="16.5" customHeight="1"/>
    <row r="28" spans="2:2" ht="16.5" customHeight="1"/>
    <row r="29" spans="2:2" ht="16.5" customHeight="1"/>
    <row r="30" spans="2:2" ht="16.5" customHeight="1"/>
    <row r="31" spans="2:2" ht="16.5" customHeight="1"/>
    <row r="32" spans="2:2" ht="16.5" customHeight="1"/>
    <row r="33" ht="16.5" customHeight="1"/>
    <row r="34" ht="16.5" customHeight="1"/>
    <row r="35" ht="16.5" customHeight="1"/>
    <row r="36" ht="16.5" customHeight="1"/>
    <row r="37" ht="16.5" customHeight="1"/>
    <row r="38" ht="16.5" customHeight="1"/>
    <row r="39" ht="16.5" customHeight="1"/>
    <row r="40" ht="16.5" customHeight="1"/>
    <row r="41" ht="16.5" customHeight="1"/>
    <row r="42" ht="16.5" customHeight="1"/>
    <row r="43" ht="16.5" customHeight="1"/>
    <row r="44" ht="16.5" customHeight="1"/>
    <row r="45" ht="16.5" customHeight="1"/>
  </sheetData>
  <mergeCells count="6">
    <mergeCell ref="B1:E1"/>
    <mergeCell ref="F1:I1"/>
    <mergeCell ref="B2:E2"/>
    <mergeCell ref="F2:I2"/>
    <mergeCell ref="B7:E7"/>
    <mergeCell ref="F7:I7"/>
  </mergeCells>
  <phoneticPr fontId="5" type="noConversion"/>
  <pageMargins left="0.7" right="0.7" top="0.75" bottom="0.75" header="0.3" footer="0.3"/>
  <pageSetup paperSize="9" orientation="portrait" horizontalDpi="0" verticalDpi="0"/>
</worksheet>
</file>

<file path=xl/worksheets/sheet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A7E2D6D-C5EC-42F3-BD4F-31874969E1F7}">
  <sheetPr codeName="工作表83"/>
  <dimension ref="A1:I40"/>
  <sheetViews>
    <sheetView workbookViewId="0">
      <selection activeCell="B9" sqref="B9"/>
    </sheetView>
  </sheetViews>
  <sheetFormatPr defaultColWidth="6.625" defaultRowHeight="13.5"/>
  <cols>
    <col min="1" max="1" width="3.125" style="4" bestFit="1" customWidth="1"/>
    <col min="2" max="2" width="5.5" style="8" customWidth="1"/>
    <col min="3" max="3" width="26.5" style="4" customWidth="1"/>
    <col min="4" max="4" width="30.125" style="4" customWidth="1"/>
    <col min="5" max="5" width="11.125" style="4" bestFit="1" customWidth="1"/>
    <col min="6" max="6" width="10.375" style="4" customWidth="1"/>
    <col min="7" max="7" width="50.625" style="4" customWidth="1"/>
    <col min="8" max="8" width="45.625" style="4" customWidth="1"/>
    <col min="9" max="9" width="30.125" style="4" customWidth="1"/>
    <col min="10" max="16384" width="6.625" style="4"/>
  </cols>
  <sheetData>
    <row r="1" spans="1:9" ht="24">
      <c r="A1" s="1" t="e">
        <f ca="1">HYPERLINK("#'介面'!E"&amp;MATCH(VALUE(RIGHT(CELL("filename"),LEN(CELL("filename"))-FIND("]",CELL("filename")))),介面!D:D,"0"),"←")</f>
        <v>#VALUE!</v>
      </c>
      <c r="B1" s="207" t="s">
        <v>164</v>
      </c>
      <c r="C1" s="208"/>
      <c r="D1" s="208"/>
      <c r="E1" s="209"/>
      <c r="F1" s="207" t="s">
        <v>165</v>
      </c>
      <c r="G1" s="208"/>
      <c r="H1" s="208"/>
      <c r="I1" s="208"/>
    </row>
    <row r="2" spans="1:9" ht="24">
      <c r="A2" s="1"/>
      <c r="B2" s="210" t="s">
        <v>275</v>
      </c>
      <c r="C2" s="211"/>
      <c r="D2" s="211"/>
      <c r="E2" s="212"/>
      <c r="F2" s="210"/>
      <c r="G2" s="211"/>
      <c r="H2" s="211"/>
      <c r="I2" s="212"/>
    </row>
    <row r="3" spans="1:9" s="8" customFormat="1" ht="15">
      <c r="A3" s="6"/>
      <c r="B3" s="7" t="s">
        <v>276</v>
      </c>
      <c r="C3" s="56" t="s">
        <v>277</v>
      </c>
      <c r="D3" s="56" t="s">
        <v>278</v>
      </c>
      <c r="E3" s="57" t="s">
        <v>279</v>
      </c>
      <c r="F3" s="57" t="s">
        <v>280</v>
      </c>
      <c r="G3" s="56" t="s">
        <v>281</v>
      </c>
      <c r="H3" s="141" t="s">
        <v>11</v>
      </c>
      <c r="I3" s="56" t="s">
        <v>282</v>
      </c>
    </row>
    <row r="4" spans="1:9" s="24" customFormat="1" ht="15.75">
      <c r="A4" s="25"/>
      <c r="B4" s="46">
        <v>1</v>
      </c>
      <c r="C4" s="80" t="s">
        <v>297</v>
      </c>
      <c r="D4" s="80" t="s">
        <v>298</v>
      </c>
      <c r="E4" s="81" t="s">
        <v>285</v>
      </c>
      <c r="F4" s="81">
        <v>500</v>
      </c>
      <c r="G4" s="66" t="s">
        <v>330</v>
      </c>
      <c r="H4" s="142" t="s">
        <v>302</v>
      </c>
      <c r="I4" s="66" t="s">
        <v>287</v>
      </c>
    </row>
    <row r="5" spans="1:9" s="24" customFormat="1" ht="15">
      <c r="A5" s="25"/>
      <c r="B5" s="46">
        <v>2</v>
      </c>
      <c r="C5" s="50" t="s">
        <v>303</v>
      </c>
      <c r="D5" s="76" t="s">
        <v>304</v>
      </c>
      <c r="E5" s="51" t="s">
        <v>296</v>
      </c>
      <c r="F5" s="51">
        <v>20</v>
      </c>
      <c r="G5" s="66" t="s">
        <v>331</v>
      </c>
      <c r="H5" s="142"/>
      <c r="I5" s="19" t="s">
        <v>287</v>
      </c>
    </row>
    <row r="6" spans="1:9" s="24" customFormat="1" ht="15">
      <c r="A6" s="25"/>
      <c r="B6" s="152"/>
      <c r="C6" s="153"/>
      <c r="D6" s="154"/>
      <c r="E6" s="155"/>
      <c r="F6" s="156"/>
      <c r="G6" s="151"/>
      <c r="H6" s="151"/>
      <c r="I6" s="158"/>
    </row>
    <row r="7" spans="1:9" ht="24">
      <c r="A7" s="1"/>
      <c r="B7" s="204" t="s">
        <v>291</v>
      </c>
      <c r="C7" s="205"/>
      <c r="D7" s="205"/>
      <c r="E7" s="206"/>
      <c r="F7" s="204"/>
      <c r="G7" s="205"/>
      <c r="H7" s="205"/>
      <c r="I7" s="206"/>
    </row>
    <row r="8" spans="1:9" s="8" customFormat="1" ht="15">
      <c r="A8" s="6"/>
      <c r="B8" s="7" t="s">
        <v>276</v>
      </c>
      <c r="C8" s="56" t="s">
        <v>277</v>
      </c>
      <c r="D8" s="56" t="s">
        <v>278</v>
      </c>
      <c r="E8" s="57" t="s">
        <v>279</v>
      </c>
      <c r="F8" s="57" t="s">
        <v>280</v>
      </c>
      <c r="G8" s="56" t="s">
        <v>11</v>
      </c>
      <c r="H8" s="56" t="s">
        <v>292</v>
      </c>
      <c r="I8" s="56" t="s">
        <v>293</v>
      </c>
    </row>
    <row r="9" spans="1:9" ht="15">
      <c r="A9" s="58"/>
      <c r="B9" s="46">
        <v>1</v>
      </c>
      <c r="C9" s="50" t="s">
        <v>2032</v>
      </c>
      <c r="D9" s="50" t="s">
        <v>1923</v>
      </c>
      <c r="E9" s="51" t="s">
        <v>296</v>
      </c>
      <c r="F9" s="51">
        <v>20</v>
      </c>
      <c r="G9" s="28"/>
      <c r="H9" s="28" t="s">
        <v>144</v>
      </c>
      <c r="I9" s="28"/>
    </row>
    <row r="10" spans="1:9" ht="15">
      <c r="A10" s="5"/>
      <c r="B10" s="46">
        <f>B9+1</f>
        <v>2</v>
      </c>
      <c r="C10" s="50" t="s">
        <v>453</v>
      </c>
      <c r="D10" s="50" t="s">
        <v>304</v>
      </c>
      <c r="E10" s="51" t="s">
        <v>452</v>
      </c>
      <c r="F10" s="51">
        <v>20</v>
      </c>
      <c r="G10" s="52"/>
      <c r="H10" s="19" t="s">
        <v>1924</v>
      </c>
      <c r="I10" s="19" t="s">
        <v>304</v>
      </c>
    </row>
    <row r="11" spans="1:9" ht="15">
      <c r="B11" s="46">
        <f>B10+1</f>
        <v>3</v>
      </c>
      <c r="C11" s="50" t="s">
        <v>1933</v>
      </c>
      <c r="D11" s="50" t="s">
        <v>1932</v>
      </c>
      <c r="E11" s="51" t="s">
        <v>456</v>
      </c>
      <c r="F11" s="51">
        <v>20</v>
      </c>
      <c r="G11" s="19"/>
      <c r="H11" s="19"/>
      <c r="I11" s="19"/>
    </row>
    <row r="12" spans="1:9" ht="15">
      <c r="B12" s="46">
        <f>B11+1</f>
        <v>4</v>
      </c>
      <c r="C12" s="50" t="s">
        <v>1934</v>
      </c>
      <c r="D12" s="50" t="s">
        <v>1935</v>
      </c>
      <c r="E12" s="51" t="s">
        <v>456</v>
      </c>
      <c r="F12" s="51">
        <v>100</v>
      </c>
      <c r="G12" s="19"/>
      <c r="H12" s="19"/>
      <c r="I12" s="19"/>
    </row>
    <row r="13" spans="1:9" s="24" customFormat="1" ht="15">
      <c r="A13" s="22"/>
      <c r="B13" s="46">
        <f>B12+1</f>
        <v>5</v>
      </c>
      <c r="C13" s="50" t="s">
        <v>1936</v>
      </c>
      <c r="D13" s="50" t="s">
        <v>1937</v>
      </c>
      <c r="E13" s="51" t="s">
        <v>456</v>
      </c>
      <c r="F13" s="51">
        <v>1000</v>
      </c>
      <c r="G13" s="19"/>
      <c r="H13" s="19"/>
      <c r="I13" s="19"/>
    </row>
    <row r="14" spans="1:9" ht="16.5" customHeight="1">
      <c r="B14" s="46">
        <f>B13+1</f>
        <v>6</v>
      </c>
      <c r="C14" s="50" t="s">
        <v>311</v>
      </c>
      <c r="D14" s="50" t="s">
        <v>312</v>
      </c>
      <c r="E14" s="18" t="s">
        <v>313</v>
      </c>
      <c r="F14" s="18"/>
      <c r="G14" s="52"/>
      <c r="H14" s="19"/>
      <c r="I14" s="19"/>
    </row>
    <row r="15" spans="1:9" ht="16.5" customHeight="1"/>
    <row r="16" spans="1:9" ht="16.5" customHeight="1"/>
    <row r="17" ht="16.5" customHeight="1"/>
    <row r="18" ht="16.5" customHeight="1"/>
    <row r="19" ht="16.5" customHeight="1"/>
    <row r="20" ht="16.5" customHeight="1"/>
    <row r="21" ht="16.5" customHeight="1"/>
    <row r="22" ht="16.5" customHeight="1"/>
    <row r="23" ht="16.5" customHeight="1"/>
    <row r="24" ht="16.5" customHeight="1"/>
    <row r="25" ht="16.5" customHeight="1"/>
    <row r="26" ht="16.5" customHeight="1"/>
    <row r="27" ht="16.5" customHeight="1"/>
    <row r="28" ht="16.5" customHeight="1"/>
    <row r="29" ht="16.5" customHeight="1"/>
    <row r="30" ht="16.5" customHeight="1"/>
    <row r="31" ht="16.5" customHeight="1"/>
    <row r="32" ht="16.5" customHeight="1"/>
    <row r="33" ht="16.5" customHeight="1"/>
    <row r="34" ht="16.5" customHeight="1"/>
    <row r="35" ht="16.5" customHeight="1"/>
    <row r="36" ht="16.5" customHeight="1"/>
    <row r="37" ht="16.5" customHeight="1"/>
    <row r="38" ht="16.5" customHeight="1"/>
    <row r="39" ht="16.5" customHeight="1"/>
    <row r="40" ht="16.5" customHeight="1"/>
  </sheetData>
  <mergeCells count="6">
    <mergeCell ref="B1:E1"/>
    <mergeCell ref="F1:I1"/>
    <mergeCell ref="B2:E2"/>
    <mergeCell ref="F2:I2"/>
    <mergeCell ref="B7:E7"/>
    <mergeCell ref="F7:I7"/>
  </mergeCells>
  <phoneticPr fontId="5" type="noConversion"/>
  <pageMargins left="0.7" right="0.7" top="0.75" bottom="0.75" header="0.3" footer="0.3"/>
  <pageSetup paperSize="9" orientation="portrait" horizontalDpi="0" verticalDpi="0"/>
</worksheet>
</file>

<file path=xl/worksheets/sheet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B0A6373-ED74-46EC-BA91-FE4CE39EE4C7}">
  <sheetPr codeName="工作表84"/>
  <dimension ref="A1:I44"/>
  <sheetViews>
    <sheetView workbookViewId="0">
      <selection activeCell="E9" sqref="E9"/>
    </sheetView>
  </sheetViews>
  <sheetFormatPr defaultColWidth="6.625" defaultRowHeight="13.5"/>
  <cols>
    <col min="1" max="1" width="3.125" style="4" bestFit="1" customWidth="1"/>
    <col min="2" max="2" width="5.5" style="8" customWidth="1"/>
    <col min="3" max="3" width="26.5" style="4" customWidth="1"/>
    <col min="4" max="4" width="30.125" style="4" customWidth="1"/>
    <col min="5" max="5" width="11.125" style="4" bestFit="1" customWidth="1"/>
    <col min="6" max="6" width="10.375" style="4" customWidth="1"/>
    <col min="7" max="7" width="50.625" style="4" customWidth="1"/>
    <col min="8" max="8" width="45.625" style="4" customWidth="1"/>
    <col min="9" max="9" width="30.125" style="4" customWidth="1"/>
    <col min="10" max="16384" width="6.625" style="4"/>
  </cols>
  <sheetData>
    <row r="1" spans="1:9" ht="24">
      <c r="A1" s="1" t="e">
        <f ca="1">HYPERLINK("#'介面'!E"&amp;MATCH(VALUE(RIGHT(CELL("filename"),LEN(CELL("filename"))-FIND("]",CELL("filename")))),介面!D:D,"0"),"←")</f>
        <v>#VALUE!</v>
      </c>
      <c r="B1" s="207" t="s">
        <v>166</v>
      </c>
      <c r="C1" s="208"/>
      <c r="D1" s="208"/>
      <c r="E1" s="209"/>
      <c r="F1" s="207" t="s">
        <v>167</v>
      </c>
      <c r="G1" s="208"/>
      <c r="H1" s="208"/>
      <c r="I1" s="208"/>
    </row>
    <row r="2" spans="1:9" ht="24">
      <c r="A2" s="1"/>
      <c r="B2" s="210" t="s">
        <v>275</v>
      </c>
      <c r="C2" s="211"/>
      <c r="D2" s="211"/>
      <c r="E2" s="212"/>
      <c r="F2" s="210"/>
      <c r="G2" s="211"/>
      <c r="H2" s="211"/>
      <c r="I2" s="212"/>
    </row>
    <row r="3" spans="1:9" s="8" customFormat="1" ht="15">
      <c r="A3" s="6"/>
      <c r="B3" s="7" t="s">
        <v>276</v>
      </c>
      <c r="C3" s="56" t="s">
        <v>277</v>
      </c>
      <c r="D3" s="56" t="s">
        <v>278</v>
      </c>
      <c r="E3" s="57" t="s">
        <v>279</v>
      </c>
      <c r="F3" s="57" t="s">
        <v>280</v>
      </c>
      <c r="G3" s="56" t="s">
        <v>281</v>
      </c>
      <c r="H3" s="141" t="s">
        <v>11</v>
      </c>
      <c r="I3" s="56" t="s">
        <v>282</v>
      </c>
    </row>
    <row r="4" spans="1:9" s="24" customFormat="1" ht="15">
      <c r="A4" s="25"/>
      <c r="B4" s="46">
        <v>1</v>
      </c>
      <c r="C4" s="64" t="s">
        <v>1825</v>
      </c>
      <c r="D4" s="64" t="s">
        <v>1826</v>
      </c>
      <c r="E4" s="62" t="s">
        <v>285</v>
      </c>
      <c r="F4" s="62">
        <v>50</v>
      </c>
      <c r="G4" s="66" t="s">
        <v>330</v>
      </c>
      <c r="H4" s="142" t="s">
        <v>302</v>
      </c>
      <c r="I4" s="66" t="s">
        <v>287</v>
      </c>
    </row>
    <row r="5" spans="1:9" s="24" customFormat="1" ht="15">
      <c r="A5" s="25"/>
      <c r="B5" s="46">
        <v>2</v>
      </c>
      <c r="C5" s="50" t="s">
        <v>303</v>
      </c>
      <c r="D5" s="50" t="s">
        <v>304</v>
      </c>
      <c r="E5" s="51" t="s">
        <v>452</v>
      </c>
      <c r="F5" s="51">
        <v>20</v>
      </c>
      <c r="G5" s="66" t="s">
        <v>331</v>
      </c>
      <c r="H5" s="142"/>
      <c r="I5" s="66" t="s">
        <v>287</v>
      </c>
    </row>
    <row r="6" spans="1:9" s="24" customFormat="1" ht="15">
      <c r="A6" s="25"/>
      <c r="B6" s="46">
        <v>3</v>
      </c>
      <c r="C6" s="64" t="s">
        <v>637</v>
      </c>
      <c r="D6" s="64" t="s">
        <v>364</v>
      </c>
      <c r="E6" s="51" t="s">
        <v>452</v>
      </c>
      <c r="F6" s="51">
        <v>20</v>
      </c>
      <c r="G6" s="91" t="s">
        <v>331</v>
      </c>
      <c r="H6" s="142"/>
      <c r="I6" s="66" t="s">
        <v>287</v>
      </c>
    </row>
    <row r="7" spans="1:9" s="24" customFormat="1" ht="15">
      <c r="A7" s="25"/>
      <c r="B7" s="46">
        <v>4</v>
      </c>
      <c r="C7" s="50" t="s">
        <v>2114</v>
      </c>
      <c r="D7" s="50" t="s">
        <v>1923</v>
      </c>
      <c r="E7" s="51" t="s">
        <v>452</v>
      </c>
      <c r="F7" s="51">
        <v>20</v>
      </c>
      <c r="G7" s="52" t="s">
        <v>2115</v>
      </c>
      <c r="H7" s="142"/>
      <c r="I7" s="66" t="s">
        <v>287</v>
      </c>
    </row>
    <row r="8" spans="1:9" s="24" customFormat="1" ht="15">
      <c r="A8" s="25"/>
      <c r="B8" s="46">
        <v>5</v>
      </c>
      <c r="C8" s="50" t="s">
        <v>2116</v>
      </c>
      <c r="D8" s="50" t="s">
        <v>2117</v>
      </c>
      <c r="E8" s="27" t="s">
        <v>969</v>
      </c>
      <c r="F8" s="27"/>
      <c r="G8" s="28" t="s">
        <v>2118</v>
      </c>
      <c r="H8" s="142"/>
      <c r="I8" s="66" t="s">
        <v>287</v>
      </c>
    </row>
    <row r="9" spans="1:9" s="24" customFormat="1" ht="15">
      <c r="A9" s="25"/>
      <c r="B9" s="46">
        <v>6</v>
      </c>
      <c r="C9" s="50" t="s">
        <v>2119</v>
      </c>
      <c r="D9" s="50" t="s">
        <v>2120</v>
      </c>
      <c r="E9" s="27" t="s">
        <v>969</v>
      </c>
      <c r="F9" s="27"/>
      <c r="G9" s="28" t="s">
        <v>2121</v>
      </c>
      <c r="H9" s="142" t="s">
        <v>2122</v>
      </c>
      <c r="I9" s="66" t="s">
        <v>287</v>
      </c>
    </row>
    <row r="10" spans="1:9" s="24" customFormat="1" ht="15">
      <c r="A10" s="25"/>
      <c r="B10" s="46">
        <v>7</v>
      </c>
      <c r="C10" s="26" t="s">
        <v>2123</v>
      </c>
      <c r="D10" s="26" t="s">
        <v>2124</v>
      </c>
      <c r="E10" s="72" t="s">
        <v>326</v>
      </c>
      <c r="F10" s="72">
        <v>4</v>
      </c>
      <c r="G10" s="28" t="s">
        <v>331</v>
      </c>
      <c r="H10" s="142" t="s">
        <v>448</v>
      </c>
      <c r="I10" s="66" t="s">
        <v>287</v>
      </c>
    </row>
    <row r="11" spans="1:9" s="24" customFormat="1" ht="15.75">
      <c r="A11" s="25"/>
      <c r="B11" s="46">
        <v>8</v>
      </c>
      <c r="C11" s="26" t="s">
        <v>2125</v>
      </c>
      <c r="D11" s="26" t="s">
        <v>2126</v>
      </c>
      <c r="E11" s="74" t="s">
        <v>2127</v>
      </c>
      <c r="F11" s="72"/>
      <c r="G11" s="89" t="s">
        <v>2128</v>
      </c>
      <c r="H11" s="142" t="s">
        <v>2129</v>
      </c>
      <c r="I11" s="66" t="s">
        <v>287</v>
      </c>
    </row>
    <row r="12" spans="1:9" s="24" customFormat="1" ht="15.75">
      <c r="A12" s="25"/>
      <c r="B12" s="46">
        <v>9</v>
      </c>
      <c r="C12" s="80" t="s">
        <v>2040</v>
      </c>
      <c r="D12" s="50" t="s">
        <v>2041</v>
      </c>
      <c r="E12" s="51" t="s">
        <v>285</v>
      </c>
      <c r="F12" s="51">
        <v>3</v>
      </c>
      <c r="G12" s="147" t="s">
        <v>2130</v>
      </c>
      <c r="H12" s="142"/>
      <c r="I12" s="66" t="s">
        <v>287</v>
      </c>
    </row>
    <row r="13" spans="1:9" s="24" customFormat="1" ht="15">
      <c r="A13" s="25"/>
      <c r="B13" s="46">
        <v>10</v>
      </c>
      <c r="C13" s="50" t="s">
        <v>11</v>
      </c>
      <c r="D13" s="50" t="s">
        <v>397</v>
      </c>
      <c r="E13" s="51" t="s">
        <v>285</v>
      </c>
      <c r="F13" s="51">
        <v>500</v>
      </c>
      <c r="G13" s="28"/>
      <c r="H13" s="142"/>
      <c r="I13" s="66" t="s">
        <v>639</v>
      </c>
    </row>
    <row r="14" spans="1:9" s="24" customFormat="1" ht="15">
      <c r="A14" s="25"/>
      <c r="B14" s="152"/>
      <c r="C14" s="153"/>
      <c r="D14" s="154"/>
      <c r="E14" s="155"/>
      <c r="F14" s="156"/>
      <c r="G14" s="151"/>
      <c r="H14" s="151"/>
      <c r="I14" s="158"/>
    </row>
    <row r="15" spans="1:9" ht="24">
      <c r="A15" s="1"/>
      <c r="B15" s="227" t="s">
        <v>291</v>
      </c>
      <c r="C15" s="228"/>
      <c r="D15" s="228"/>
      <c r="E15" s="229"/>
      <c r="F15" s="227"/>
      <c r="G15" s="228"/>
      <c r="H15" s="228"/>
      <c r="I15" s="229"/>
    </row>
    <row r="16" spans="1:9" s="8" customFormat="1" ht="15">
      <c r="A16" s="6"/>
      <c r="B16" s="7" t="s">
        <v>276</v>
      </c>
      <c r="C16" s="56" t="s">
        <v>277</v>
      </c>
      <c r="D16" s="56" t="s">
        <v>278</v>
      </c>
      <c r="E16" s="57" t="s">
        <v>279</v>
      </c>
      <c r="F16" s="57" t="s">
        <v>280</v>
      </c>
      <c r="G16" s="56" t="s">
        <v>11</v>
      </c>
      <c r="H16" s="56" t="s">
        <v>292</v>
      </c>
      <c r="I16" s="56" t="s">
        <v>293</v>
      </c>
    </row>
    <row r="17" spans="1:9" ht="15.75">
      <c r="A17" s="58"/>
      <c r="B17" s="46">
        <v>1</v>
      </c>
      <c r="C17" s="86" t="s">
        <v>1834</v>
      </c>
      <c r="D17" s="86" t="s">
        <v>1835</v>
      </c>
      <c r="E17" s="87"/>
      <c r="F17" s="87"/>
      <c r="G17" s="85" t="s">
        <v>1836</v>
      </c>
      <c r="H17" s="28"/>
      <c r="I17" s="86"/>
    </row>
    <row r="18" spans="1:9" ht="15.75">
      <c r="A18" s="5"/>
      <c r="B18" s="46">
        <v>2</v>
      </c>
      <c r="C18" s="86" t="s">
        <v>1837</v>
      </c>
      <c r="D18" s="86" t="s">
        <v>1838</v>
      </c>
      <c r="E18" s="87"/>
      <c r="F18" s="87"/>
      <c r="G18" s="85" t="s">
        <v>1836</v>
      </c>
      <c r="H18" s="28"/>
      <c r="I18" s="86"/>
    </row>
    <row r="19" spans="1:9" ht="16.5" customHeight="1"/>
    <row r="20" spans="1:9" ht="16.5" customHeight="1"/>
    <row r="21" spans="1:9" ht="16.5" customHeight="1"/>
    <row r="22" spans="1:9" ht="16.5" customHeight="1"/>
    <row r="23" spans="1:9" ht="16.5" customHeight="1"/>
    <row r="24" spans="1:9" ht="16.5" customHeight="1"/>
    <row r="25" spans="1:9" ht="16.5" customHeight="1"/>
    <row r="26" spans="1:9" ht="16.5" customHeight="1"/>
    <row r="27" spans="1:9" ht="16.5" customHeight="1"/>
    <row r="28" spans="1:9" ht="16.5" customHeight="1"/>
    <row r="29" spans="1:9" ht="16.5" customHeight="1"/>
    <row r="30" spans="1:9" ht="16.5" customHeight="1"/>
    <row r="31" spans="1:9" ht="16.5" customHeight="1"/>
    <row r="32" spans="1:9" ht="16.5" customHeight="1"/>
    <row r="33" ht="16.5" customHeight="1"/>
    <row r="34" ht="16.5" customHeight="1"/>
    <row r="35" ht="16.5" customHeight="1"/>
    <row r="36" ht="16.5" customHeight="1"/>
    <row r="37" ht="16.5" customHeight="1"/>
    <row r="38" ht="16.5" customHeight="1"/>
    <row r="39" ht="16.5" customHeight="1"/>
    <row r="40" ht="16.5" customHeight="1"/>
    <row r="41" ht="16.5" customHeight="1"/>
    <row r="42" ht="16.5" customHeight="1"/>
    <row r="43" ht="16.5" customHeight="1"/>
    <row r="44" ht="16.5" customHeight="1"/>
  </sheetData>
  <mergeCells count="6">
    <mergeCell ref="B1:E1"/>
    <mergeCell ref="F1:I1"/>
    <mergeCell ref="B2:E2"/>
    <mergeCell ref="F2:I2"/>
    <mergeCell ref="B15:E15"/>
    <mergeCell ref="F15:I15"/>
  </mergeCells>
  <phoneticPr fontId="5" type="noConversion"/>
  <pageMargins left="0.7" right="0.7" top="0.75" bottom="0.75" header="0.3" footer="0.3"/>
  <pageSetup paperSize="9" orientation="portrait" horizontalDpi="0" verticalDpi="0"/>
</worksheet>
</file>

<file path=xl/worksheets/sheet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30279AA-A7DE-4CC2-91EA-B68D03553509}">
  <sheetPr codeName="工作表85"/>
  <dimension ref="A1:I44"/>
  <sheetViews>
    <sheetView workbookViewId="0">
      <selection activeCell="E9" sqref="E9"/>
    </sheetView>
  </sheetViews>
  <sheetFormatPr defaultColWidth="6.625" defaultRowHeight="13.5"/>
  <cols>
    <col min="1" max="1" width="3.125" style="4" bestFit="1" customWidth="1"/>
    <col min="2" max="2" width="5.5" style="8" customWidth="1"/>
    <col min="3" max="3" width="26.5" style="4" customWidth="1"/>
    <col min="4" max="4" width="30.125" style="4" customWidth="1"/>
    <col min="5" max="5" width="11.125" style="4" bestFit="1" customWidth="1"/>
    <col min="6" max="6" width="10.375" style="4" customWidth="1"/>
    <col min="7" max="7" width="50.625" style="4" customWidth="1"/>
    <col min="8" max="8" width="45.625" style="4" customWidth="1"/>
    <col min="9" max="9" width="30.125" style="4" customWidth="1"/>
    <col min="10" max="16384" width="6.625" style="4"/>
  </cols>
  <sheetData>
    <row r="1" spans="1:9" ht="24">
      <c r="A1" s="1" t="e">
        <f ca="1">HYPERLINK("#'介面'!E"&amp;MATCH(VALUE(RIGHT(CELL("filename"),LEN(CELL("filename"))-FIND("]",CELL("filename")))),介面!D:D,"0"),"←")</f>
        <v>#VALUE!</v>
      </c>
      <c r="B1" s="207" t="s">
        <v>168</v>
      </c>
      <c r="C1" s="208"/>
      <c r="D1" s="208"/>
      <c r="E1" s="209"/>
      <c r="F1" s="207" t="s">
        <v>169</v>
      </c>
      <c r="G1" s="208"/>
      <c r="H1" s="208"/>
      <c r="I1" s="208"/>
    </row>
    <row r="2" spans="1:9" ht="24">
      <c r="A2" s="1"/>
      <c r="B2" s="210" t="s">
        <v>275</v>
      </c>
      <c r="C2" s="211"/>
      <c r="D2" s="211"/>
      <c r="E2" s="212"/>
      <c r="F2" s="210"/>
      <c r="G2" s="211"/>
      <c r="H2" s="211"/>
      <c r="I2" s="212"/>
    </row>
    <row r="3" spans="1:9" s="8" customFormat="1" ht="15">
      <c r="A3" s="6"/>
      <c r="B3" s="7" t="s">
        <v>276</v>
      </c>
      <c r="C3" s="56" t="s">
        <v>277</v>
      </c>
      <c r="D3" s="56" t="s">
        <v>278</v>
      </c>
      <c r="E3" s="57" t="s">
        <v>279</v>
      </c>
      <c r="F3" s="57" t="s">
        <v>280</v>
      </c>
      <c r="G3" s="56" t="s">
        <v>281</v>
      </c>
      <c r="H3" s="141" t="s">
        <v>11</v>
      </c>
      <c r="I3" s="56" t="s">
        <v>282</v>
      </c>
    </row>
    <row r="4" spans="1:9" s="24" customFormat="1" ht="15">
      <c r="A4" s="25"/>
      <c r="B4" s="46">
        <v>1</v>
      </c>
      <c r="C4" s="64" t="s">
        <v>1825</v>
      </c>
      <c r="D4" s="64" t="s">
        <v>1826</v>
      </c>
      <c r="E4" s="62" t="s">
        <v>285</v>
      </c>
      <c r="F4" s="62">
        <v>50</v>
      </c>
      <c r="G4" s="66" t="s">
        <v>330</v>
      </c>
      <c r="H4" s="142" t="s">
        <v>302</v>
      </c>
      <c r="I4" s="66" t="s">
        <v>287</v>
      </c>
    </row>
    <row r="5" spans="1:9" s="24" customFormat="1" ht="15">
      <c r="A5" s="25"/>
      <c r="B5" s="46">
        <v>2</v>
      </c>
      <c r="C5" s="50" t="s">
        <v>303</v>
      </c>
      <c r="D5" s="50" t="s">
        <v>304</v>
      </c>
      <c r="E5" s="51" t="s">
        <v>452</v>
      </c>
      <c r="F5" s="51">
        <v>20</v>
      </c>
      <c r="G5" s="66" t="s">
        <v>331</v>
      </c>
      <c r="H5" s="142"/>
      <c r="I5" s="66" t="s">
        <v>287</v>
      </c>
    </row>
    <row r="6" spans="1:9" s="24" customFormat="1" ht="15">
      <c r="A6" s="25"/>
      <c r="B6" s="46">
        <v>3</v>
      </c>
      <c r="C6" s="64" t="s">
        <v>637</v>
      </c>
      <c r="D6" s="64" t="s">
        <v>364</v>
      </c>
      <c r="E6" s="51" t="s">
        <v>452</v>
      </c>
      <c r="F6" s="51">
        <v>20</v>
      </c>
      <c r="G6" s="91" t="s">
        <v>331</v>
      </c>
      <c r="H6" s="142"/>
      <c r="I6" s="66" t="s">
        <v>287</v>
      </c>
    </row>
    <row r="7" spans="1:9" s="24" customFormat="1" ht="15">
      <c r="A7" s="25"/>
      <c r="B7" s="46">
        <v>4</v>
      </c>
      <c r="C7" s="50" t="s">
        <v>2114</v>
      </c>
      <c r="D7" s="50" t="s">
        <v>1923</v>
      </c>
      <c r="E7" s="51" t="s">
        <v>452</v>
      </c>
      <c r="F7" s="51">
        <v>20</v>
      </c>
      <c r="G7" s="52" t="s">
        <v>2115</v>
      </c>
      <c r="H7" s="142"/>
      <c r="I7" s="66" t="s">
        <v>287</v>
      </c>
    </row>
    <row r="8" spans="1:9" s="24" customFormat="1" ht="15">
      <c r="A8" s="25"/>
      <c r="B8" s="46">
        <v>5</v>
      </c>
      <c r="C8" s="50" t="s">
        <v>2116</v>
      </c>
      <c r="D8" s="50" t="s">
        <v>2117</v>
      </c>
      <c r="E8" s="27" t="s">
        <v>969</v>
      </c>
      <c r="F8" s="27"/>
      <c r="G8" s="28" t="s">
        <v>2118</v>
      </c>
      <c r="H8" s="142"/>
      <c r="I8" s="66" t="s">
        <v>287</v>
      </c>
    </row>
    <row r="9" spans="1:9" s="24" customFormat="1" ht="15">
      <c r="A9" s="25"/>
      <c r="B9" s="46">
        <v>6</v>
      </c>
      <c r="C9" s="50" t="s">
        <v>2119</v>
      </c>
      <c r="D9" s="50" t="s">
        <v>2120</v>
      </c>
      <c r="E9" s="27" t="s">
        <v>969</v>
      </c>
      <c r="F9" s="27"/>
      <c r="G9" s="28" t="s">
        <v>2121</v>
      </c>
      <c r="H9" s="142" t="s">
        <v>2122</v>
      </c>
      <c r="I9" s="66" t="s">
        <v>287</v>
      </c>
    </row>
    <row r="10" spans="1:9" s="24" customFormat="1" ht="15">
      <c r="A10" s="25"/>
      <c r="B10" s="46">
        <v>7</v>
      </c>
      <c r="C10" s="26" t="s">
        <v>2123</v>
      </c>
      <c r="D10" s="26" t="s">
        <v>2124</v>
      </c>
      <c r="E10" s="72" t="s">
        <v>326</v>
      </c>
      <c r="F10" s="72">
        <v>4</v>
      </c>
      <c r="G10" s="28" t="s">
        <v>331</v>
      </c>
      <c r="H10" s="142" t="s">
        <v>448</v>
      </c>
      <c r="I10" s="66" t="s">
        <v>287</v>
      </c>
    </row>
    <row r="11" spans="1:9" s="24" customFormat="1" ht="15.75">
      <c r="A11" s="25"/>
      <c r="B11" s="46">
        <v>8</v>
      </c>
      <c r="C11" s="26" t="s">
        <v>2125</v>
      </c>
      <c r="D11" s="26" t="s">
        <v>2126</v>
      </c>
      <c r="E11" s="74" t="s">
        <v>2127</v>
      </c>
      <c r="F11" s="72"/>
      <c r="G11" s="89" t="s">
        <v>2128</v>
      </c>
      <c r="H11" s="142" t="s">
        <v>2129</v>
      </c>
      <c r="I11" s="66" t="s">
        <v>287</v>
      </c>
    </row>
    <row r="12" spans="1:9" s="24" customFormat="1" ht="15.75">
      <c r="A12" s="25"/>
      <c r="B12" s="46">
        <v>9</v>
      </c>
      <c r="C12" s="80" t="s">
        <v>2040</v>
      </c>
      <c r="D12" s="50" t="s">
        <v>2041</v>
      </c>
      <c r="E12" s="51" t="s">
        <v>285</v>
      </c>
      <c r="F12" s="51">
        <v>3</v>
      </c>
      <c r="G12" s="147" t="s">
        <v>2130</v>
      </c>
      <c r="H12" s="142"/>
      <c r="I12" s="66" t="s">
        <v>287</v>
      </c>
    </row>
    <row r="13" spans="1:9" s="24" customFormat="1" ht="15">
      <c r="A13" s="25"/>
      <c r="B13" s="46">
        <v>10</v>
      </c>
      <c r="C13" s="50" t="s">
        <v>11</v>
      </c>
      <c r="D13" s="50" t="s">
        <v>397</v>
      </c>
      <c r="E13" s="51" t="s">
        <v>285</v>
      </c>
      <c r="F13" s="51">
        <v>500</v>
      </c>
      <c r="G13" s="28"/>
      <c r="H13" s="142"/>
      <c r="I13" s="66" t="s">
        <v>639</v>
      </c>
    </row>
    <row r="14" spans="1:9" s="24" customFormat="1" ht="15">
      <c r="A14" s="25"/>
      <c r="B14" s="152"/>
      <c r="C14" s="153"/>
      <c r="D14" s="154"/>
      <c r="E14" s="155"/>
      <c r="F14" s="156"/>
      <c r="G14" s="151"/>
      <c r="H14" s="151"/>
      <c r="I14" s="158"/>
    </row>
    <row r="15" spans="1:9" ht="24">
      <c r="A15" s="1"/>
      <c r="B15" s="227" t="s">
        <v>291</v>
      </c>
      <c r="C15" s="228"/>
      <c r="D15" s="228"/>
      <c r="E15" s="229"/>
      <c r="F15" s="227"/>
      <c r="G15" s="228"/>
      <c r="H15" s="228"/>
      <c r="I15" s="229"/>
    </row>
    <row r="16" spans="1:9" s="8" customFormat="1" ht="15">
      <c r="A16" s="6"/>
      <c r="B16" s="7" t="s">
        <v>276</v>
      </c>
      <c r="C16" s="56" t="s">
        <v>277</v>
      </c>
      <c r="D16" s="56" t="s">
        <v>278</v>
      </c>
      <c r="E16" s="57" t="s">
        <v>279</v>
      </c>
      <c r="F16" s="57" t="s">
        <v>280</v>
      </c>
      <c r="G16" s="56" t="s">
        <v>11</v>
      </c>
      <c r="H16" s="56" t="s">
        <v>292</v>
      </c>
      <c r="I16" s="56" t="s">
        <v>293</v>
      </c>
    </row>
    <row r="17" spans="1:9" s="24" customFormat="1" ht="31.5">
      <c r="A17" s="25"/>
      <c r="B17" s="46">
        <v>1</v>
      </c>
      <c r="C17" s="86" t="s">
        <v>2131</v>
      </c>
      <c r="D17" s="86" t="s">
        <v>2132</v>
      </c>
      <c r="E17" s="87" t="s">
        <v>296</v>
      </c>
      <c r="F17" s="87">
        <v>20</v>
      </c>
      <c r="G17" s="85"/>
      <c r="H17" s="28"/>
      <c r="I17" s="86" t="s">
        <v>2132</v>
      </c>
    </row>
    <row r="18" spans="1:9" s="24" customFormat="1" ht="15.75">
      <c r="A18" s="25"/>
      <c r="B18" s="46"/>
      <c r="C18" s="86"/>
      <c r="D18" s="86"/>
      <c r="E18" s="87"/>
      <c r="F18" s="87"/>
      <c r="G18" s="85"/>
      <c r="H18" s="28"/>
      <c r="I18" s="86"/>
    </row>
    <row r="19" spans="1:9" ht="16.5" customHeight="1"/>
    <row r="20" spans="1:9" ht="16.5" customHeight="1"/>
    <row r="21" spans="1:9" ht="16.5" customHeight="1"/>
    <row r="22" spans="1:9" ht="16.5" customHeight="1"/>
    <row r="23" spans="1:9" ht="16.5" customHeight="1"/>
    <row r="24" spans="1:9" ht="16.5" customHeight="1"/>
    <row r="25" spans="1:9" ht="16.5" customHeight="1"/>
    <row r="26" spans="1:9" ht="16.5" customHeight="1"/>
    <row r="27" spans="1:9" ht="16.5" customHeight="1"/>
    <row r="28" spans="1:9" ht="16.5" customHeight="1"/>
    <row r="29" spans="1:9" ht="16.5" customHeight="1"/>
    <row r="30" spans="1:9" ht="16.5" customHeight="1"/>
    <row r="31" spans="1:9" ht="16.5" customHeight="1"/>
    <row r="32" spans="1:9" ht="16.5" customHeight="1"/>
    <row r="33" ht="16.5" customHeight="1"/>
    <row r="34" ht="16.5" customHeight="1"/>
    <row r="35" ht="16.5" customHeight="1"/>
    <row r="36" ht="16.5" customHeight="1"/>
    <row r="37" ht="16.5" customHeight="1"/>
    <row r="38" ht="16.5" customHeight="1"/>
    <row r="39" ht="16.5" customHeight="1"/>
    <row r="40" ht="16.5" customHeight="1"/>
    <row r="41" ht="16.5" customHeight="1"/>
    <row r="42" ht="16.5" customHeight="1"/>
    <row r="43" ht="16.5" customHeight="1"/>
    <row r="44" ht="16.5" customHeight="1"/>
  </sheetData>
  <mergeCells count="6">
    <mergeCell ref="B1:E1"/>
    <mergeCell ref="F1:I1"/>
    <mergeCell ref="B2:E2"/>
    <mergeCell ref="F2:I2"/>
    <mergeCell ref="B15:E15"/>
    <mergeCell ref="F15:I15"/>
  </mergeCells>
  <phoneticPr fontId="5" type="noConversion"/>
  <pageMargins left="0.7" right="0.7" top="0.75" bottom="0.75" header="0.3" footer="0.3"/>
  <pageSetup paperSize="9" orientation="portrait" horizontalDpi="0" verticalDpi="0"/>
</worksheet>
</file>

<file path=xl/worksheets/sheet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E1911EE-0D50-43B6-9A61-3432DA7065A5}">
  <sheetPr codeName="工作表111"/>
  <dimension ref="A1:I27"/>
  <sheetViews>
    <sheetView zoomScale="130" zoomScaleNormal="130" workbookViewId="0"/>
  </sheetViews>
  <sheetFormatPr defaultColWidth="6.625" defaultRowHeight="13.5"/>
  <cols>
    <col min="1" max="1" width="3.125" style="4" bestFit="1" customWidth="1"/>
    <col min="2" max="2" width="5.5" style="8" customWidth="1"/>
    <col min="3" max="3" width="26.625" style="4" customWidth="1"/>
    <col min="4" max="4" width="31.125" style="4" customWidth="1"/>
    <col min="5" max="5" width="11.125" style="4" bestFit="1" customWidth="1"/>
    <col min="6" max="6" width="12.625" style="4" customWidth="1"/>
    <col min="7" max="7" width="58" style="4" customWidth="1"/>
    <col min="8" max="8" width="34.125" style="4" customWidth="1"/>
    <col min="9" max="9" width="21.625" style="4" customWidth="1"/>
    <col min="10" max="16384" width="6.625" style="4"/>
  </cols>
  <sheetData>
    <row r="1" spans="1:9" ht="24">
      <c r="A1" s="1" t="e">
        <f ca="1">HYPERLINK("#'介面'!E"&amp;MATCH(VALUE(RIGHT(CELL("filename"),LEN(CELL("filename"))-FIND("]",CELL("filename")))),介面!D:D,"0"),"←")</f>
        <v>#VALUE!</v>
      </c>
      <c r="B1" s="207" t="s">
        <v>174</v>
      </c>
      <c r="C1" s="208"/>
      <c r="D1" s="208"/>
      <c r="E1" s="209"/>
      <c r="F1" s="207" t="s">
        <v>2133</v>
      </c>
      <c r="G1" s="208"/>
      <c r="H1" s="208"/>
      <c r="I1" s="208"/>
    </row>
    <row r="2" spans="1:9" ht="24">
      <c r="A2" s="1"/>
      <c r="B2" s="210" t="s">
        <v>275</v>
      </c>
      <c r="C2" s="211"/>
      <c r="D2" s="211"/>
      <c r="E2" s="212"/>
      <c r="F2" s="210"/>
      <c r="G2" s="211"/>
      <c r="H2" s="211"/>
      <c r="I2" s="212"/>
    </row>
    <row r="3" spans="1:9" s="8" customFormat="1" ht="15">
      <c r="A3" s="6"/>
      <c r="B3" s="7" t="s">
        <v>276</v>
      </c>
      <c r="C3" s="56" t="s">
        <v>277</v>
      </c>
      <c r="D3" s="56" t="s">
        <v>278</v>
      </c>
      <c r="E3" s="57" t="s">
        <v>279</v>
      </c>
      <c r="F3" s="57" t="s">
        <v>280</v>
      </c>
      <c r="G3" s="56" t="s">
        <v>281</v>
      </c>
      <c r="H3" s="141" t="s">
        <v>11</v>
      </c>
      <c r="I3" s="56" t="s">
        <v>282</v>
      </c>
    </row>
    <row r="4" spans="1:9" s="24" customFormat="1" ht="15">
      <c r="A4" s="25"/>
      <c r="B4" s="46">
        <v>1</v>
      </c>
      <c r="C4" s="64" t="s">
        <v>1825</v>
      </c>
      <c r="D4" s="64" t="s">
        <v>1826</v>
      </c>
      <c r="E4" s="62" t="s">
        <v>285</v>
      </c>
      <c r="F4" s="62">
        <v>50</v>
      </c>
      <c r="G4" s="66" t="s">
        <v>330</v>
      </c>
      <c r="H4" s="142" t="s">
        <v>302</v>
      </c>
      <c r="I4" s="66" t="s">
        <v>287</v>
      </c>
    </row>
    <row r="5" spans="1:9" s="24" customFormat="1" ht="15">
      <c r="A5" s="25"/>
      <c r="B5" s="46">
        <v>2</v>
      </c>
      <c r="C5" s="50" t="s">
        <v>303</v>
      </c>
      <c r="D5" s="50" t="s">
        <v>304</v>
      </c>
      <c r="E5" s="51" t="s">
        <v>452</v>
      </c>
      <c r="F5" s="51">
        <v>20</v>
      </c>
      <c r="G5" s="66" t="s">
        <v>331</v>
      </c>
      <c r="H5" s="142"/>
      <c r="I5" s="19" t="s">
        <v>287</v>
      </c>
    </row>
    <row r="6" spans="1:9" s="24" customFormat="1" ht="15">
      <c r="A6" s="25"/>
      <c r="B6" s="46">
        <v>3</v>
      </c>
      <c r="C6" s="50" t="s">
        <v>637</v>
      </c>
      <c r="D6" s="50" t="s">
        <v>364</v>
      </c>
      <c r="E6" s="51" t="s">
        <v>296</v>
      </c>
      <c r="F6" s="51">
        <v>20</v>
      </c>
      <c r="G6" s="66" t="s">
        <v>331</v>
      </c>
      <c r="H6" s="66"/>
      <c r="I6" s="66" t="s">
        <v>639</v>
      </c>
    </row>
    <row r="7" spans="1:9" s="95" customFormat="1" ht="15.75">
      <c r="A7" s="93"/>
      <c r="B7" s="46">
        <v>4</v>
      </c>
      <c r="C7" s="50" t="s">
        <v>640</v>
      </c>
      <c r="D7" s="76" t="s">
        <v>641</v>
      </c>
      <c r="E7" s="51" t="s">
        <v>418</v>
      </c>
      <c r="F7" s="51">
        <v>11</v>
      </c>
      <c r="G7" s="66" t="s">
        <v>642</v>
      </c>
      <c r="H7" s="66"/>
      <c r="I7" s="66" t="s">
        <v>639</v>
      </c>
    </row>
    <row r="8" spans="1:9" ht="15.75">
      <c r="A8" s="1"/>
      <c r="B8" s="2"/>
      <c r="C8" s="3"/>
      <c r="D8" s="3"/>
      <c r="E8" s="3"/>
      <c r="F8" s="3"/>
      <c r="G8" s="3"/>
      <c r="H8" s="3"/>
      <c r="I8" s="3"/>
    </row>
    <row r="9" spans="1:9" ht="24">
      <c r="A9" s="1"/>
      <c r="B9" s="204" t="s">
        <v>291</v>
      </c>
      <c r="C9" s="205"/>
      <c r="D9" s="205"/>
      <c r="E9" s="206"/>
      <c r="F9" s="204"/>
      <c r="G9" s="205"/>
      <c r="H9" s="205"/>
      <c r="I9" s="206"/>
    </row>
    <row r="10" spans="1:9" s="8" customFormat="1" ht="15">
      <c r="A10" s="6"/>
      <c r="B10" s="7" t="s">
        <v>276</v>
      </c>
      <c r="C10" s="56" t="s">
        <v>277</v>
      </c>
      <c r="D10" s="56" t="s">
        <v>278</v>
      </c>
      <c r="E10" s="57" t="s">
        <v>279</v>
      </c>
      <c r="F10" s="57" t="s">
        <v>280</v>
      </c>
      <c r="G10" s="56" t="s">
        <v>11</v>
      </c>
      <c r="H10" s="56" t="s">
        <v>292</v>
      </c>
      <c r="I10" s="56" t="s">
        <v>293</v>
      </c>
    </row>
    <row r="11" spans="1:9" s="8" customFormat="1" ht="15">
      <c r="A11" s="6"/>
      <c r="B11" s="46">
        <v>1</v>
      </c>
      <c r="C11" s="67" t="s">
        <v>2134</v>
      </c>
      <c r="D11" s="67" t="s">
        <v>2135</v>
      </c>
      <c r="E11" s="68" t="s">
        <v>452</v>
      </c>
      <c r="F11" s="68">
        <v>20</v>
      </c>
      <c r="G11" s="69"/>
      <c r="H11" s="66"/>
      <c r="I11" s="66"/>
    </row>
    <row r="12" spans="1:9" s="24" customFormat="1" ht="15">
      <c r="A12" s="25"/>
      <c r="B12" s="46">
        <f t="shared" ref="B12:B25" si="0">B11+1</f>
        <v>2</v>
      </c>
      <c r="C12" s="67" t="s">
        <v>453</v>
      </c>
      <c r="D12" s="67" t="s">
        <v>304</v>
      </c>
      <c r="E12" s="68" t="s">
        <v>452</v>
      </c>
      <c r="F12" s="68">
        <v>20</v>
      </c>
      <c r="G12" s="69"/>
      <c r="H12" s="66" t="s">
        <v>1924</v>
      </c>
      <c r="I12" s="66" t="s">
        <v>304</v>
      </c>
    </row>
    <row r="13" spans="1:9" s="24" customFormat="1" ht="15.75">
      <c r="A13" s="25"/>
      <c r="B13" s="46">
        <f t="shared" si="0"/>
        <v>3</v>
      </c>
      <c r="C13" s="80" t="s">
        <v>637</v>
      </c>
      <c r="D13" s="80" t="s">
        <v>364</v>
      </c>
      <c r="E13" s="81" t="s">
        <v>296</v>
      </c>
      <c r="F13" s="81">
        <v>20</v>
      </c>
      <c r="G13" s="85"/>
      <c r="H13" s="66" t="s">
        <v>84</v>
      </c>
      <c r="I13" s="82" t="s">
        <v>364</v>
      </c>
    </row>
    <row r="14" spans="1:9" s="24" customFormat="1" ht="15">
      <c r="A14" s="25"/>
      <c r="B14" s="46">
        <f t="shared" si="0"/>
        <v>4</v>
      </c>
      <c r="C14" s="50" t="s">
        <v>653</v>
      </c>
      <c r="D14" s="50" t="s">
        <v>654</v>
      </c>
      <c r="E14" s="51" t="s">
        <v>285</v>
      </c>
      <c r="F14" s="51">
        <v>20</v>
      </c>
      <c r="G14" s="19" t="s">
        <v>655</v>
      </c>
      <c r="H14" s="28"/>
      <c r="I14" s="19"/>
    </row>
    <row r="15" spans="1:9" s="24" customFormat="1" ht="15.75">
      <c r="A15" s="25"/>
      <c r="B15" s="46">
        <f t="shared" si="0"/>
        <v>5</v>
      </c>
      <c r="C15" s="50" t="s">
        <v>2136</v>
      </c>
      <c r="D15" s="50" t="s">
        <v>2137</v>
      </c>
      <c r="E15" s="81" t="s">
        <v>296</v>
      </c>
      <c r="F15" s="81">
        <v>20</v>
      </c>
      <c r="G15" s="19"/>
      <c r="H15" s="66" t="s">
        <v>84</v>
      </c>
      <c r="I15" s="82" t="s">
        <v>364</v>
      </c>
    </row>
    <row r="16" spans="1:9" s="24" customFormat="1" ht="15">
      <c r="A16" s="25"/>
      <c r="B16" s="46">
        <f t="shared" si="0"/>
        <v>6</v>
      </c>
      <c r="C16" s="67" t="s">
        <v>2138</v>
      </c>
      <c r="D16" s="50" t="s">
        <v>2139</v>
      </c>
      <c r="E16" s="68" t="s">
        <v>456</v>
      </c>
      <c r="F16" s="68">
        <v>20</v>
      </c>
      <c r="G16" s="19" t="s">
        <v>655</v>
      </c>
      <c r="H16" s="28"/>
      <c r="I16" s="19"/>
    </row>
    <row r="17" spans="1:9" s="24" customFormat="1" ht="15">
      <c r="A17" s="25"/>
      <c r="B17" s="46">
        <f t="shared" si="0"/>
        <v>7</v>
      </c>
      <c r="C17" s="67" t="s">
        <v>2140</v>
      </c>
      <c r="D17" s="76" t="s">
        <v>2141</v>
      </c>
      <c r="E17" s="51" t="s">
        <v>285</v>
      </c>
      <c r="F17" s="51">
        <v>30</v>
      </c>
      <c r="G17" s="19" t="s">
        <v>655</v>
      </c>
      <c r="H17" s="28"/>
      <c r="I17" s="19"/>
    </row>
    <row r="18" spans="1:9" s="24" customFormat="1" ht="15">
      <c r="A18" s="25"/>
      <c r="B18" s="46">
        <f t="shared" si="0"/>
        <v>8</v>
      </c>
      <c r="C18" s="67" t="s">
        <v>2142</v>
      </c>
      <c r="D18" s="76" t="s">
        <v>2143</v>
      </c>
      <c r="E18" s="51" t="s">
        <v>421</v>
      </c>
      <c r="F18" s="51"/>
      <c r="G18" s="66"/>
      <c r="H18" s="66"/>
      <c r="I18" s="66"/>
    </row>
    <row r="19" spans="1:9" s="24" customFormat="1" ht="15">
      <c r="A19" s="25"/>
      <c r="B19" s="46">
        <f t="shared" si="0"/>
        <v>9</v>
      </c>
      <c r="C19" s="67" t="s">
        <v>2144</v>
      </c>
      <c r="D19" s="76" t="s">
        <v>2145</v>
      </c>
      <c r="E19" s="51" t="s">
        <v>421</v>
      </c>
      <c r="F19" s="51"/>
      <c r="G19" s="66"/>
      <c r="H19" s="66"/>
      <c r="I19" s="66"/>
    </row>
    <row r="20" spans="1:9" s="24" customFormat="1" ht="15">
      <c r="A20" s="25"/>
      <c r="B20" s="46">
        <f t="shared" si="0"/>
        <v>10</v>
      </c>
      <c r="C20" s="67" t="s">
        <v>2146</v>
      </c>
      <c r="D20" s="67" t="s">
        <v>2147</v>
      </c>
      <c r="E20" s="68" t="s">
        <v>456</v>
      </c>
      <c r="F20" s="68">
        <v>20</v>
      </c>
      <c r="G20" s="62"/>
      <c r="H20" s="62"/>
      <c r="I20" s="66"/>
    </row>
    <row r="21" spans="1:9" s="24" customFormat="1" ht="15">
      <c r="A21" s="25"/>
      <c r="B21" s="46">
        <f t="shared" si="0"/>
        <v>11</v>
      </c>
      <c r="C21" s="67" t="s">
        <v>2148</v>
      </c>
      <c r="D21" s="67" t="s">
        <v>2149</v>
      </c>
      <c r="E21" s="68" t="s">
        <v>456</v>
      </c>
      <c r="F21" s="68">
        <v>100</v>
      </c>
      <c r="G21" s="52"/>
      <c r="H21" s="62"/>
      <c r="I21" s="66"/>
    </row>
    <row r="22" spans="1:9" ht="15">
      <c r="B22" s="46">
        <f t="shared" si="0"/>
        <v>12</v>
      </c>
      <c r="C22" s="70" t="s">
        <v>324</v>
      </c>
      <c r="D22" s="71" t="s">
        <v>325</v>
      </c>
      <c r="E22" s="72" t="s">
        <v>326</v>
      </c>
      <c r="F22" s="72">
        <v>4</v>
      </c>
      <c r="G22" s="29" t="s">
        <v>327</v>
      </c>
      <c r="H22" s="28" t="s">
        <v>328</v>
      </c>
      <c r="I22" s="26"/>
    </row>
    <row r="23" spans="1:9" ht="15.75">
      <c r="B23" s="46">
        <f t="shared" si="0"/>
        <v>13</v>
      </c>
      <c r="C23" s="108" t="s">
        <v>423</v>
      </c>
      <c r="D23" s="108" t="s">
        <v>424</v>
      </c>
      <c r="E23" s="81" t="s">
        <v>296</v>
      </c>
      <c r="F23" s="81">
        <v>20</v>
      </c>
      <c r="G23" s="110" t="s">
        <v>425</v>
      </c>
      <c r="H23" s="28"/>
      <c r="I23" s="26"/>
    </row>
    <row r="24" spans="1:9" s="24" customFormat="1" ht="15.75">
      <c r="A24" s="25"/>
      <c r="B24" s="46">
        <f t="shared" si="0"/>
        <v>14</v>
      </c>
      <c r="C24" s="108" t="s">
        <v>426</v>
      </c>
      <c r="D24" s="108" t="s">
        <v>427</v>
      </c>
      <c r="E24" s="72" t="s">
        <v>285</v>
      </c>
      <c r="F24" s="109">
        <v>20</v>
      </c>
      <c r="G24" s="110" t="s">
        <v>425</v>
      </c>
      <c r="H24" s="19"/>
      <c r="I24" s="50"/>
    </row>
    <row r="25" spans="1:9" ht="15.75">
      <c r="B25" s="46">
        <f t="shared" si="0"/>
        <v>15</v>
      </c>
      <c r="C25" s="108" t="s">
        <v>428</v>
      </c>
      <c r="D25" s="108" t="s">
        <v>429</v>
      </c>
      <c r="E25" s="72" t="s">
        <v>421</v>
      </c>
      <c r="F25" s="109"/>
      <c r="G25" s="110"/>
      <c r="H25" s="28"/>
      <c r="I25" s="26"/>
    </row>
    <row r="26" spans="1:9" ht="15">
      <c r="B26" s="21" t="s">
        <v>2150</v>
      </c>
    </row>
    <row r="27" spans="1:9" ht="15">
      <c r="B27" s="45"/>
    </row>
  </sheetData>
  <mergeCells count="6">
    <mergeCell ref="B1:E1"/>
    <mergeCell ref="F1:I1"/>
    <mergeCell ref="B2:E2"/>
    <mergeCell ref="F2:I2"/>
    <mergeCell ref="B9:E9"/>
    <mergeCell ref="F9:I9"/>
  </mergeCells>
  <phoneticPr fontId="5" type="noConversion"/>
  <pageMargins left="0.7" right="0.7" top="0.75" bottom="0.75" header="0.3" footer="0.3"/>
  <pageSetup paperSize="9" orientation="portrait" horizontalDpi="0" verticalDpi="0"/>
</worksheet>
</file>

<file path=xl/worksheets/sheet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A1322F7-1E66-48C0-AF94-8E9B97A89585}">
  <sheetPr codeName="工作表113"/>
  <dimension ref="A1:J41"/>
  <sheetViews>
    <sheetView zoomScale="110" zoomScaleNormal="110" workbookViewId="0">
      <selection activeCell="C7" sqref="C7"/>
    </sheetView>
  </sheetViews>
  <sheetFormatPr defaultColWidth="6.625" defaultRowHeight="13.5"/>
  <cols>
    <col min="1" max="1" width="3.125" style="4" bestFit="1" customWidth="1"/>
    <col min="2" max="2" width="5.5" style="8" customWidth="1"/>
    <col min="3" max="3" width="35.5" style="4" customWidth="1"/>
    <col min="4" max="4" width="31.125" style="4" customWidth="1"/>
    <col min="5" max="5" width="11.125" style="4" bestFit="1" customWidth="1"/>
    <col min="6" max="6" width="12.625" style="4" customWidth="1"/>
    <col min="7" max="7" width="58" style="4" customWidth="1"/>
    <col min="8" max="8" width="34.125" style="4" customWidth="1"/>
    <col min="9" max="9" width="21.625" style="4" customWidth="1"/>
    <col min="10" max="16384" width="6.625" style="4"/>
  </cols>
  <sheetData>
    <row r="1" spans="1:10" ht="24">
      <c r="A1" s="1" t="e">
        <f ca="1">HYPERLINK("#'介面'!E"&amp;MATCH(VALUE(RIGHT(CELL("filename"),LEN(CELL("filename"))-FIND("]",CELL("filename")))),介面!D:D,"0"),"←")</f>
        <v>#VALUE!</v>
      </c>
      <c r="B1" s="207" t="s">
        <v>176</v>
      </c>
      <c r="C1" s="208"/>
      <c r="D1" s="208"/>
      <c r="E1" s="209"/>
      <c r="F1" s="207" t="s">
        <v>177</v>
      </c>
      <c r="G1" s="208"/>
      <c r="H1" s="208"/>
      <c r="I1" s="208"/>
    </row>
    <row r="2" spans="1:10" ht="24">
      <c r="A2" s="1"/>
      <c r="B2" s="210" t="s">
        <v>275</v>
      </c>
      <c r="C2" s="211"/>
      <c r="D2" s="211"/>
      <c r="E2" s="212"/>
      <c r="F2" s="210"/>
      <c r="G2" s="211"/>
      <c r="H2" s="211"/>
      <c r="I2" s="212"/>
    </row>
    <row r="3" spans="1:10" s="8" customFormat="1" ht="15">
      <c r="A3" s="6"/>
      <c r="B3" s="7" t="s">
        <v>276</v>
      </c>
      <c r="C3" s="56" t="s">
        <v>277</v>
      </c>
      <c r="D3" s="56" t="s">
        <v>278</v>
      </c>
      <c r="E3" s="57" t="s">
        <v>279</v>
      </c>
      <c r="F3" s="57" t="s">
        <v>280</v>
      </c>
      <c r="G3" s="56" t="s">
        <v>281</v>
      </c>
      <c r="H3" s="141" t="s">
        <v>11</v>
      </c>
      <c r="I3" s="56" t="s">
        <v>282</v>
      </c>
    </row>
    <row r="4" spans="1:10" s="24" customFormat="1" ht="15">
      <c r="A4" s="25"/>
      <c r="B4" s="46">
        <v>1</v>
      </c>
      <c r="C4" s="64" t="s">
        <v>1825</v>
      </c>
      <c r="D4" s="64" t="s">
        <v>1826</v>
      </c>
      <c r="E4" s="62" t="s">
        <v>285</v>
      </c>
      <c r="F4" s="62">
        <v>50</v>
      </c>
      <c r="G4" s="66" t="s">
        <v>330</v>
      </c>
      <c r="H4" s="142" t="s">
        <v>302</v>
      </c>
      <c r="I4" s="66" t="s">
        <v>287</v>
      </c>
    </row>
    <row r="5" spans="1:10" s="24" customFormat="1" ht="15">
      <c r="A5" s="25"/>
      <c r="B5" s="46">
        <v>2</v>
      </c>
      <c r="C5" s="50" t="s">
        <v>303</v>
      </c>
      <c r="D5" s="50" t="s">
        <v>304</v>
      </c>
      <c r="E5" s="51" t="s">
        <v>452</v>
      </c>
      <c r="F5" s="51">
        <v>20</v>
      </c>
      <c r="G5" s="66" t="s">
        <v>331</v>
      </c>
      <c r="H5" s="142"/>
      <c r="I5" s="19" t="s">
        <v>287</v>
      </c>
    </row>
    <row r="6" spans="1:10" s="95" customFormat="1" ht="15.75">
      <c r="A6" s="93"/>
      <c r="B6" s="46">
        <v>3</v>
      </c>
      <c r="C6" s="50" t="s">
        <v>637</v>
      </c>
      <c r="D6" s="50" t="s">
        <v>364</v>
      </c>
      <c r="E6" s="51" t="s">
        <v>296</v>
      </c>
      <c r="F6" s="51">
        <v>20</v>
      </c>
      <c r="G6" s="66" t="s">
        <v>331</v>
      </c>
      <c r="H6" s="66"/>
      <c r="I6" s="66" t="s">
        <v>639</v>
      </c>
    </row>
    <row r="7" spans="1:10" s="95" customFormat="1" ht="15.75">
      <c r="A7" s="93"/>
      <c r="B7" s="46">
        <v>4</v>
      </c>
      <c r="C7" s="50" t="s">
        <v>2151</v>
      </c>
      <c r="D7" s="76" t="s">
        <v>641</v>
      </c>
      <c r="E7" s="51" t="s">
        <v>418</v>
      </c>
      <c r="F7" s="51">
        <v>11</v>
      </c>
      <c r="G7" s="66" t="s">
        <v>642</v>
      </c>
      <c r="H7" s="66"/>
      <c r="I7" s="66" t="s">
        <v>639</v>
      </c>
    </row>
    <row r="8" spans="1:10" s="95" customFormat="1" ht="15.75">
      <c r="A8" s="93"/>
      <c r="B8" s="46">
        <v>5</v>
      </c>
      <c r="C8" s="50" t="s">
        <v>2152</v>
      </c>
      <c r="D8" s="76" t="s">
        <v>2153</v>
      </c>
      <c r="E8" s="51" t="s">
        <v>418</v>
      </c>
      <c r="F8" s="51">
        <v>11</v>
      </c>
      <c r="G8" s="66" t="s">
        <v>2154</v>
      </c>
      <c r="H8" s="66"/>
      <c r="I8" s="66" t="s">
        <v>639</v>
      </c>
    </row>
    <row r="9" spans="1:10" ht="15.75">
      <c r="A9" s="1"/>
      <c r="B9" s="2"/>
      <c r="C9" s="3"/>
      <c r="D9" s="3"/>
      <c r="E9" s="3"/>
      <c r="F9" s="3"/>
      <c r="G9" s="3"/>
      <c r="H9" s="3"/>
      <c r="I9" s="3"/>
    </row>
    <row r="10" spans="1:10" ht="24">
      <c r="A10" s="1"/>
      <c r="B10" s="204" t="s">
        <v>291</v>
      </c>
      <c r="C10" s="205"/>
      <c r="D10" s="205"/>
      <c r="E10" s="206"/>
      <c r="F10" s="204"/>
      <c r="G10" s="205"/>
      <c r="H10" s="205"/>
      <c r="I10" s="206"/>
    </row>
    <row r="11" spans="1:10" s="8" customFormat="1" ht="15">
      <c r="A11" s="6"/>
      <c r="B11" s="7" t="s">
        <v>276</v>
      </c>
      <c r="C11" s="56" t="s">
        <v>277</v>
      </c>
      <c r="D11" s="56" t="s">
        <v>278</v>
      </c>
      <c r="E11" s="57" t="s">
        <v>279</v>
      </c>
      <c r="F11" s="57" t="s">
        <v>280</v>
      </c>
      <c r="G11" s="56" t="s">
        <v>11</v>
      </c>
      <c r="H11" s="56" t="s">
        <v>292</v>
      </c>
      <c r="I11" s="56" t="s">
        <v>293</v>
      </c>
    </row>
    <row r="12" spans="1:10" s="24" customFormat="1" ht="15.75">
      <c r="A12" s="25"/>
      <c r="B12" s="46">
        <v>1</v>
      </c>
      <c r="C12" s="80" t="s">
        <v>637</v>
      </c>
      <c r="D12" s="80" t="s">
        <v>364</v>
      </c>
      <c r="E12" s="81" t="s">
        <v>296</v>
      </c>
      <c r="F12" s="81">
        <v>20</v>
      </c>
      <c r="G12" s="85"/>
      <c r="H12" s="28" t="s">
        <v>84</v>
      </c>
      <c r="I12" s="130" t="s">
        <v>364</v>
      </c>
    </row>
    <row r="13" spans="1:10" s="24" customFormat="1" ht="15.75">
      <c r="A13" s="25"/>
      <c r="B13" s="46">
        <f>B12+1</f>
        <v>2</v>
      </c>
      <c r="C13" s="80" t="s">
        <v>2136</v>
      </c>
      <c r="D13" s="80" t="s">
        <v>2155</v>
      </c>
      <c r="E13" s="81" t="s">
        <v>296</v>
      </c>
      <c r="F13" s="81">
        <v>20</v>
      </c>
      <c r="G13" s="85"/>
      <c r="H13" s="28" t="s">
        <v>84</v>
      </c>
      <c r="I13" s="130" t="s">
        <v>364</v>
      </c>
    </row>
    <row r="14" spans="1:10" s="98" customFormat="1" ht="15">
      <c r="A14" s="96"/>
      <c r="B14" s="46">
        <f t="shared" ref="B14:B37" si="0">B13+1</f>
        <v>3</v>
      </c>
      <c r="C14" s="50" t="s">
        <v>2156</v>
      </c>
      <c r="D14" s="50" t="s">
        <v>304</v>
      </c>
      <c r="E14" s="51" t="s">
        <v>296</v>
      </c>
      <c r="F14" s="51">
        <v>20</v>
      </c>
      <c r="G14" s="19"/>
      <c r="H14" s="19" t="s">
        <v>1924</v>
      </c>
      <c r="I14" s="19" t="s">
        <v>304</v>
      </c>
      <c r="J14" s="101"/>
    </row>
    <row r="15" spans="1:10" s="98" customFormat="1" ht="15">
      <c r="A15" s="96"/>
      <c r="B15" s="46">
        <f t="shared" si="0"/>
        <v>4</v>
      </c>
      <c r="C15" s="50" t="s">
        <v>2138</v>
      </c>
      <c r="D15" s="50" t="s">
        <v>654</v>
      </c>
      <c r="E15" s="51" t="s">
        <v>285</v>
      </c>
      <c r="F15" s="51">
        <v>20</v>
      </c>
      <c r="G15" s="19" t="s">
        <v>655</v>
      </c>
      <c r="H15" s="47"/>
      <c r="I15" s="47"/>
      <c r="J15" s="101"/>
    </row>
    <row r="16" spans="1:10" s="98" customFormat="1" ht="15">
      <c r="A16" s="96"/>
      <c r="B16" s="46">
        <f t="shared" si="0"/>
        <v>5</v>
      </c>
      <c r="C16" s="50" t="s">
        <v>2157</v>
      </c>
      <c r="D16" s="76" t="s">
        <v>657</v>
      </c>
      <c r="E16" s="51" t="s">
        <v>285</v>
      </c>
      <c r="F16" s="51">
        <v>30</v>
      </c>
      <c r="G16" s="19" t="s">
        <v>655</v>
      </c>
      <c r="H16" s="47"/>
      <c r="I16" s="47"/>
      <c r="J16" s="101"/>
    </row>
    <row r="17" spans="1:10" s="98" customFormat="1" ht="15">
      <c r="A17" s="96"/>
      <c r="B17" s="46">
        <f t="shared" si="0"/>
        <v>6</v>
      </c>
      <c r="C17" s="50" t="s">
        <v>2158</v>
      </c>
      <c r="D17" s="76" t="s">
        <v>659</v>
      </c>
      <c r="E17" s="51" t="s">
        <v>285</v>
      </c>
      <c r="F17" s="51">
        <v>30</v>
      </c>
      <c r="G17" s="19" t="s">
        <v>655</v>
      </c>
      <c r="H17" s="19"/>
      <c r="I17" s="19"/>
      <c r="J17" s="101"/>
    </row>
    <row r="18" spans="1:10" s="101" customFormat="1" ht="15">
      <c r="A18" s="100"/>
      <c r="B18" s="46">
        <f t="shared" si="0"/>
        <v>7</v>
      </c>
      <c r="C18" s="104" t="s">
        <v>2159</v>
      </c>
      <c r="D18" s="53" t="s">
        <v>829</v>
      </c>
      <c r="E18" s="27" t="s">
        <v>296</v>
      </c>
      <c r="F18" s="27">
        <v>20</v>
      </c>
      <c r="G18" s="29" t="s">
        <v>2160</v>
      </c>
      <c r="H18" s="28" t="s">
        <v>43</v>
      </c>
      <c r="I18" s="28" t="s">
        <v>339</v>
      </c>
    </row>
    <row r="19" spans="1:10" s="98" customFormat="1" ht="15">
      <c r="A19" s="96"/>
      <c r="B19" s="46">
        <f t="shared" si="0"/>
        <v>8</v>
      </c>
      <c r="C19" s="104" t="s">
        <v>2161</v>
      </c>
      <c r="D19" s="53" t="s">
        <v>832</v>
      </c>
      <c r="E19" s="62" t="s">
        <v>285</v>
      </c>
      <c r="F19" s="62">
        <v>50</v>
      </c>
      <c r="G19" s="52"/>
      <c r="H19" s="19"/>
      <c r="I19" s="19"/>
      <c r="J19" s="101"/>
    </row>
    <row r="20" spans="1:10" s="98" customFormat="1" ht="15">
      <c r="A20" s="96"/>
      <c r="B20" s="46">
        <f t="shared" si="0"/>
        <v>9</v>
      </c>
      <c r="C20" s="104" t="s">
        <v>2162</v>
      </c>
      <c r="D20" s="53" t="s">
        <v>834</v>
      </c>
      <c r="E20" s="62" t="s">
        <v>285</v>
      </c>
      <c r="F20" s="62">
        <v>100</v>
      </c>
      <c r="G20" s="19"/>
      <c r="H20" s="19"/>
      <c r="I20" s="19"/>
      <c r="J20" s="101"/>
    </row>
    <row r="21" spans="1:10" s="101" customFormat="1" ht="15">
      <c r="A21" s="100"/>
      <c r="B21" s="46">
        <f t="shared" si="0"/>
        <v>10</v>
      </c>
      <c r="C21" s="104" t="s">
        <v>2163</v>
      </c>
      <c r="D21" s="53" t="s">
        <v>836</v>
      </c>
      <c r="E21" s="27" t="s">
        <v>296</v>
      </c>
      <c r="F21" s="27">
        <v>20</v>
      </c>
      <c r="G21" s="29" t="s">
        <v>2164</v>
      </c>
      <c r="H21" s="28" t="s">
        <v>838</v>
      </c>
      <c r="I21" s="28" t="s">
        <v>339</v>
      </c>
    </row>
    <row r="22" spans="1:10" s="98" customFormat="1" ht="15">
      <c r="A22" s="96"/>
      <c r="B22" s="46">
        <f t="shared" si="0"/>
        <v>11</v>
      </c>
      <c r="C22" s="104" t="s">
        <v>2165</v>
      </c>
      <c r="D22" s="53" t="s">
        <v>840</v>
      </c>
      <c r="E22" s="62" t="s">
        <v>285</v>
      </c>
      <c r="F22" s="62">
        <v>50</v>
      </c>
      <c r="G22" s="52"/>
      <c r="H22" s="19"/>
      <c r="I22" s="19"/>
      <c r="J22" s="101"/>
    </row>
    <row r="23" spans="1:10" s="98" customFormat="1" ht="15">
      <c r="A23" s="96"/>
      <c r="B23" s="46">
        <f t="shared" si="0"/>
        <v>12</v>
      </c>
      <c r="C23" s="104" t="s">
        <v>2166</v>
      </c>
      <c r="D23" s="53" t="s">
        <v>842</v>
      </c>
      <c r="E23" s="62" t="s">
        <v>285</v>
      </c>
      <c r="F23" s="62">
        <v>100</v>
      </c>
      <c r="G23" s="19"/>
      <c r="H23" s="19"/>
      <c r="I23" s="19"/>
      <c r="J23" s="101"/>
    </row>
    <row r="24" spans="1:10" s="101" customFormat="1" ht="15">
      <c r="A24" s="100"/>
      <c r="B24" s="46">
        <f t="shared" si="0"/>
        <v>13</v>
      </c>
      <c r="C24" s="104" t="s">
        <v>2167</v>
      </c>
      <c r="D24" s="53" t="s">
        <v>844</v>
      </c>
      <c r="E24" s="27" t="s">
        <v>296</v>
      </c>
      <c r="F24" s="27">
        <v>20</v>
      </c>
      <c r="G24" s="29" t="s">
        <v>2168</v>
      </c>
      <c r="H24" s="28" t="s">
        <v>838</v>
      </c>
      <c r="I24" s="28" t="s">
        <v>339</v>
      </c>
    </row>
    <row r="25" spans="1:10" s="98" customFormat="1" ht="15">
      <c r="A25" s="96"/>
      <c r="B25" s="46">
        <f t="shared" si="0"/>
        <v>14</v>
      </c>
      <c r="C25" s="104" t="s">
        <v>2169</v>
      </c>
      <c r="D25" s="53" t="s">
        <v>847</v>
      </c>
      <c r="E25" s="62" t="s">
        <v>285</v>
      </c>
      <c r="F25" s="62">
        <v>50</v>
      </c>
      <c r="G25" s="52"/>
      <c r="H25" s="19"/>
      <c r="I25" s="19"/>
      <c r="J25" s="101"/>
    </row>
    <row r="26" spans="1:10" s="98" customFormat="1" ht="15">
      <c r="A26" s="96"/>
      <c r="B26" s="46">
        <f t="shared" si="0"/>
        <v>15</v>
      </c>
      <c r="C26" s="104" t="s">
        <v>2170</v>
      </c>
      <c r="D26" s="53" t="s">
        <v>849</v>
      </c>
      <c r="E26" s="62" t="s">
        <v>285</v>
      </c>
      <c r="F26" s="62">
        <v>100</v>
      </c>
      <c r="G26" s="19"/>
      <c r="H26" s="19"/>
      <c r="I26" s="19"/>
      <c r="J26" s="101"/>
    </row>
    <row r="27" spans="1:10" s="101" customFormat="1" ht="15">
      <c r="A27" s="100"/>
      <c r="B27" s="46">
        <f t="shared" si="0"/>
        <v>16</v>
      </c>
      <c r="C27" s="104" t="s">
        <v>2171</v>
      </c>
      <c r="D27" s="53" t="s">
        <v>851</v>
      </c>
      <c r="E27" s="27" t="s">
        <v>296</v>
      </c>
      <c r="F27" s="27">
        <v>20</v>
      </c>
      <c r="G27" s="29" t="s">
        <v>2172</v>
      </c>
      <c r="H27" s="28" t="s">
        <v>838</v>
      </c>
      <c r="I27" s="28" t="s">
        <v>339</v>
      </c>
    </row>
    <row r="28" spans="1:10" s="98" customFormat="1" ht="15">
      <c r="A28" s="96"/>
      <c r="B28" s="46">
        <f t="shared" si="0"/>
        <v>17</v>
      </c>
      <c r="C28" s="104" t="s">
        <v>2173</v>
      </c>
      <c r="D28" s="53" t="s">
        <v>854</v>
      </c>
      <c r="E28" s="62" t="s">
        <v>285</v>
      </c>
      <c r="F28" s="62">
        <v>50</v>
      </c>
      <c r="G28" s="52"/>
      <c r="H28" s="19"/>
      <c r="I28" s="19"/>
      <c r="J28" s="101"/>
    </row>
    <row r="29" spans="1:10" s="98" customFormat="1" ht="15">
      <c r="A29" s="96"/>
      <c r="B29" s="46">
        <f t="shared" si="0"/>
        <v>18</v>
      </c>
      <c r="C29" s="104" t="s">
        <v>2174</v>
      </c>
      <c r="D29" s="53" t="s">
        <v>856</v>
      </c>
      <c r="E29" s="62" t="s">
        <v>285</v>
      </c>
      <c r="F29" s="62">
        <v>100</v>
      </c>
      <c r="G29" s="19"/>
      <c r="H29" s="19"/>
      <c r="I29" s="19"/>
      <c r="J29" s="101"/>
    </row>
    <row r="30" spans="1:10" s="101" customFormat="1" ht="15">
      <c r="A30" s="100"/>
      <c r="B30" s="46">
        <f t="shared" si="0"/>
        <v>19</v>
      </c>
      <c r="C30" s="104" t="s">
        <v>2175</v>
      </c>
      <c r="D30" s="53" t="s">
        <v>858</v>
      </c>
      <c r="E30" s="27" t="s">
        <v>296</v>
      </c>
      <c r="F30" s="27">
        <v>20</v>
      </c>
      <c r="G30" s="29" t="s">
        <v>2176</v>
      </c>
      <c r="H30" s="28" t="s">
        <v>838</v>
      </c>
      <c r="I30" s="28" t="s">
        <v>339</v>
      </c>
    </row>
    <row r="31" spans="1:10" s="98" customFormat="1" ht="15">
      <c r="A31" s="96"/>
      <c r="B31" s="46">
        <f t="shared" si="0"/>
        <v>20</v>
      </c>
      <c r="C31" s="104" t="s">
        <v>2177</v>
      </c>
      <c r="D31" s="53" t="s">
        <v>861</v>
      </c>
      <c r="E31" s="62" t="s">
        <v>285</v>
      </c>
      <c r="F31" s="62">
        <v>50</v>
      </c>
      <c r="G31" s="52"/>
      <c r="H31" s="19"/>
      <c r="I31" s="19"/>
      <c r="J31" s="101"/>
    </row>
    <row r="32" spans="1:10" s="98" customFormat="1" ht="15">
      <c r="A32" s="96"/>
      <c r="B32" s="46">
        <f t="shared" si="0"/>
        <v>21</v>
      </c>
      <c r="C32" s="104" t="s">
        <v>2178</v>
      </c>
      <c r="D32" s="53" t="s">
        <v>863</v>
      </c>
      <c r="E32" s="62" t="s">
        <v>285</v>
      </c>
      <c r="F32" s="62">
        <v>100</v>
      </c>
      <c r="G32" s="19"/>
      <c r="H32" s="19"/>
      <c r="I32" s="19"/>
      <c r="J32" s="101"/>
    </row>
    <row r="33" spans="1:10" s="101" customFormat="1" ht="15">
      <c r="A33" s="100"/>
      <c r="B33" s="46">
        <f t="shared" si="0"/>
        <v>22</v>
      </c>
      <c r="C33" s="102" t="s">
        <v>2179</v>
      </c>
      <c r="D33" s="53" t="s">
        <v>864</v>
      </c>
      <c r="E33" s="27" t="s">
        <v>296</v>
      </c>
      <c r="F33" s="27">
        <v>20</v>
      </c>
      <c r="G33" s="102"/>
      <c r="H33" s="28" t="s">
        <v>472</v>
      </c>
      <c r="I33" s="28" t="s">
        <v>475</v>
      </c>
    </row>
    <row r="34" spans="1:10" s="98" customFormat="1" ht="15">
      <c r="A34" s="96"/>
      <c r="B34" s="46">
        <f t="shared" si="0"/>
        <v>23</v>
      </c>
      <c r="C34" s="102" t="s">
        <v>2180</v>
      </c>
      <c r="D34" s="76" t="s">
        <v>477</v>
      </c>
      <c r="E34" s="62" t="s">
        <v>285</v>
      </c>
      <c r="F34" s="62">
        <v>20</v>
      </c>
      <c r="G34" s="52"/>
      <c r="H34" s="19"/>
      <c r="I34" s="19"/>
      <c r="J34" s="101"/>
    </row>
    <row r="35" spans="1:10" s="98" customFormat="1" ht="15">
      <c r="A35" s="96"/>
      <c r="B35" s="46">
        <f t="shared" si="0"/>
        <v>24</v>
      </c>
      <c r="C35" s="102" t="s">
        <v>2181</v>
      </c>
      <c r="D35" s="76" t="s">
        <v>479</v>
      </c>
      <c r="E35" s="62" t="s">
        <v>285</v>
      </c>
      <c r="F35" s="62">
        <v>100</v>
      </c>
      <c r="G35" s="19"/>
      <c r="H35" s="19"/>
      <c r="I35" s="19"/>
      <c r="J35" s="101"/>
    </row>
    <row r="36" spans="1:10" s="98" customFormat="1" ht="15">
      <c r="A36" s="96"/>
      <c r="B36" s="46">
        <f t="shared" si="0"/>
        <v>25</v>
      </c>
      <c r="C36" s="53" t="s">
        <v>2182</v>
      </c>
      <c r="D36" s="53" t="s">
        <v>1105</v>
      </c>
      <c r="E36" s="51" t="s">
        <v>326</v>
      </c>
      <c r="F36" s="51">
        <v>4</v>
      </c>
      <c r="G36" s="52" t="s">
        <v>935</v>
      </c>
      <c r="H36" s="19" t="s">
        <v>936</v>
      </c>
      <c r="I36" s="19"/>
      <c r="J36" s="101"/>
    </row>
    <row r="37" spans="1:10" s="98" customFormat="1" ht="15">
      <c r="A37" s="96"/>
      <c r="B37" s="46">
        <f t="shared" si="0"/>
        <v>26</v>
      </c>
      <c r="C37" s="53" t="s">
        <v>2183</v>
      </c>
      <c r="D37" s="53" t="s">
        <v>2184</v>
      </c>
      <c r="E37" s="51" t="s">
        <v>316</v>
      </c>
      <c r="F37" s="51"/>
      <c r="G37" s="52"/>
      <c r="H37" s="19"/>
      <c r="I37" s="19"/>
      <c r="J37" s="101"/>
    </row>
    <row r="38" spans="1:10" ht="15">
      <c r="B38" s="21"/>
    </row>
    <row r="39" spans="1:10" ht="15">
      <c r="B39" s="45"/>
    </row>
    <row r="40" spans="1:10" ht="15.75">
      <c r="B40" s="45"/>
      <c r="C40" s="140"/>
    </row>
    <row r="41" spans="1:10" ht="15.75">
      <c r="C41" s="140"/>
    </row>
  </sheetData>
  <mergeCells count="6">
    <mergeCell ref="B1:E1"/>
    <mergeCell ref="F1:I1"/>
    <mergeCell ref="B2:E2"/>
    <mergeCell ref="F2:I2"/>
    <mergeCell ref="B10:E10"/>
    <mergeCell ref="F10:I10"/>
  </mergeCells>
  <phoneticPr fontId="5" type="noConversion"/>
  <pageMargins left="0.7" right="0.7" top="0.75" bottom="0.75" header="0.3" footer="0.3"/>
  <pageSetup paperSize="9" orientation="portrait" horizontalDpi="0" verticalDpi="0"/>
</worksheet>
</file>

<file path=xl/worksheets/sheet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EC3855-A7FA-4AEE-B2A2-57BE1EFD6050}">
  <sheetPr codeName="工作表60"/>
  <dimension ref="A1:I29"/>
  <sheetViews>
    <sheetView topLeftCell="A11" workbookViewId="0"/>
  </sheetViews>
  <sheetFormatPr defaultColWidth="6.625" defaultRowHeight="13.5"/>
  <cols>
    <col min="1" max="1" width="3.125" style="4" bestFit="1" customWidth="1"/>
    <col min="2" max="2" width="5.5" style="8" customWidth="1"/>
    <col min="3" max="3" width="26.625" style="4" customWidth="1"/>
    <col min="4" max="4" width="31.125" style="4" customWidth="1"/>
    <col min="5" max="5" width="11.125" style="4" bestFit="1" customWidth="1"/>
    <col min="6" max="6" width="12.625" style="4" customWidth="1"/>
    <col min="7" max="7" width="58" style="4" customWidth="1"/>
    <col min="8" max="8" width="34.125" style="4" customWidth="1"/>
    <col min="9" max="9" width="21.625" style="4" customWidth="1"/>
    <col min="10" max="16384" width="6.625" style="4"/>
  </cols>
  <sheetData>
    <row r="1" spans="1:9" ht="24">
      <c r="A1" s="1" t="e">
        <f ca="1">HYPERLINK("#'介面'!E"&amp;MATCH(VALUE(RIGHT(CELL("filename"),LEN(CELL("filename"))-FIND("]",CELL("filename")))),介面!D:D,"0"),"←")</f>
        <v>#VALUE!</v>
      </c>
      <c r="B1" s="207" t="s">
        <v>179</v>
      </c>
      <c r="C1" s="208"/>
      <c r="D1" s="208"/>
      <c r="E1" s="209"/>
      <c r="F1" s="207" t="s">
        <v>180</v>
      </c>
      <c r="G1" s="208"/>
      <c r="H1" s="208"/>
      <c r="I1" s="208"/>
    </row>
    <row r="2" spans="1:9" ht="24">
      <c r="A2" s="1"/>
      <c r="B2" s="210" t="s">
        <v>275</v>
      </c>
      <c r="C2" s="211"/>
      <c r="D2" s="211"/>
      <c r="E2" s="212"/>
      <c r="F2" s="210"/>
      <c r="G2" s="211"/>
      <c r="H2" s="211"/>
      <c r="I2" s="212"/>
    </row>
    <row r="3" spans="1:9" s="8" customFormat="1" ht="15">
      <c r="A3" s="6"/>
      <c r="B3" s="7" t="s">
        <v>276</v>
      </c>
      <c r="C3" s="56" t="s">
        <v>277</v>
      </c>
      <c r="D3" s="56" t="s">
        <v>278</v>
      </c>
      <c r="E3" s="57" t="s">
        <v>279</v>
      </c>
      <c r="F3" s="57" t="s">
        <v>280</v>
      </c>
      <c r="G3" s="56" t="s">
        <v>281</v>
      </c>
      <c r="H3" s="141" t="s">
        <v>11</v>
      </c>
      <c r="I3" s="56" t="s">
        <v>282</v>
      </c>
    </row>
    <row r="4" spans="1:9" s="24" customFormat="1" ht="15">
      <c r="A4" s="25"/>
      <c r="B4" s="46">
        <v>1</v>
      </c>
      <c r="C4" s="64" t="s">
        <v>1825</v>
      </c>
      <c r="D4" s="64" t="s">
        <v>1826</v>
      </c>
      <c r="E4" s="62" t="s">
        <v>285</v>
      </c>
      <c r="F4" s="62">
        <v>50</v>
      </c>
      <c r="G4" s="66" t="s">
        <v>330</v>
      </c>
      <c r="H4" s="142" t="s">
        <v>302</v>
      </c>
      <c r="I4" s="66" t="s">
        <v>287</v>
      </c>
    </row>
    <row r="5" spans="1:9" s="24" customFormat="1" ht="15">
      <c r="A5" s="25"/>
      <c r="B5" s="46">
        <v>2</v>
      </c>
      <c r="C5" s="50" t="s">
        <v>303</v>
      </c>
      <c r="D5" s="50" t="s">
        <v>304</v>
      </c>
      <c r="E5" s="51" t="s">
        <v>452</v>
      </c>
      <c r="F5" s="51">
        <v>20</v>
      </c>
      <c r="G5" s="66" t="s">
        <v>331</v>
      </c>
      <c r="H5" s="142"/>
      <c r="I5" s="19" t="s">
        <v>287</v>
      </c>
    </row>
    <row r="6" spans="1:9" s="95" customFormat="1" ht="15.75">
      <c r="A6" s="93"/>
      <c r="B6" s="46">
        <v>3</v>
      </c>
      <c r="C6" s="64" t="s">
        <v>637</v>
      </c>
      <c r="D6" s="64" t="s">
        <v>364</v>
      </c>
      <c r="E6" s="51" t="s">
        <v>452</v>
      </c>
      <c r="F6" s="51">
        <v>20</v>
      </c>
      <c r="G6" s="91" t="s">
        <v>331</v>
      </c>
      <c r="H6" s="142"/>
      <c r="I6" s="19" t="s">
        <v>287</v>
      </c>
    </row>
    <row r="7" spans="1:9" ht="15.75">
      <c r="A7" s="1"/>
      <c r="B7" s="2"/>
      <c r="C7" s="3"/>
      <c r="D7" s="3"/>
      <c r="E7" s="3"/>
      <c r="F7" s="3"/>
      <c r="G7" s="3"/>
      <c r="H7" s="3"/>
      <c r="I7" s="3"/>
    </row>
    <row r="8" spans="1:9" ht="24">
      <c r="A8" s="1"/>
      <c r="B8" s="204" t="s">
        <v>291</v>
      </c>
      <c r="C8" s="205"/>
      <c r="D8" s="205"/>
      <c r="E8" s="206"/>
      <c r="F8" s="204"/>
      <c r="G8" s="205"/>
      <c r="H8" s="205"/>
      <c r="I8" s="206"/>
    </row>
    <row r="9" spans="1:9" s="8" customFormat="1" ht="15">
      <c r="A9" s="6"/>
      <c r="B9" s="7" t="s">
        <v>276</v>
      </c>
      <c r="C9" s="56" t="s">
        <v>277</v>
      </c>
      <c r="D9" s="56" t="s">
        <v>278</v>
      </c>
      <c r="E9" s="57" t="s">
        <v>279</v>
      </c>
      <c r="F9" s="57" t="s">
        <v>280</v>
      </c>
      <c r="G9" s="56" t="s">
        <v>11</v>
      </c>
      <c r="H9" s="56" t="s">
        <v>292</v>
      </c>
      <c r="I9" s="56" t="s">
        <v>293</v>
      </c>
    </row>
    <row r="10" spans="1:9" s="24" customFormat="1" ht="15">
      <c r="A10" s="25"/>
      <c r="B10" s="46">
        <v>1</v>
      </c>
      <c r="C10" s="64" t="s">
        <v>1556</v>
      </c>
      <c r="D10" s="64" t="s">
        <v>1557</v>
      </c>
      <c r="E10" s="62" t="s">
        <v>452</v>
      </c>
      <c r="F10" s="62">
        <v>20</v>
      </c>
      <c r="G10" s="66"/>
      <c r="H10" s="66"/>
      <c r="I10" s="66"/>
    </row>
    <row r="11" spans="1:9" s="24" customFormat="1" ht="15">
      <c r="A11" s="25"/>
      <c r="B11" s="46">
        <f>B10+1</f>
        <v>2</v>
      </c>
      <c r="C11" s="50" t="s">
        <v>453</v>
      </c>
      <c r="D11" s="50" t="s">
        <v>304</v>
      </c>
      <c r="E11" s="51" t="s">
        <v>452</v>
      </c>
      <c r="F11" s="51">
        <v>20</v>
      </c>
      <c r="G11" s="52"/>
      <c r="H11" s="19" t="s">
        <v>1924</v>
      </c>
      <c r="I11" s="19" t="s">
        <v>304</v>
      </c>
    </row>
    <row r="12" spans="1:9" s="24" customFormat="1" ht="15">
      <c r="A12" s="25"/>
      <c r="B12" s="46">
        <f t="shared" ref="B12:B26" si="0">B11+1</f>
        <v>3</v>
      </c>
      <c r="C12" s="64" t="s">
        <v>1559</v>
      </c>
      <c r="D12" s="64" t="s">
        <v>1560</v>
      </c>
      <c r="E12" s="68" t="s">
        <v>456</v>
      </c>
      <c r="F12" s="62">
        <v>20</v>
      </c>
      <c r="G12" s="66"/>
      <c r="H12" s="28"/>
      <c r="I12" s="66"/>
    </row>
    <row r="13" spans="1:9" s="24" customFormat="1" ht="15">
      <c r="A13" s="25"/>
      <c r="B13" s="46">
        <f t="shared" si="0"/>
        <v>4</v>
      </c>
      <c r="C13" s="64" t="s">
        <v>1562</v>
      </c>
      <c r="D13" s="64" t="s">
        <v>1563</v>
      </c>
      <c r="E13" s="68" t="s">
        <v>456</v>
      </c>
      <c r="F13" s="62">
        <v>100</v>
      </c>
      <c r="G13" s="66"/>
      <c r="H13" s="66"/>
      <c r="I13" s="66"/>
    </row>
    <row r="14" spans="1:9" s="24" customFormat="1" ht="15">
      <c r="A14" s="25"/>
      <c r="B14" s="46">
        <f t="shared" si="0"/>
        <v>5</v>
      </c>
      <c r="C14" s="64" t="s">
        <v>1564</v>
      </c>
      <c r="D14" s="64" t="s">
        <v>2185</v>
      </c>
      <c r="E14" s="68" t="s">
        <v>456</v>
      </c>
      <c r="F14" s="62">
        <v>1000</v>
      </c>
      <c r="G14" s="66"/>
      <c r="H14" s="66"/>
      <c r="I14" s="66"/>
    </row>
    <row r="15" spans="1:9" s="24" customFormat="1" ht="15">
      <c r="A15" s="25"/>
      <c r="B15" s="46">
        <f t="shared" si="0"/>
        <v>6</v>
      </c>
      <c r="C15" s="64" t="s">
        <v>2186</v>
      </c>
      <c r="D15" s="64" t="s">
        <v>2187</v>
      </c>
      <c r="E15" s="68" t="s">
        <v>285</v>
      </c>
      <c r="F15" s="62">
        <v>500</v>
      </c>
      <c r="G15" s="62"/>
      <c r="H15" s="62"/>
      <c r="I15" s="66"/>
    </row>
    <row r="16" spans="1:9" s="24" customFormat="1" ht="15">
      <c r="A16" s="25"/>
      <c r="B16" s="46">
        <f t="shared" si="0"/>
        <v>7</v>
      </c>
      <c r="C16" s="64" t="s">
        <v>2188</v>
      </c>
      <c r="D16" s="64" t="s">
        <v>2189</v>
      </c>
      <c r="E16" s="68" t="s">
        <v>409</v>
      </c>
      <c r="F16" s="62"/>
      <c r="G16" s="62"/>
      <c r="H16" s="62"/>
      <c r="I16" s="66"/>
    </row>
    <row r="17" spans="1:9" s="24" customFormat="1" ht="45">
      <c r="A17" s="25"/>
      <c r="B17" s="46">
        <f t="shared" si="0"/>
        <v>8</v>
      </c>
      <c r="C17" s="53" t="s">
        <v>1566</v>
      </c>
      <c r="D17" s="50" t="s">
        <v>1567</v>
      </c>
      <c r="E17" s="51" t="s">
        <v>285</v>
      </c>
      <c r="F17" s="51">
        <v>20</v>
      </c>
      <c r="G17" s="52" t="s">
        <v>1569</v>
      </c>
      <c r="H17" s="19"/>
      <c r="I17" s="50"/>
    </row>
    <row r="18" spans="1:9" ht="225">
      <c r="B18" s="46">
        <f t="shared" si="0"/>
        <v>9</v>
      </c>
      <c r="C18" s="26" t="s">
        <v>1577</v>
      </c>
      <c r="D18" s="26" t="s">
        <v>1578</v>
      </c>
      <c r="E18" s="27" t="s">
        <v>285</v>
      </c>
      <c r="F18" s="27">
        <v>20</v>
      </c>
      <c r="G18" s="29" t="s">
        <v>1579</v>
      </c>
      <c r="H18" s="28" t="s">
        <v>1580</v>
      </c>
      <c r="I18" s="26"/>
    </row>
    <row r="19" spans="1:9" ht="15">
      <c r="B19" s="46">
        <f t="shared" si="0"/>
        <v>10</v>
      </c>
      <c r="C19" s="64" t="s">
        <v>1570</v>
      </c>
      <c r="D19" s="64" t="s">
        <v>1571</v>
      </c>
      <c r="E19" s="62" t="s">
        <v>285</v>
      </c>
      <c r="F19" s="62">
        <v>6</v>
      </c>
      <c r="G19" s="52" t="s">
        <v>1572</v>
      </c>
      <c r="H19" s="28" t="s">
        <v>1573</v>
      </c>
      <c r="I19" s="64"/>
    </row>
    <row r="20" spans="1:9" ht="15">
      <c r="B20" s="46">
        <f t="shared" si="0"/>
        <v>11</v>
      </c>
      <c r="C20" s="64" t="s">
        <v>1574</v>
      </c>
      <c r="D20" s="64" t="s">
        <v>1575</v>
      </c>
      <c r="E20" s="62" t="s">
        <v>1576</v>
      </c>
      <c r="F20" s="62" t="s">
        <v>609</v>
      </c>
      <c r="G20" s="52"/>
      <c r="H20" s="66"/>
      <c r="I20" s="64"/>
    </row>
    <row r="21" spans="1:9" ht="15">
      <c r="B21" s="46">
        <f t="shared" si="0"/>
        <v>12</v>
      </c>
      <c r="C21" s="70" t="s">
        <v>2190</v>
      </c>
      <c r="D21" s="71" t="s">
        <v>2191</v>
      </c>
      <c r="E21" s="72" t="s">
        <v>326</v>
      </c>
      <c r="F21" s="72">
        <v>4</v>
      </c>
      <c r="G21" s="29" t="s">
        <v>2192</v>
      </c>
      <c r="H21" s="28"/>
      <c r="I21" s="73"/>
    </row>
    <row r="22" spans="1:9" ht="15">
      <c r="B22" s="46">
        <f t="shared" si="0"/>
        <v>13</v>
      </c>
      <c r="C22" s="70" t="s">
        <v>2193</v>
      </c>
      <c r="D22" s="71" t="s">
        <v>2194</v>
      </c>
      <c r="E22" s="72" t="s">
        <v>326</v>
      </c>
      <c r="F22" s="72">
        <v>4</v>
      </c>
      <c r="G22" s="29" t="s">
        <v>2192</v>
      </c>
      <c r="H22" s="28"/>
      <c r="I22" s="73"/>
    </row>
    <row r="23" spans="1:9" ht="15">
      <c r="B23" s="46">
        <f t="shared" si="0"/>
        <v>14</v>
      </c>
      <c r="C23" s="70" t="s">
        <v>2195</v>
      </c>
      <c r="D23" s="71" t="s">
        <v>2196</v>
      </c>
      <c r="E23" s="72" t="s">
        <v>326</v>
      </c>
      <c r="F23" s="72">
        <v>4</v>
      </c>
      <c r="G23" s="29" t="s">
        <v>2192</v>
      </c>
      <c r="H23" s="28"/>
      <c r="I23" s="73"/>
    </row>
    <row r="24" spans="1:9" ht="15">
      <c r="B24" s="46">
        <f t="shared" si="0"/>
        <v>15</v>
      </c>
      <c r="C24" s="70" t="s">
        <v>2197</v>
      </c>
      <c r="D24" s="71" t="s">
        <v>2198</v>
      </c>
      <c r="E24" s="72" t="s">
        <v>326</v>
      </c>
      <c r="F24" s="72">
        <v>4</v>
      </c>
      <c r="G24" s="29" t="s">
        <v>2199</v>
      </c>
      <c r="H24" s="28"/>
      <c r="I24" s="73"/>
    </row>
    <row r="25" spans="1:9" ht="15">
      <c r="B25" s="46">
        <f t="shared" si="0"/>
        <v>16</v>
      </c>
      <c r="C25" s="64" t="s">
        <v>311</v>
      </c>
      <c r="D25" s="64" t="s">
        <v>312</v>
      </c>
      <c r="E25" s="72" t="s">
        <v>313</v>
      </c>
      <c r="F25" s="72"/>
      <c r="G25" s="29"/>
      <c r="H25" s="66"/>
      <c r="I25" s="66"/>
    </row>
    <row r="26" spans="1:9" ht="15">
      <c r="B26" s="46">
        <f t="shared" si="0"/>
        <v>17</v>
      </c>
      <c r="C26" s="70" t="s">
        <v>324</v>
      </c>
      <c r="D26" s="71" t="s">
        <v>325</v>
      </c>
      <c r="E26" s="72" t="s">
        <v>326</v>
      </c>
      <c r="F26" s="72">
        <v>4</v>
      </c>
      <c r="G26" s="29" t="s">
        <v>327</v>
      </c>
      <c r="H26" s="28" t="s">
        <v>328</v>
      </c>
      <c r="I26" s="73"/>
    </row>
    <row r="27" spans="1:9" ht="15">
      <c r="B27" s="21" t="s">
        <v>2150</v>
      </c>
    </row>
    <row r="28" spans="1:9" ht="15">
      <c r="B28" s="45"/>
    </row>
    <row r="29" spans="1:9" ht="15">
      <c r="B29" s="45"/>
    </row>
  </sheetData>
  <mergeCells count="6">
    <mergeCell ref="B8:E8"/>
    <mergeCell ref="F8:I8"/>
    <mergeCell ref="B1:E1"/>
    <mergeCell ref="F1:I1"/>
    <mergeCell ref="B2:E2"/>
    <mergeCell ref="F2:I2"/>
  </mergeCells>
  <phoneticPr fontId="5" type="noConversion"/>
  <pageMargins left="0.7" right="0.7" top="0.75" bottom="0.75" header="0.3" footer="0.3"/>
  <pageSetup paperSize="9" orientation="portrait" horizontalDpi="0" verticalDpi="0"/>
</worksheet>
</file>

<file path=xl/worksheets/sheet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2CE176E-DB78-4E13-B0D7-8585162929D6}">
  <sheetPr codeName="工作表61"/>
  <dimension ref="A1:I25"/>
  <sheetViews>
    <sheetView workbookViewId="0">
      <selection activeCell="A9" sqref="A9:IV9"/>
    </sheetView>
  </sheetViews>
  <sheetFormatPr defaultColWidth="6.625" defaultRowHeight="13.5"/>
  <cols>
    <col min="1" max="1" width="3.125" style="4" bestFit="1" customWidth="1"/>
    <col min="2" max="2" width="5.5" style="8" customWidth="1"/>
    <col min="3" max="3" width="22" style="4" customWidth="1"/>
    <col min="4" max="4" width="23.625" style="4" bestFit="1" customWidth="1"/>
    <col min="5" max="5" width="11.375" style="4" customWidth="1"/>
    <col min="6" max="6" width="7.5" style="4" customWidth="1"/>
    <col min="7" max="7" width="45.625" style="4" customWidth="1"/>
    <col min="8" max="8" width="17.375" style="4" customWidth="1"/>
    <col min="9" max="9" width="22.625" style="4" customWidth="1"/>
    <col min="10" max="16384" width="6.625" style="4"/>
  </cols>
  <sheetData>
    <row r="1" spans="1:9" ht="24">
      <c r="A1" s="1" t="e">
        <f ca="1">HYPERLINK("#'介面'!E"&amp;MATCH(VALUE(RIGHT(CELL("filename"),LEN(CELL("filename"))-FIND("]",CELL("filename")))),介面!D:D,"0"),"←")</f>
        <v>#VALUE!</v>
      </c>
      <c r="B1" s="207" t="s">
        <v>181</v>
      </c>
      <c r="C1" s="208"/>
      <c r="D1" s="208"/>
      <c r="E1" s="209"/>
      <c r="F1" s="207" t="s">
        <v>182</v>
      </c>
      <c r="G1" s="208"/>
      <c r="H1" s="208"/>
      <c r="I1" s="208"/>
    </row>
    <row r="2" spans="1:9" ht="24">
      <c r="A2" s="1"/>
      <c r="B2" s="210" t="s">
        <v>275</v>
      </c>
      <c r="C2" s="211"/>
      <c r="D2" s="211"/>
      <c r="E2" s="212"/>
      <c r="F2" s="210"/>
      <c r="G2" s="211"/>
      <c r="H2" s="211"/>
      <c r="I2" s="212"/>
    </row>
    <row r="3" spans="1:9" s="8" customFormat="1" ht="15">
      <c r="A3" s="6"/>
      <c r="B3" s="7" t="s">
        <v>276</v>
      </c>
      <c r="C3" s="56" t="s">
        <v>277</v>
      </c>
      <c r="D3" s="56" t="s">
        <v>278</v>
      </c>
      <c r="E3" s="57" t="s">
        <v>279</v>
      </c>
      <c r="F3" s="57" t="s">
        <v>280</v>
      </c>
      <c r="G3" s="56" t="s">
        <v>281</v>
      </c>
      <c r="H3" s="141" t="s">
        <v>11</v>
      </c>
      <c r="I3" s="56" t="s">
        <v>282</v>
      </c>
    </row>
    <row r="4" spans="1:9" s="24" customFormat="1" ht="15">
      <c r="A4" s="25"/>
      <c r="B4" s="46">
        <v>1</v>
      </c>
      <c r="C4" s="64" t="s">
        <v>1825</v>
      </c>
      <c r="D4" s="64" t="s">
        <v>1826</v>
      </c>
      <c r="E4" s="62" t="s">
        <v>285</v>
      </c>
      <c r="F4" s="62">
        <v>50</v>
      </c>
      <c r="G4" s="66" t="s">
        <v>330</v>
      </c>
      <c r="H4" s="142" t="s">
        <v>302</v>
      </c>
      <c r="I4" s="66" t="s">
        <v>287</v>
      </c>
    </row>
    <row r="5" spans="1:9" s="24" customFormat="1" ht="15">
      <c r="A5" s="25"/>
      <c r="B5" s="46">
        <v>2</v>
      </c>
      <c r="C5" s="50" t="s">
        <v>303</v>
      </c>
      <c r="D5" s="50" t="s">
        <v>304</v>
      </c>
      <c r="E5" s="51" t="s">
        <v>452</v>
      </c>
      <c r="F5" s="51">
        <v>20</v>
      </c>
      <c r="G5" s="66" t="s">
        <v>331</v>
      </c>
      <c r="H5" s="142"/>
      <c r="I5" s="19" t="s">
        <v>287</v>
      </c>
    </row>
    <row r="6" spans="1:9" s="95" customFormat="1" ht="15.75">
      <c r="A6" s="93"/>
      <c r="B6" s="46">
        <v>3</v>
      </c>
      <c r="C6" s="64" t="s">
        <v>637</v>
      </c>
      <c r="D6" s="64" t="s">
        <v>364</v>
      </c>
      <c r="E6" s="51" t="s">
        <v>452</v>
      </c>
      <c r="F6" s="51">
        <v>20</v>
      </c>
      <c r="G6" s="91" t="s">
        <v>331</v>
      </c>
      <c r="H6" s="142"/>
      <c r="I6" s="19" t="s">
        <v>287</v>
      </c>
    </row>
    <row r="7" spans="1:9" s="24" customFormat="1" ht="15">
      <c r="A7" s="25"/>
      <c r="B7" s="46">
        <v>4</v>
      </c>
      <c r="C7" s="50" t="s">
        <v>1556</v>
      </c>
      <c r="D7" s="50" t="s">
        <v>1557</v>
      </c>
      <c r="E7" s="51" t="s">
        <v>452</v>
      </c>
      <c r="F7" s="51">
        <v>20</v>
      </c>
      <c r="G7" s="52" t="s">
        <v>2200</v>
      </c>
      <c r="H7" s="19"/>
      <c r="I7" s="19" t="s">
        <v>287</v>
      </c>
    </row>
    <row r="8" spans="1:9" s="24" customFormat="1" ht="15">
      <c r="A8" s="25"/>
      <c r="B8" s="46">
        <v>5</v>
      </c>
      <c r="C8" s="50" t="s">
        <v>2201</v>
      </c>
      <c r="D8" s="50" t="s">
        <v>1584</v>
      </c>
      <c r="E8" s="51" t="s">
        <v>316</v>
      </c>
      <c r="F8" s="51"/>
      <c r="G8" s="177" t="s">
        <v>2202</v>
      </c>
      <c r="H8" s="19" t="s">
        <v>2203</v>
      </c>
      <c r="I8" s="19" t="s">
        <v>639</v>
      </c>
    </row>
    <row r="9" spans="1:9" s="24" customFormat="1" ht="15">
      <c r="A9" s="25"/>
      <c r="B9" s="23">
        <v>6</v>
      </c>
      <c r="C9" s="26" t="s">
        <v>2204</v>
      </c>
      <c r="D9" s="26" t="s">
        <v>1593</v>
      </c>
      <c r="E9" s="27" t="s">
        <v>452</v>
      </c>
      <c r="F9" s="27">
        <v>20</v>
      </c>
      <c r="G9" s="134" t="s">
        <v>1590</v>
      </c>
      <c r="H9" s="28" t="s">
        <v>2205</v>
      </c>
      <c r="I9" s="28" t="s">
        <v>639</v>
      </c>
    </row>
    <row r="10" spans="1:9" ht="15.75">
      <c r="A10" s="1"/>
      <c r="B10" s="2"/>
      <c r="C10" s="3"/>
      <c r="D10" s="3"/>
      <c r="E10" s="3"/>
      <c r="F10" s="3"/>
      <c r="G10" s="3"/>
      <c r="H10" s="3"/>
      <c r="I10" s="3"/>
    </row>
    <row r="11" spans="1:9" ht="24">
      <c r="A11" s="1"/>
      <c r="B11" s="204" t="s">
        <v>291</v>
      </c>
      <c r="C11" s="205"/>
      <c r="D11" s="205"/>
      <c r="E11" s="206"/>
      <c r="F11" s="204"/>
      <c r="G11" s="205"/>
      <c r="H11" s="205"/>
      <c r="I11" s="206"/>
    </row>
    <row r="12" spans="1:9" s="8" customFormat="1" ht="15">
      <c r="A12" s="6"/>
      <c r="B12" s="7" t="s">
        <v>276</v>
      </c>
      <c r="C12" s="56" t="s">
        <v>277</v>
      </c>
      <c r="D12" s="56" t="s">
        <v>278</v>
      </c>
      <c r="E12" s="57" t="s">
        <v>279</v>
      </c>
      <c r="F12" s="57" t="s">
        <v>280</v>
      </c>
      <c r="G12" s="56" t="s">
        <v>11</v>
      </c>
      <c r="H12" s="56" t="s">
        <v>292</v>
      </c>
      <c r="I12" s="56" t="s">
        <v>293</v>
      </c>
    </row>
    <row r="13" spans="1:9" s="24" customFormat="1" ht="15.75">
      <c r="A13" s="25"/>
      <c r="B13" s="23">
        <v>1</v>
      </c>
      <c r="C13" s="86" t="s">
        <v>1595</v>
      </c>
      <c r="D13" s="86" t="s">
        <v>1596</v>
      </c>
      <c r="E13" s="87" t="s">
        <v>296</v>
      </c>
      <c r="F13" s="87">
        <v>20</v>
      </c>
      <c r="G13" s="89"/>
      <c r="H13" s="89"/>
      <c r="I13" s="89"/>
    </row>
    <row r="14" spans="1:9" s="24" customFormat="1" ht="15">
      <c r="A14" s="25"/>
      <c r="B14" s="23">
        <f>B13+1</f>
        <v>2</v>
      </c>
      <c r="C14" s="26" t="s">
        <v>453</v>
      </c>
      <c r="D14" s="26" t="s">
        <v>304</v>
      </c>
      <c r="E14" s="27" t="s">
        <v>452</v>
      </c>
      <c r="F14" s="27">
        <v>20</v>
      </c>
      <c r="G14" s="29"/>
      <c r="H14" s="28" t="s">
        <v>1924</v>
      </c>
      <c r="I14" s="28" t="s">
        <v>304</v>
      </c>
    </row>
    <row r="15" spans="1:9" s="24" customFormat="1" ht="15.75">
      <c r="A15" s="25"/>
      <c r="B15" s="23">
        <f t="shared" ref="B15:B21" si="0">B14+1</f>
        <v>3</v>
      </c>
      <c r="C15" s="86" t="s">
        <v>637</v>
      </c>
      <c r="D15" s="86" t="s">
        <v>364</v>
      </c>
      <c r="E15" s="87" t="s">
        <v>296</v>
      </c>
      <c r="F15" s="87">
        <v>20</v>
      </c>
      <c r="G15" s="88"/>
      <c r="H15" s="28" t="s">
        <v>84</v>
      </c>
      <c r="I15" s="89" t="s">
        <v>364</v>
      </c>
    </row>
    <row r="16" spans="1:9" s="24" customFormat="1" ht="15">
      <c r="A16" s="25"/>
      <c r="B16" s="23">
        <f t="shared" si="0"/>
        <v>4</v>
      </c>
      <c r="C16" s="50" t="s">
        <v>1556</v>
      </c>
      <c r="D16" s="50" t="s">
        <v>1557</v>
      </c>
      <c r="E16" s="51" t="s">
        <v>452</v>
      </c>
      <c r="F16" s="51">
        <v>20</v>
      </c>
      <c r="G16" s="52"/>
      <c r="H16" s="19" t="s">
        <v>113</v>
      </c>
      <c r="I16" s="19" t="s">
        <v>1557</v>
      </c>
    </row>
    <row r="17" spans="1:9" s="24" customFormat="1" ht="15">
      <c r="A17" s="25"/>
      <c r="B17" s="23">
        <f t="shared" si="0"/>
        <v>5</v>
      </c>
      <c r="C17" s="50" t="s">
        <v>2206</v>
      </c>
      <c r="D17" s="50" t="s">
        <v>2207</v>
      </c>
      <c r="E17" s="51" t="s">
        <v>316</v>
      </c>
      <c r="F17" s="51"/>
      <c r="G17" s="19"/>
      <c r="H17" s="19"/>
      <c r="I17" s="19"/>
    </row>
    <row r="18" spans="1:9" s="24" customFormat="1" ht="15">
      <c r="A18" s="25"/>
      <c r="B18" s="23">
        <f t="shared" si="0"/>
        <v>6</v>
      </c>
      <c r="C18" s="50" t="s">
        <v>2208</v>
      </c>
      <c r="D18" s="50" t="s">
        <v>2209</v>
      </c>
      <c r="E18" s="51" t="s">
        <v>285</v>
      </c>
      <c r="F18" s="51">
        <v>200</v>
      </c>
      <c r="G18" s="19"/>
      <c r="H18" s="19"/>
      <c r="I18" s="19"/>
    </row>
    <row r="19" spans="1:9" ht="15">
      <c r="B19" s="23">
        <f t="shared" si="0"/>
        <v>7</v>
      </c>
      <c r="C19" s="26" t="s">
        <v>2210</v>
      </c>
      <c r="D19" s="26" t="s">
        <v>2211</v>
      </c>
      <c r="E19" s="27" t="s">
        <v>316</v>
      </c>
      <c r="F19" s="27"/>
      <c r="G19" s="29"/>
      <c r="H19" s="28"/>
      <c r="I19" s="26"/>
    </row>
    <row r="20" spans="1:9" ht="15">
      <c r="B20" s="23">
        <f t="shared" si="0"/>
        <v>8</v>
      </c>
      <c r="C20" s="26" t="s">
        <v>2212</v>
      </c>
      <c r="D20" s="26" t="s">
        <v>2213</v>
      </c>
      <c r="E20" s="27" t="s">
        <v>316</v>
      </c>
      <c r="F20" s="27"/>
      <c r="G20" s="29"/>
      <c r="H20" s="28"/>
      <c r="I20" s="26"/>
    </row>
    <row r="21" spans="1:9" ht="30">
      <c r="B21" s="23">
        <f t="shared" si="0"/>
        <v>9</v>
      </c>
      <c r="C21" s="26" t="s">
        <v>2214</v>
      </c>
      <c r="D21" s="26" t="s">
        <v>2215</v>
      </c>
      <c r="E21" s="51" t="s">
        <v>285</v>
      </c>
      <c r="F21" s="51">
        <v>500</v>
      </c>
      <c r="G21" s="29" t="s">
        <v>2216</v>
      </c>
      <c r="H21" s="28"/>
      <c r="I21" s="26"/>
    </row>
    <row r="22" spans="1:9" ht="15">
      <c r="B22" s="117"/>
    </row>
    <row r="23" spans="1:9" ht="15">
      <c r="B23" s="45"/>
    </row>
    <row r="24" spans="1:9" ht="15">
      <c r="B24" s="45"/>
    </row>
    <row r="25" spans="1:9" ht="15">
      <c r="B25" s="45"/>
    </row>
  </sheetData>
  <mergeCells count="6">
    <mergeCell ref="B11:E11"/>
    <mergeCell ref="F11:I11"/>
    <mergeCell ref="B1:E1"/>
    <mergeCell ref="F1:I1"/>
    <mergeCell ref="B2:E2"/>
    <mergeCell ref="F2:I2"/>
  </mergeCells>
  <phoneticPr fontId="5" type="noConversion"/>
  <pageMargins left="0.7" right="0.7" top="0.75" bottom="0.75" header="0.3" footer="0.3"/>
  <pageSetup paperSize="9" orientation="portrait" horizontalDpi="0" verticalDpi="0"/>
</worksheet>
</file>

<file path=xl/worksheets/sheet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5C28662-5C7D-4080-8E07-BFBF6E4CDA7B}">
  <sheetPr codeName="工作表62"/>
  <dimension ref="A1:I25"/>
  <sheetViews>
    <sheetView workbookViewId="0">
      <selection activeCell="G9" sqref="G8:G9"/>
    </sheetView>
  </sheetViews>
  <sheetFormatPr defaultColWidth="6.625" defaultRowHeight="13.5"/>
  <cols>
    <col min="1" max="1" width="3.125" style="4" bestFit="1" customWidth="1"/>
    <col min="2" max="2" width="5.5" style="8" customWidth="1"/>
    <col min="3" max="3" width="22.625" style="4" customWidth="1"/>
    <col min="4" max="4" width="40.625" style="4" customWidth="1"/>
    <col min="5" max="5" width="11.125" style="4" customWidth="1"/>
    <col min="6" max="6" width="5.5" style="4" bestFit="1" customWidth="1"/>
    <col min="7" max="7" width="44.125" style="4" customWidth="1"/>
    <col min="8" max="8" width="19.375" style="4" customWidth="1"/>
    <col min="9" max="9" width="25" style="4" customWidth="1"/>
    <col min="10" max="16384" width="6.625" style="4"/>
  </cols>
  <sheetData>
    <row r="1" spans="1:9" ht="24">
      <c r="A1" s="1" t="e">
        <f ca="1">HYPERLINK("#'介面'!E"&amp;MATCH(VALUE(RIGHT(CELL("filename"),LEN(CELL("filename"))-FIND("]",CELL("filename")))),介面!D:D,"0"),"←")</f>
        <v>#VALUE!</v>
      </c>
      <c r="B1" s="207" t="s">
        <v>183</v>
      </c>
      <c r="C1" s="208"/>
      <c r="D1" s="208"/>
      <c r="E1" s="209"/>
      <c r="F1" s="207" t="s">
        <v>184</v>
      </c>
      <c r="G1" s="208"/>
      <c r="H1" s="208"/>
      <c r="I1" s="208"/>
    </row>
    <row r="2" spans="1:9" ht="24">
      <c r="A2" s="1"/>
      <c r="B2" s="210" t="s">
        <v>275</v>
      </c>
      <c r="C2" s="211"/>
      <c r="D2" s="211"/>
      <c r="E2" s="212"/>
      <c r="F2" s="210"/>
      <c r="G2" s="211"/>
      <c r="H2" s="211"/>
      <c r="I2" s="212"/>
    </row>
    <row r="3" spans="1:9" s="8" customFormat="1" ht="15">
      <c r="A3" s="6"/>
      <c r="B3" s="7" t="s">
        <v>276</v>
      </c>
      <c r="C3" s="56" t="s">
        <v>277</v>
      </c>
      <c r="D3" s="56" t="s">
        <v>278</v>
      </c>
      <c r="E3" s="57" t="s">
        <v>279</v>
      </c>
      <c r="F3" s="57" t="s">
        <v>280</v>
      </c>
      <c r="G3" s="56" t="s">
        <v>281</v>
      </c>
      <c r="H3" s="141" t="s">
        <v>11</v>
      </c>
      <c r="I3" s="56" t="s">
        <v>282</v>
      </c>
    </row>
    <row r="4" spans="1:9" s="24" customFormat="1" ht="15">
      <c r="A4" s="25"/>
      <c r="B4" s="46">
        <v>1</v>
      </c>
      <c r="C4" s="64" t="s">
        <v>1825</v>
      </c>
      <c r="D4" s="64" t="s">
        <v>1826</v>
      </c>
      <c r="E4" s="62" t="s">
        <v>285</v>
      </c>
      <c r="F4" s="62">
        <v>50</v>
      </c>
      <c r="G4" s="66" t="s">
        <v>330</v>
      </c>
      <c r="H4" s="142" t="s">
        <v>302</v>
      </c>
      <c r="I4" s="66" t="s">
        <v>287</v>
      </c>
    </row>
    <row r="5" spans="1:9" s="24" customFormat="1" ht="15">
      <c r="A5" s="25"/>
      <c r="B5" s="46">
        <v>2</v>
      </c>
      <c r="C5" s="50" t="s">
        <v>303</v>
      </c>
      <c r="D5" s="50" t="s">
        <v>304</v>
      </c>
      <c r="E5" s="51" t="s">
        <v>452</v>
      </c>
      <c r="F5" s="51">
        <v>20</v>
      </c>
      <c r="G5" s="66" t="s">
        <v>331</v>
      </c>
      <c r="H5" s="142"/>
      <c r="I5" s="19" t="s">
        <v>287</v>
      </c>
    </row>
    <row r="6" spans="1:9" s="95" customFormat="1" ht="15.75">
      <c r="A6" s="93"/>
      <c r="B6" s="46">
        <v>3</v>
      </c>
      <c r="C6" s="64" t="s">
        <v>637</v>
      </c>
      <c r="D6" s="64" t="s">
        <v>364</v>
      </c>
      <c r="E6" s="51" t="s">
        <v>452</v>
      </c>
      <c r="F6" s="51">
        <v>20</v>
      </c>
      <c r="G6" s="91" t="s">
        <v>331</v>
      </c>
      <c r="H6" s="142"/>
      <c r="I6" s="19" t="s">
        <v>287</v>
      </c>
    </row>
    <row r="7" spans="1:9" s="24" customFormat="1" ht="15">
      <c r="A7" s="25"/>
      <c r="B7" s="46">
        <v>4</v>
      </c>
      <c r="C7" s="50" t="s">
        <v>1556</v>
      </c>
      <c r="D7" s="50" t="s">
        <v>1557</v>
      </c>
      <c r="E7" s="51" t="s">
        <v>452</v>
      </c>
      <c r="F7" s="51">
        <v>20</v>
      </c>
      <c r="G7" s="52" t="s">
        <v>2200</v>
      </c>
      <c r="H7" s="142"/>
      <c r="I7" s="19" t="s">
        <v>287</v>
      </c>
    </row>
    <row r="8" spans="1:9" s="24" customFormat="1" ht="15">
      <c r="A8" s="25"/>
      <c r="B8" s="46">
        <v>5</v>
      </c>
      <c r="C8" s="26" t="s">
        <v>1598</v>
      </c>
      <c r="D8" s="26" t="s">
        <v>1584</v>
      </c>
      <c r="E8" s="27" t="s">
        <v>969</v>
      </c>
      <c r="F8" s="27"/>
      <c r="G8" s="28" t="s">
        <v>2217</v>
      </c>
      <c r="H8" s="142"/>
      <c r="I8" s="19" t="s">
        <v>287</v>
      </c>
    </row>
    <row r="9" spans="1:9" s="24" customFormat="1" ht="15">
      <c r="B9" s="46">
        <v>6</v>
      </c>
      <c r="C9" s="26" t="s">
        <v>1599</v>
      </c>
      <c r="D9" s="26" t="s">
        <v>1586</v>
      </c>
      <c r="E9" s="27" t="s">
        <v>969</v>
      </c>
      <c r="F9" s="27"/>
      <c r="G9" s="28" t="s">
        <v>2218</v>
      </c>
      <c r="H9" s="142"/>
      <c r="I9" s="19" t="s">
        <v>287</v>
      </c>
    </row>
    <row r="10" spans="1:9" ht="15.75">
      <c r="A10" s="1"/>
      <c r="B10" s="2"/>
      <c r="C10" s="3"/>
      <c r="D10" s="3"/>
      <c r="E10" s="3"/>
      <c r="F10" s="3"/>
      <c r="G10" s="3"/>
      <c r="H10" s="3"/>
      <c r="I10" s="3"/>
    </row>
    <row r="11" spans="1:9" ht="24">
      <c r="A11" s="1"/>
      <c r="B11" s="204" t="s">
        <v>291</v>
      </c>
      <c r="C11" s="205"/>
      <c r="D11" s="205"/>
      <c r="E11" s="206"/>
      <c r="F11" s="204"/>
      <c r="G11" s="205"/>
      <c r="H11" s="205"/>
      <c r="I11" s="206"/>
    </row>
    <row r="12" spans="1:9" s="8" customFormat="1" ht="15">
      <c r="A12" s="6"/>
      <c r="B12" s="7" t="s">
        <v>276</v>
      </c>
      <c r="C12" s="56" t="s">
        <v>277</v>
      </c>
      <c r="D12" s="56" t="s">
        <v>278</v>
      </c>
      <c r="E12" s="57" t="s">
        <v>279</v>
      </c>
      <c r="F12" s="57" t="s">
        <v>280</v>
      </c>
      <c r="G12" s="56" t="s">
        <v>11</v>
      </c>
      <c r="H12" s="56" t="s">
        <v>292</v>
      </c>
      <c r="I12" s="56" t="s">
        <v>293</v>
      </c>
    </row>
    <row r="13" spans="1:9" s="24" customFormat="1" ht="15">
      <c r="A13" s="25"/>
      <c r="B13" s="23">
        <v>1</v>
      </c>
      <c r="C13" s="26" t="s">
        <v>453</v>
      </c>
      <c r="D13" s="26" t="s">
        <v>304</v>
      </c>
      <c r="E13" s="27" t="s">
        <v>452</v>
      </c>
      <c r="F13" s="27">
        <v>20</v>
      </c>
      <c r="G13" s="29"/>
      <c r="H13" s="28" t="s">
        <v>1924</v>
      </c>
      <c r="I13" s="28" t="s">
        <v>304</v>
      </c>
    </row>
    <row r="14" spans="1:9" s="24" customFormat="1" ht="15.75">
      <c r="A14" s="25"/>
      <c r="B14" s="131">
        <f>B13+1</f>
        <v>2</v>
      </c>
      <c r="C14" s="86" t="s">
        <v>637</v>
      </c>
      <c r="D14" s="86" t="s">
        <v>364</v>
      </c>
      <c r="E14" s="87" t="s">
        <v>296</v>
      </c>
      <c r="F14" s="87">
        <v>20</v>
      </c>
      <c r="G14" s="88"/>
      <c r="H14" s="28" t="s">
        <v>84</v>
      </c>
      <c r="I14" s="89" t="s">
        <v>364</v>
      </c>
    </row>
    <row r="15" spans="1:9" s="24" customFormat="1" ht="15.75">
      <c r="A15" s="25"/>
      <c r="B15" s="131">
        <f t="shared" ref="B15:B21" si="0">B14+1</f>
        <v>3</v>
      </c>
      <c r="C15" s="50" t="s">
        <v>1556</v>
      </c>
      <c r="D15" s="50" t="s">
        <v>1557</v>
      </c>
      <c r="E15" s="51" t="s">
        <v>452</v>
      </c>
      <c r="F15" s="51">
        <v>20</v>
      </c>
      <c r="G15" s="52"/>
      <c r="H15" s="19" t="s">
        <v>113</v>
      </c>
      <c r="I15" s="19" t="s">
        <v>1557</v>
      </c>
    </row>
    <row r="16" spans="1:9" s="24" customFormat="1" ht="15.75">
      <c r="A16" s="25"/>
      <c r="B16" s="131">
        <f t="shared" si="0"/>
        <v>4</v>
      </c>
      <c r="C16" s="26" t="s">
        <v>1598</v>
      </c>
      <c r="D16" s="26" t="s">
        <v>1584</v>
      </c>
      <c r="E16" s="27" t="s">
        <v>969</v>
      </c>
      <c r="F16" s="27"/>
      <c r="G16" s="28" t="s">
        <v>1227</v>
      </c>
      <c r="H16" s="28"/>
      <c r="I16" s="28"/>
    </row>
    <row r="17" spans="2:9" s="24" customFormat="1" ht="15.75">
      <c r="B17" s="131">
        <f t="shared" si="0"/>
        <v>5</v>
      </c>
      <c r="C17" s="26" t="s">
        <v>1599</v>
      </c>
      <c r="D17" s="26" t="s">
        <v>1586</v>
      </c>
      <c r="E17" s="27" t="s">
        <v>969</v>
      </c>
      <c r="F17" s="27"/>
      <c r="G17" s="28" t="s">
        <v>1227</v>
      </c>
      <c r="H17" s="28"/>
      <c r="I17" s="28"/>
    </row>
    <row r="18" spans="2:9" s="24" customFormat="1" ht="15.75">
      <c r="B18" s="131">
        <f t="shared" si="0"/>
        <v>6</v>
      </c>
      <c r="C18" s="26" t="s">
        <v>1600</v>
      </c>
      <c r="D18" s="26" t="s">
        <v>1601</v>
      </c>
      <c r="E18" s="72" t="s">
        <v>704</v>
      </c>
      <c r="F18" s="72" t="s">
        <v>609</v>
      </c>
      <c r="G18" s="28" t="s">
        <v>2219</v>
      </c>
      <c r="H18" s="28"/>
      <c r="I18" s="28"/>
    </row>
    <row r="19" spans="2:9" s="24" customFormat="1" ht="15.75">
      <c r="B19" s="131">
        <f t="shared" si="0"/>
        <v>7</v>
      </c>
      <c r="C19" s="26" t="s">
        <v>2220</v>
      </c>
      <c r="D19" s="26" t="s">
        <v>1643</v>
      </c>
      <c r="E19" s="72" t="s">
        <v>418</v>
      </c>
      <c r="F19" s="72">
        <v>11</v>
      </c>
      <c r="G19" s="28" t="s">
        <v>2221</v>
      </c>
      <c r="H19" s="28"/>
      <c r="I19" s="28"/>
    </row>
    <row r="20" spans="2:9" s="24" customFormat="1" ht="15.75">
      <c r="B20" s="131">
        <f t="shared" si="0"/>
        <v>8</v>
      </c>
      <c r="C20" s="26" t="s">
        <v>1603</v>
      </c>
      <c r="D20" s="26" t="s">
        <v>1604</v>
      </c>
      <c r="E20" s="72" t="s">
        <v>418</v>
      </c>
      <c r="F20" s="72">
        <v>11</v>
      </c>
      <c r="G20" s="28" t="s">
        <v>2221</v>
      </c>
      <c r="H20" s="28"/>
      <c r="I20" s="28"/>
    </row>
    <row r="21" spans="2:9" s="24" customFormat="1" ht="30">
      <c r="B21" s="131">
        <f t="shared" si="0"/>
        <v>9</v>
      </c>
      <c r="C21" s="26" t="s">
        <v>1608</v>
      </c>
      <c r="D21" s="26" t="s">
        <v>1571</v>
      </c>
      <c r="E21" s="27" t="s">
        <v>285</v>
      </c>
      <c r="F21" s="27">
        <v>6</v>
      </c>
      <c r="G21" s="29" t="s">
        <v>1609</v>
      </c>
      <c r="H21" s="28" t="s">
        <v>1573</v>
      </c>
      <c r="I21" s="26"/>
    </row>
    <row r="22" spans="2:9" ht="15">
      <c r="B22" s="117"/>
    </row>
    <row r="23" spans="2:9" ht="15">
      <c r="B23" s="45"/>
    </row>
    <row r="24" spans="2:9" ht="15">
      <c r="B24" s="45"/>
    </row>
    <row r="25" spans="2:9" ht="15">
      <c r="B25" s="45"/>
    </row>
  </sheetData>
  <mergeCells count="6">
    <mergeCell ref="B11:E11"/>
    <mergeCell ref="F11:I11"/>
    <mergeCell ref="B1:E1"/>
    <mergeCell ref="F1:I1"/>
    <mergeCell ref="B2:E2"/>
    <mergeCell ref="F2:I2"/>
  </mergeCells>
  <phoneticPr fontId="5" type="noConversion"/>
  <pageMargins left="0.7" right="0.7" top="0.75" bottom="0.75" header="0.3" footer="0.3"/>
  <pageSetup paperSize="9" orientation="portrait" horizontalDpi="0" verticalDpi="0"/>
</worksheet>
</file>

<file path=xl/worksheets/sheet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F6488A1-F3D1-40B9-980E-2065464EB3C6}">
  <sheetPr codeName="工作表63"/>
  <dimension ref="A1:I29"/>
  <sheetViews>
    <sheetView workbookViewId="0">
      <selection activeCell="D23" sqref="D23"/>
    </sheetView>
  </sheetViews>
  <sheetFormatPr defaultColWidth="6.625" defaultRowHeight="13.5"/>
  <cols>
    <col min="1" max="1" width="3.125" style="4" bestFit="1" customWidth="1"/>
    <col min="2" max="2" width="5.5" style="8" customWidth="1"/>
    <col min="3" max="3" width="35.5" style="4" customWidth="1"/>
    <col min="4" max="4" width="31.125" style="4" customWidth="1"/>
    <col min="5" max="5" width="11.125" style="4" bestFit="1" customWidth="1"/>
    <col min="6" max="6" width="12.625" style="4" customWidth="1"/>
    <col min="7" max="7" width="58" style="4" customWidth="1"/>
    <col min="8" max="8" width="34.125" style="4" customWidth="1"/>
    <col min="9" max="9" width="21.625" style="4" customWidth="1"/>
    <col min="10" max="16384" width="6.625" style="4"/>
  </cols>
  <sheetData>
    <row r="1" spans="1:9" ht="24">
      <c r="A1" s="1" t="e">
        <f ca="1">HYPERLINK("#'介面'!E"&amp;MATCH(VALUE(RIGHT(CELL("filename"),LEN(CELL("filename"))-FIND("]",CELL("filename")))),介面!D:D,"0"),"←")</f>
        <v>#VALUE!</v>
      </c>
      <c r="B1" s="207" t="s">
        <v>185</v>
      </c>
      <c r="C1" s="208"/>
      <c r="D1" s="208"/>
      <c r="E1" s="209"/>
      <c r="F1" s="207" t="s">
        <v>2222</v>
      </c>
      <c r="G1" s="208"/>
      <c r="H1" s="208"/>
      <c r="I1" s="208"/>
    </row>
    <row r="2" spans="1:9" ht="24">
      <c r="A2" s="1"/>
      <c r="B2" s="210" t="s">
        <v>275</v>
      </c>
      <c r="C2" s="211"/>
      <c r="D2" s="211"/>
      <c r="E2" s="212"/>
      <c r="F2" s="210"/>
      <c r="G2" s="211"/>
      <c r="H2" s="211"/>
      <c r="I2" s="212"/>
    </row>
    <row r="3" spans="1:9" s="8" customFormat="1" ht="15">
      <c r="A3" s="6"/>
      <c r="B3" s="7" t="s">
        <v>276</v>
      </c>
      <c r="C3" s="56" t="s">
        <v>277</v>
      </c>
      <c r="D3" s="56" t="s">
        <v>278</v>
      </c>
      <c r="E3" s="57" t="s">
        <v>279</v>
      </c>
      <c r="F3" s="57" t="s">
        <v>280</v>
      </c>
      <c r="G3" s="56" t="s">
        <v>281</v>
      </c>
      <c r="H3" s="141" t="s">
        <v>11</v>
      </c>
      <c r="I3" s="56" t="s">
        <v>282</v>
      </c>
    </row>
    <row r="4" spans="1:9" s="24" customFormat="1" ht="15">
      <c r="A4" s="25"/>
      <c r="B4" s="46">
        <v>1</v>
      </c>
      <c r="C4" s="64" t="s">
        <v>1825</v>
      </c>
      <c r="D4" s="64" t="s">
        <v>1826</v>
      </c>
      <c r="E4" s="62" t="s">
        <v>285</v>
      </c>
      <c r="F4" s="62">
        <v>50</v>
      </c>
      <c r="G4" s="66" t="s">
        <v>330</v>
      </c>
      <c r="H4" s="142" t="s">
        <v>302</v>
      </c>
      <c r="I4" s="66" t="s">
        <v>287</v>
      </c>
    </row>
    <row r="5" spans="1:9" s="24" customFormat="1" ht="15">
      <c r="A5" s="25"/>
      <c r="B5" s="46">
        <v>2</v>
      </c>
      <c r="C5" s="50" t="s">
        <v>303</v>
      </c>
      <c r="D5" s="50" t="s">
        <v>304</v>
      </c>
      <c r="E5" s="51" t="s">
        <v>452</v>
      </c>
      <c r="F5" s="51">
        <v>20</v>
      </c>
      <c r="G5" s="66" t="s">
        <v>331</v>
      </c>
      <c r="H5" s="142"/>
      <c r="I5" s="19" t="s">
        <v>287</v>
      </c>
    </row>
    <row r="6" spans="1:9" s="95" customFormat="1" ht="15.75">
      <c r="A6" s="93"/>
      <c r="B6" s="46">
        <v>3</v>
      </c>
      <c r="C6" s="64" t="s">
        <v>637</v>
      </c>
      <c r="D6" s="64" t="s">
        <v>364</v>
      </c>
      <c r="E6" s="51" t="s">
        <v>452</v>
      </c>
      <c r="F6" s="51">
        <v>20</v>
      </c>
      <c r="G6" s="91" t="s">
        <v>331</v>
      </c>
      <c r="H6" s="142"/>
      <c r="I6" s="19" t="s">
        <v>287</v>
      </c>
    </row>
    <row r="7" spans="1:9" s="24" customFormat="1" ht="15">
      <c r="A7" s="25"/>
      <c r="B7" s="46">
        <v>4</v>
      </c>
      <c r="C7" s="50" t="s">
        <v>1556</v>
      </c>
      <c r="D7" s="50" t="s">
        <v>1557</v>
      </c>
      <c r="E7" s="51" t="s">
        <v>452</v>
      </c>
      <c r="F7" s="51">
        <v>20</v>
      </c>
      <c r="G7" s="52" t="s">
        <v>2200</v>
      </c>
      <c r="H7" s="142"/>
      <c r="I7" s="19" t="s">
        <v>287</v>
      </c>
    </row>
    <row r="8" spans="1:9" s="24" customFormat="1" ht="15">
      <c r="A8" s="25"/>
      <c r="B8" s="46">
        <v>5</v>
      </c>
      <c r="C8" s="26" t="s">
        <v>1598</v>
      </c>
      <c r="D8" s="26" t="s">
        <v>1584</v>
      </c>
      <c r="E8" s="27" t="s">
        <v>969</v>
      </c>
      <c r="F8" s="27"/>
      <c r="G8" s="28" t="s">
        <v>2217</v>
      </c>
      <c r="H8" s="142"/>
      <c r="I8" s="19" t="s">
        <v>287</v>
      </c>
    </row>
    <row r="9" spans="1:9" s="24" customFormat="1" ht="15">
      <c r="B9" s="46">
        <v>6</v>
      </c>
      <c r="C9" s="26" t="s">
        <v>1599</v>
      </c>
      <c r="D9" s="26" t="s">
        <v>1586</v>
      </c>
      <c r="E9" s="27" t="s">
        <v>969</v>
      </c>
      <c r="F9" s="27"/>
      <c r="G9" s="28" t="s">
        <v>2218</v>
      </c>
      <c r="H9" s="142"/>
      <c r="I9" s="19" t="s">
        <v>287</v>
      </c>
    </row>
    <row r="10" spans="1:9" s="24" customFormat="1" ht="15.75">
      <c r="A10" s="25"/>
      <c r="B10" s="46">
        <v>7</v>
      </c>
      <c r="C10" s="86" t="s">
        <v>1595</v>
      </c>
      <c r="D10" s="86" t="s">
        <v>1596</v>
      </c>
      <c r="E10" s="87" t="s">
        <v>296</v>
      </c>
      <c r="F10" s="87">
        <v>20</v>
      </c>
      <c r="G10" s="89" t="s">
        <v>181</v>
      </c>
      <c r="H10" s="142"/>
      <c r="I10" s="19" t="s">
        <v>287</v>
      </c>
    </row>
    <row r="11" spans="1:9" s="24" customFormat="1" ht="15">
      <c r="A11" s="25"/>
      <c r="B11" s="46">
        <v>8</v>
      </c>
      <c r="C11" s="50" t="s">
        <v>2206</v>
      </c>
      <c r="D11" s="50" t="s">
        <v>2207</v>
      </c>
      <c r="E11" s="51" t="s">
        <v>316</v>
      </c>
      <c r="F11" s="51"/>
      <c r="G11" s="147" t="s">
        <v>2223</v>
      </c>
      <c r="H11" s="142"/>
      <c r="I11" s="19" t="s">
        <v>287</v>
      </c>
    </row>
    <row r="12" spans="1:9" s="24" customFormat="1" ht="15.75">
      <c r="A12" s="25"/>
      <c r="B12" s="46">
        <v>9</v>
      </c>
      <c r="C12" s="86" t="s">
        <v>2224</v>
      </c>
      <c r="D12" s="86" t="s">
        <v>1593</v>
      </c>
      <c r="E12" s="87" t="s">
        <v>296</v>
      </c>
      <c r="F12" s="87">
        <v>20</v>
      </c>
      <c r="G12" s="89" t="s">
        <v>115</v>
      </c>
      <c r="H12" s="142"/>
      <c r="I12" s="19" t="s">
        <v>287</v>
      </c>
    </row>
    <row r="13" spans="1:9" ht="15.75">
      <c r="A13" s="1"/>
      <c r="B13" s="2"/>
      <c r="C13" s="3"/>
      <c r="D13" s="3"/>
      <c r="E13" s="3"/>
      <c r="F13" s="3"/>
      <c r="G13" s="3"/>
      <c r="H13" s="3"/>
      <c r="I13" s="3"/>
    </row>
    <row r="14" spans="1:9" ht="24">
      <c r="A14" s="1"/>
      <c r="B14" s="204" t="s">
        <v>291</v>
      </c>
      <c r="C14" s="205"/>
      <c r="D14" s="205"/>
      <c r="E14" s="206"/>
      <c r="F14" s="204"/>
      <c r="G14" s="205"/>
      <c r="H14" s="205"/>
      <c r="I14" s="206"/>
    </row>
    <row r="15" spans="1:9" s="8" customFormat="1" ht="15">
      <c r="A15" s="6"/>
      <c r="B15" s="7" t="s">
        <v>276</v>
      </c>
      <c r="C15" s="56" t="s">
        <v>277</v>
      </c>
      <c r="D15" s="56" t="s">
        <v>278</v>
      </c>
      <c r="E15" s="57" t="s">
        <v>279</v>
      </c>
      <c r="F15" s="57" t="s">
        <v>280</v>
      </c>
      <c r="G15" s="56" t="s">
        <v>11</v>
      </c>
      <c r="H15" s="56" t="s">
        <v>292</v>
      </c>
      <c r="I15" s="56" t="s">
        <v>293</v>
      </c>
    </row>
    <row r="16" spans="1:9" s="24" customFormat="1" ht="15.75">
      <c r="A16" s="25"/>
      <c r="B16" s="46">
        <v>1</v>
      </c>
      <c r="C16" s="80" t="s">
        <v>637</v>
      </c>
      <c r="D16" s="80" t="s">
        <v>364</v>
      </c>
      <c r="E16" s="81" t="s">
        <v>296</v>
      </c>
      <c r="F16" s="81">
        <v>20</v>
      </c>
      <c r="G16" s="85"/>
      <c r="H16" s="28" t="s">
        <v>84</v>
      </c>
      <c r="I16" s="130" t="s">
        <v>364</v>
      </c>
    </row>
    <row r="17" spans="1:9" s="24" customFormat="1" ht="15">
      <c r="A17" s="25"/>
      <c r="B17" s="46">
        <f>B16+1</f>
        <v>2</v>
      </c>
      <c r="C17" s="50" t="s">
        <v>1556</v>
      </c>
      <c r="D17" s="50" t="s">
        <v>1557</v>
      </c>
      <c r="E17" s="51" t="s">
        <v>452</v>
      </c>
      <c r="F17" s="51">
        <v>20</v>
      </c>
      <c r="G17" s="19"/>
      <c r="H17" s="28" t="s">
        <v>113</v>
      </c>
      <c r="I17" s="19" t="s">
        <v>1557</v>
      </c>
    </row>
    <row r="18" spans="1:9" s="24" customFormat="1" ht="15">
      <c r="A18" s="25"/>
      <c r="B18" s="46">
        <f t="shared" ref="B18:B26" si="0">B17+1</f>
        <v>3</v>
      </c>
      <c r="C18" s="26" t="s">
        <v>1570</v>
      </c>
      <c r="D18" s="26" t="s">
        <v>1571</v>
      </c>
      <c r="E18" s="27" t="s">
        <v>285</v>
      </c>
      <c r="F18" s="27">
        <v>6</v>
      </c>
      <c r="G18" s="29" t="s">
        <v>1572</v>
      </c>
      <c r="H18" s="28" t="s">
        <v>1573</v>
      </c>
      <c r="I18" s="19"/>
    </row>
    <row r="19" spans="1:9" s="24" customFormat="1" ht="15">
      <c r="A19" s="25"/>
      <c r="B19" s="46">
        <f t="shared" si="0"/>
        <v>4</v>
      </c>
      <c r="C19" s="50" t="s">
        <v>2225</v>
      </c>
      <c r="D19" s="50" t="s">
        <v>1601</v>
      </c>
      <c r="E19" s="51" t="s">
        <v>1576</v>
      </c>
      <c r="F19" s="51" t="s">
        <v>609</v>
      </c>
      <c r="G19" s="19"/>
      <c r="H19" s="19"/>
      <c r="I19" s="19"/>
    </row>
    <row r="20" spans="1:9" s="24" customFormat="1" ht="15">
      <c r="A20" s="25"/>
      <c r="B20" s="46">
        <f t="shared" si="0"/>
        <v>5</v>
      </c>
      <c r="C20" s="50" t="s">
        <v>2226</v>
      </c>
      <c r="D20" s="50" t="s">
        <v>2227</v>
      </c>
      <c r="E20" s="51" t="s">
        <v>1576</v>
      </c>
      <c r="F20" s="51" t="s">
        <v>609</v>
      </c>
      <c r="G20" s="19" t="s">
        <v>2228</v>
      </c>
      <c r="H20" s="19"/>
      <c r="I20" s="19"/>
    </row>
    <row r="21" spans="1:9" s="24" customFormat="1" ht="15">
      <c r="A21" s="25"/>
      <c r="B21" s="46">
        <f t="shared" si="0"/>
        <v>6</v>
      </c>
      <c r="C21" s="50" t="s">
        <v>2229</v>
      </c>
      <c r="D21" s="50" t="s">
        <v>2230</v>
      </c>
      <c r="E21" s="51" t="s">
        <v>1576</v>
      </c>
      <c r="F21" s="51" t="s">
        <v>609</v>
      </c>
      <c r="G21" s="19" t="s">
        <v>2228</v>
      </c>
      <c r="H21" s="19"/>
      <c r="I21" s="19"/>
    </row>
    <row r="22" spans="1:9" s="24" customFormat="1" ht="15">
      <c r="A22" s="25"/>
      <c r="B22" s="46">
        <f t="shared" si="0"/>
        <v>7</v>
      </c>
      <c r="C22" s="50" t="s">
        <v>2231</v>
      </c>
      <c r="D22" s="50" t="s">
        <v>2232</v>
      </c>
      <c r="E22" s="51" t="s">
        <v>1576</v>
      </c>
      <c r="F22" s="51" t="s">
        <v>609</v>
      </c>
      <c r="G22" s="19" t="s">
        <v>2228</v>
      </c>
      <c r="H22" s="19"/>
      <c r="I22" s="19"/>
    </row>
    <row r="23" spans="1:9" s="24" customFormat="1" ht="18.75" customHeight="1">
      <c r="A23" s="25"/>
      <c r="B23" s="23">
        <f t="shared" si="0"/>
        <v>8</v>
      </c>
      <c r="C23" s="26" t="s">
        <v>2233</v>
      </c>
      <c r="D23" s="26" t="s">
        <v>2234</v>
      </c>
      <c r="E23" s="27" t="s">
        <v>418</v>
      </c>
      <c r="F23" s="27">
        <v>11</v>
      </c>
      <c r="G23" s="28"/>
      <c r="H23" s="28"/>
      <c r="I23" s="28"/>
    </row>
    <row r="24" spans="1:9" s="24" customFormat="1" ht="15">
      <c r="A24" s="25"/>
      <c r="B24" s="23">
        <f t="shared" si="0"/>
        <v>9</v>
      </c>
      <c r="C24" s="26" t="s">
        <v>2235</v>
      </c>
      <c r="D24" s="26" t="s">
        <v>2236</v>
      </c>
      <c r="E24" s="27" t="s">
        <v>418</v>
      </c>
      <c r="F24" s="27">
        <v>11</v>
      </c>
      <c r="G24" s="28" t="s">
        <v>2228</v>
      </c>
      <c r="H24" s="28"/>
      <c r="I24" s="28"/>
    </row>
    <row r="25" spans="1:9" s="24" customFormat="1" ht="15">
      <c r="A25" s="25"/>
      <c r="B25" s="23">
        <f t="shared" si="0"/>
        <v>10</v>
      </c>
      <c r="C25" s="26" t="s">
        <v>2237</v>
      </c>
      <c r="D25" s="26" t="s">
        <v>2238</v>
      </c>
      <c r="E25" s="27" t="s">
        <v>418</v>
      </c>
      <c r="F25" s="27">
        <v>11</v>
      </c>
      <c r="G25" s="28" t="s">
        <v>2228</v>
      </c>
      <c r="H25" s="28"/>
      <c r="I25" s="28"/>
    </row>
    <row r="26" spans="1:9" s="24" customFormat="1" ht="15">
      <c r="A26" s="25"/>
      <c r="B26" s="23">
        <f t="shared" si="0"/>
        <v>11</v>
      </c>
      <c r="C26" s="26" t="s">
        <v>2239</v>
      </c>
      <c r="D26" s="26" t="s">
        <v>2240</v>
      </c>
      <c r="E26" s="27" t="s">
        <v>418</v>
      </c>
      <c r="F26" s="27">
        <v>11</v>
      </c>
      <c r="G26" s="28" t="s">
        <v>2228</v>
      </c>
      <c r="H26" s="28"/>
      <c r="I26" s="28"/>
    </row>
    <row r="27" spans="1:9" ht="15">
      <c r="B27" s="21"/>
    </row>
    <row r="28" spans="1:9" ht="15">
      <c r="B28" s="45"/>
    </row>
    <row r="29" spans="1:9" ht="15">
      <c r="B29" s="45"/>
    </row>
  </sheetData>
  <mergeCells count="6">
    <mergeCell ref="B14:E14"/>
    <mergeCell ref="F14:I14"/>
    <mergeCell ref="B1:E1"/>
    <mergeCell ref="F1:I1"/>
    <mergeCell ref="B2:E2"/>
    <mergeCell ref="F2:I2"/>
  </mergeCells>
  <phoneticPr fontId="5" type="noConversion"/>
  <pageMargins left="0.7" right="0.7" top="0.75" bottom="0.75" header="0.3" footer="0.3"/>
  <pageSetup paperSize="9" orientation="portrait" horizontalDpi="0" verticalDpi="0"/>
</worksheet>
</file>

<file path=xl/worksheets/sheet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406FD90-8895-4714-B0FD-E9BCE0086412}">
  <sheetPr codeName="工作表109"/>
  <dimension ref="A1:I27"/>
  <sheetViews>
    <sheetView workbookViewId="0">
      <selection activeCell="C30" sqref="C30"/>
    </sheetView>
  </sheetViews>
  <sheetFormatPr defaultColWidth="6.625" defaultRowHeight="13.5"/>
  <cols>
    <col min="1" max="1" width="3.125" style="4" bestFit="1" customWidth="1"/>
    <col min="2" max="2" width="5.5" style="8" customWidth="1"/>
    <col min="3" max="3" width="35.5" style="4" customWidth="1"/>
    <col min="4" max="4" width="31.125" style="4" customWidth="1"/>
    <col min="5" max="5" width="11.125" style="4" bestFit="1" customWidth="1"/>
    <col min="6" max="6" width="12.625" style="4" customWidth="1"/>
    <col min="7" max="7" width="58" style="4" customWidth="1"/>
    <col min="8" max="8" width="34.125" style="4" customWidth="1"/>
    <col min="9" max="9" width="21.625" style="4" customWidth="1"/>
    <col min="10" max="16384" width="6.625" style="4"/>
  </cols>
  <sheetData>
    <row r="1" spans="1:9" ht="24">
      <c r="A1" s="1" t="e">
        <f ca="1">HYPERLINK("#'介面'!E"&amp;MATCH(VALUE(RIGHT(CELL("filename"),LEN(CELL("filename"))-FIND("]",CELL("filename")))),介面!D:D,"0"),"←")</f>
        <v>#VALUE!</v>
      </c>
      <c r="B1" s="207" t="s">
        <v>187</v>
      </c>
      <c r="C1" s="208"/>
      <c r="D1" s="208"/>
      <c r="E1" s="209"/>
      <c r="F1" s="207" t="s">
        <v>188</v>
      </c>
      <c r="G1" s="208"/>
      <c r="H1" s="208"/>
      <c r="I1" s="208"/>
    </row>
    <row r="2" spans="1:9" ht="24">
      <c r="A2" s="1"/>
      <c r="B2" s="210" t="s">
        <v>275</v>
      </c>
      <c r="C2" s="211"/>
      <c r="D2" s="211"/>
      <c r="E2" s="212"/>
      <c r="F2" s="210"/>
      <c r="G2" s="211"/>
      <c r="H2" s="211"/>
      <c r="I2" s="212"/>
    </row>
    <row r="3" spans="1:9" s="8" customFormat="1" ht="15">
      <c r="A3" s="6"/>
      <c r="B3" s="7" t="s">
        <v>276</v>
      </c>
      <c r="C3" s="56" t="s">
        <v>277</v>
      </c>
      <c r="D3" s="56" t="s">
        <v>278</v>
      </c>
      <c r="E3" s="57" t="s">
        <v>279</v>
      </c>
      <c r="F3" s="57" t="s">
        <v>280</v>
      </c>
      <c r="G3" s="56" t="s">
        <v>281</v>
      </c>
      <c r="H3" s="141" t="s">
        <v>11</v>
      </c>
      <c r="I3" s="56" t="s">
        <v>282</v>
      </c>
    </row>
    <row r="4" spans="1:9" s="24" customFormat="1" ht="15">
      <c r="A4" s="25"/>
      <c r="B4" s="46">
        <v>1</v>
      </c>
      <c r="C4" s="64" t="s">
        <v>1825</v>
      </c>
      <c r="D4" s="64" t="s">
        <v>1826</v>
      </c>
      <c r="E4" s="62" t="s">
        <v>285</v>
      </c>
      <c r="F4" s="62">
        <v>50</v>
      </c>
      <c r="G4" s="66" t="s">
        <v>330</v>
      </c>
      <c r="H4" s="142" t="s">
        <v>302</v>
      </c>
      <c r="I4" s="66" t="s">
        <v>287</v>
      </c>
    </row>
    <row r="5" spans="1:9" s="24" customFormat="1" ht="15">
      <c r="A5" s="25"/>
      <c r="B5" s="46">
        <v>2</v>
      </c>
      <c r="C5" s="50" t="s">
        <v>303</v>
      </c>
      <c r="D5" s="50" t="s">
        <v>304</v>
      </c>
      <c r="E5" s="51" t="s">
        <v>452</v>
      </c>
      <c r="F5" s="51">
        <v>20</v>
      </c>
      <c r="G5" s="66" t="s">
        <v>331</v>
      </c>
      <c r="H5" s="142"/>
      <c r="I5" s="19" t="s">
        <v>287</v>
      </c>
    </row>
    <row r="6" spans="1:9" s="95" customFormat="1" ht="15.75">
      <c r="A6" s="93"/>
      <c r="B6" s="46">
        <v>3</v>
      </c>
      <c r="C6" s="64" t="s">
        <v>637</v>
      </c>
      <c r="D6" s="64" t="s">
        <v>364</v>
      </c>
      <c r="E6" s="51" t="s">
        <v>452</v>
      </c>
      <c r="F6" s="51">
        <v>20</v>
      </c>
      <c r="G6" s="91" t="s">
        <v>331</v>
      </c>
      <c r="H6" s="142"/>
      <c r="I6" s="19" t="s">
        <v>287</v>
      </c>
    </row>
    <row r="7" spans="1:9" s="24" customFormat="1" ht="15">
      <c r="A7" s="25"/>
      <c r="B7" s="46">
        <v>4</v>
      </c>
      <c r="C7" s="50" t="s">
        <v>2241</v>
      </c>
      <c r="D7" s="50" t="s">
        <v>2242</v>
      </c>
      <c r="E7" s="51" t="s">
        <v>418</v>
      </c>
      <c r="F7" s="51">
        <v>11</v>
      </c>
      <c r="G7" s="52" t="s">
        <v>1053</v>
      </c>
      <c r="H7" s="142"/>
      <c r="I7" s="19" t="s">
        <v>287</v>
      </c>
    </row>
    <row r="8" spans="1:9" s="24" customFormat="1" ht="15">
      <c r="A8" s="25"/>
      <c r="B8" s="46">
        <v>5</v>
      </c>
      <c r="C8" s="50" t="s">
        <v>335</v>
      </c>
      <c r="D8" s="50" t="s">
        <v>336</v>
      </c>
      <c r="E8" s="51" t="s">
        <v>316</v>
      </c>
      <c r="F8" s="51"/>
      <c r="G8" s="52" t="s">
        <v>2243</v>
      </c>
      <c r="H8" s="142"/>
      <c r="I8" s="19" t="s">
        <v>639</v>
      </c>
    </row>
    <row r="9" spans="1:9" ht="15.75">
      <c r="A9" s="1"/>
      <c r="B9" s="2"/>
      <c r="C9" s="3"/>
      <c r="D9" s="3"/>
      <c r="E9" s="3"/>
      <c r="F9" s="3"/>
      <c r="G9" s="3"/>
      <c r="H9" s="3"/>
      <c r="I9" s="3"/>
    </row>
    <row r="10" spans="1:9" ht="24">
      <c r="A10" s="1"/>
      <c r="B10" s="204" t="s">
        <v>291</v>
      </c>
      <c r="C10" s="205"/>
      <c r="D10" s="205"/>
      <c r="E10" s="206"/>
      <c r="F10" s="204"/>
      <c r="G10" s="205"/>
      <c r="H10" s="205"/>
      <c r="I10" s="206"/>
    </row>
    <row r="11" spans="1:9" s="8" customFormat="1" ht="15">
      <c r="A11" s="6"/>
      <c r="B11" s="7" t="s">
        <v>276</v>
      </c>
      <c r="C11" s="56" t="s">
        <v>277</v>
      </c>
      <c r="D11" s="56" t="s">
        <v>278</v>
      </c>
      <c r="E11" s="57" t="s">
        <v>279</v>
      </c>
      <c r="F11" s="57" t="s">
        <v>280</v>
      </c>
      <c r="G11" s="56" t="s">
        <v>11</v>
      </c>
      <c r="H11" s="56" t="s">
        <v>292</v>
      </c>
      <c r="I11" s="56" t="s">
        <v>293</v>
      </c>
    </row>
    <row r="12" spans="1:9" s="24" customFormat="1" ht="15.75">
      <c r="A12" s="25"/>
      <c r="B12" s="46">
        <v>1</v>
      </c>
      <c r="C12" s="80" t="s">
        <v>637</v>
      </c>
      <c r="D12" s="80" t="s">
        <v>364</v>
      </c>
      <c r="E12" s="81" t="s">
        <v>296</v>
      </c>
      <c r="F12" s="81">
        <v>20</v>
      </c>
      <c r="G12" s="85"/>
      <c r="H12" s="28" t="s">
        <v>84</v>
      </c>
      <c r="I12" s="130" t="s">
        <v>364</v>
      </c>
    </row>
    <row r="13" spans="1:9" s="24" customFormat="1" ht="15">
      <c r="A13" s="25"/>
      <c r="B13" s="46">
        <f>B12+1</f>
        <v>2</v>
      </c>
      <c r="C13" s="50" t="s">
        <v>2244</v>
      </c>
      <c r="D13" s="50" t="s">
        <v>2245</v>
      </c>
      <c r="E13" s="27" t="s">
        <v>285</v>
      </c>
      <c r="F13" s="27">
        <v>6</v>
      </c>
      <c r="G13" s="19" t="s">
        <v>2246</v>
      </c>
      <c r="H13" s="28"/>
      <c r="I13" s="19"/>
    </row>
    <row r="14" spans="1:9" s="24" customFormat="1" ht="15">
      <c r="A14" s="25"/>
      <c r="B14" s="46">
        <f t="shared" ref="B14:B24" si="0">B13+1</f>
        <v>3</v>
      </c>
      <c r="C14" s="50" t="s">
        <v>1556</v>
      </c>
      <c r="D14" s="50" t="s">
        <v>1557</v>
      </c>
      <c r="E14" s="68" t="s">
        <v>452</v>
      </c>
      <c r="F14" s="68">
        <v>20</v>
      </c>
      <c r="G14" s="19" t="s">
        <v>331</v>
      </c>
      <c r="H14" s="19" t="s">
        <v>113</v>
      </c>
      <c r="I14" s="19"/>
    </row>
    <row r="15" spans="1:9" s="24" customFormat="1" ht="15">
      <c r="A15" s="25"/>
      <c r="B15" s="46">
        <f t="shared" si="0"/>
        <v>4</v>
      </c>
      <c r="C15" s="50" t="s">
        <v>2247</v>
      </c>
      <c r="D15" s="50" t="s">
        <v>1596</v>
      </c>
      <c r="E15" s="68" t="s">
        <v>296</v>
      </c>
      <c r="F15" s="68">
        <v>20</v>
      </c>
      <c r="G15" s="19" t="s">
        <v>2248</v>
      </c>
      <c r="H15" s="19"/>
      <c r="I15" s="19"/>
    </row>
    <row r="16" spans="1:9" s="24" customFormat="1" ht="15">
      <c r="A16" s="25"/>
      <c r="B16" s="46">
        <f t="shared" si="0"/>
        <v>5</v>
      </c>
      <c r="C16" s="50" t="s">
        <v>2249</v>
      </c>
      <c r="D16" s="50" t="s">
        <v>1563</v>
      </c>
      <c r="E16" s="68" t="s">
        <v>456</v>
      </c>
      <c r="F16" s="68">
        <v>20</v>
      </c>
      <c r="G16" s="19" t="s">
        <v>2250</v>
      </c>
      <c r="H16" s="19"/>
      <c r="I16" s="19"/>
    </row>
    <row r="17" spans="1:9" s="24" customFormat="1" ht="15">
      <c r="A17" s="25"/>
      <c r="B17" s="46">
        <f t="shared" si="0"/>
        <v>6</v>
      </c>
      <c r="C17" s="50" t="s">
        <v>2210</v>
      </c>
      <c r="D17" s="50" t="s">
        <v>1584</v>
      </c>
      <c r="E17" s="68" t="s">
        <v>316</v>
      </c>
      <c r="F17" s="68"/>
      <c r="G17" s="19" t="s">
        <v>2251</v>
      </c>
      <c r="H17" s="19"/>
      <c r="I17" s="19"/>
    </row>
    <row r="18" spans="1:9" s="24" customFormat="1" ht="15">
      <c r="A18" s="25"/>
      <c r="B18" s="46">
        <f t="shared" si="0"/>
        <v>7</v>
      </c>
      <c r="C18" s="50" t="s">
        <v>2212</v>
      </c>
      <c r="D18" s="50" t="s">
        <v>1586</v>
      </c>
      <c r="E18" s="68" t="s">
        <v>316</v>
      </c>
      <c r="F18" s="68"/>
      <c r="G18" s="19" t="s">
        <v>2252</v>
      </c>
      <c r="H18" s="19"/>
      <c r="I18" s="19"/>
    </row>
    <row r="19" spans="1:9" s="24" customFormat="1" ht="15">
      <c r="A19" s="25"/>
      <c r="B19" s="46">
        <f t="shared" si="0"/>
        <v>8</v>
      </c>
      <c r="C19" s="50" t="s">
        <v>2253</v>
      </c>
      <c r="D19" s="50" t="s">
        <v>2254</v>
      </c>
      <c r="E19" s="68" t="s">
        <v>456</v>
      </c>
      <c r="F19" s="68">
        <v>20</v>
      </c>
      <c r="G19" s="29" t="s">
        <v>2255</v>
      </c>
      <c r="H19" s="28"/>
      <c r="I19" s="19"/>
    </row>
    <row r="20" spans="1:9" s="24" customFormat="1" ht="15">
      <c r="A20" s="25"/>
      <c r="B20" s="46">
        <f t="shared" si="0"/>
        <v>9</v>
      </c>
      <c r="C20" s="50" t="s">
        <v>2256</v>
      </c>
      <c r="D20" s="50" t="s">
        <v>2257</v>
      </c>
      <c r="E20" s="68" t="s">
        <v>456</v>
      </c>
      <c r="F20" s="68">
        <v>20</v>
      </c>
      <c r="G20" s="29" t="s">
        <v>2258</v>
      </c>
      <c r="H20" s="19"/>
      <c r="I20" s="19"/>
    </row>
    <row r="21" spans="1:9" s="24" customFormat="1" ht="15">
      <c r="A21" s="25"/>
      <c r="B21" s="46">
        <f t="shared" si="0"/>
        <v>10</v>
      </c>
      <c r="C21" s="50" t="s">
        <v>2259</v>
      </c>
      <c r="D21" s="50" t="s">
        <v>2260</v>
      </c>
      <c r="E21" s="68" t="s">
        <v>456</v>
      </c>
      <c r="F21" s="68">
        <v>20</v>
      </c>
      <c r="G21" s="29" t="s">
        <v>2261</v>
      </c>
      <c r="H21" s="19"/>
      <c r="I21" s="19"/>
    </row>
    <row r="22" spans="1:9" s="24" customFormat="1" ht="15">
      <c r="A22" s="25"/>
      <c r="B22" s="46">
        <f t="shared" si="0"/>
        <v>11</v>
      </c>
      <c r="C22" s="50" t="s">
        <v>2262</v>
      </c>
      <c r="D22" s="50" t="s">
        <v>2263</v>
      </c>
      <c r="E22" s="68" t="s">
        <v>456</v>
      </c>
      <c r="F22" s="68">
        <v>20</v>
      </c>
      <c r="G22" s="19" t="s">
        <v>2264</v>
      </c>
      <c r="H22" s="19"/>
      <c r="I22" s="19"/>
    </row>
    <row r="23" spans="1:9" s="24" customFormat="1" ht="15">
      <c r="A23" s="25"/>
      <c r="B23" s="46">
        <f t="shared" si="0"/>
        <v>12</v>
      </c>
      <c r="C23" s="50" t="s">
        <v>2265</v>
      </c>
      <c r="D23" s="50" t="s">
        <v>2266</v>
      </c>
      <c r="E23" s="68" t="s">
        <v>456</v>
      </c>
      <c r="F23" s="68">
        <v>20</v>
      </c>
      <c r="G23" s="19" t="s">
        <v>2267</v>
      </c>
      <c r="H23" s="19"/>
      <c r="I23" s="19"/>
    </row>
    <row r="24" spans="1:9" s="24" customFormat="1" ht="15">
      <c r="A24" s="25"/>
      <c r="B24" s="46">
        <f t="shared" si="0"/>
        <v>13</v>
      </c>
      <c r="C24" s="50" t="s">
        <v>2268</v>
      </c>
      <c r="D24" s="50" t="s">
        <v>2269</v>
      </c>
      <c r="E24" s="68" t="s">
        <v>456</v>
      </c>
      <c r="F24" s="68">
        <v>20</v>
      </c>
      <c r="G24" s="19" t="s">
        <v>2270</v>
      </c>
      <c r="H24" s="19"/>
      <c r="I24" s="19"/>
    </row>
    <row r="25" spans="1:9" ht="15">
      <c r="B25" s="21"/>
    </row>
    <row r="26" spans="1:9" ht="15">
      <c r="B26" s="45"/>
    </row>
    <row r="27" spans="1:9" ht="15">
      <c r="B27" s="45"/>
    </row>
  </sheetData>
  <mergeCells count="6">
    <mergeCell ref="B1:E1"/>
    <mergeCell ref="F1:I1"/>
    <mergeCell ref="B2:E2"/>
    <mergeCell ref="F2:I2"/>
    <mergeCell ref="B10:E10"/>
    <mergeCell ref="F10:I10"/>
  </mergeCells>
  <phoneticPr fontId="5" type="noConversion"/>
  <pageMargins left="0.7" right="0.7" top="0.75" bottom="0.75" header="0.3" footer="0.3"/>
  <pageSetup paperSize="9" orientation="portrait" horizontalDpi="0" verticalDpi="0"/>
</worksheet>
</file>

<file path=xl/worksheets/sheet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C60EB08-B89E-4F32-A494-92C1208EEF94}">
  <sheetPr codeName="工作表64"/>
  <dimension ref="A1:J41"/>
  <sheetViews>
    <sheetView topLeftCell="B1" zoomScale="110" zoomScaleNormal="110" workbookViewId="0">
      <selection activeCell="B7" sqref="A7:IV8"/>
    </sheetView>
  </sheetViews>
  <sheetFormatPr defaultColWidth="6.625" defaultRowHeight="13.5"/>
  <cols>
    <col min="1" max="1" width="3.125" style="4" bestFit="1" customWidth="1"/>
    <col min="2" max="2" width="5.5" style="8" customWidth="1"/>
    <col min="3" max="3" width="35.5" style="4" customWidth="1"/>
    <col min="4" max="4" width="31.125" style="4" customWidth="1"/>
    <col min="5" max="5" width="11.125" style="4" bestFit="1" customWidth="1"/>
    <col min="6" max="6" width="12.625" style="4" customWidth="1"/>
    <col min="7" max="7" width="58" style="4" customWidth="1"/>
    <col min="8" max="8" width="34.125" style="4" customWidth="1"/>
    <col min="9" max="9" width="21.625" style="4" customWidth="1"/>
    <col min="10" max="16384" width="6.625" style="4"/>
  </cols>
  <sheetData>
    <row r="1" spans="1:10" ht="24">
      <c r="A1" s="1" t="e">
        <f ca="1">HYPERLINK("#'介面'!E"&amp;MATCH(VALUE(RIGHT(CELL("filename"),LEN(CELL("filename"))-FIND("]",CELL("filename")))),介面!D:D,"0"),"←")</f>
        <v>#VALUE!</v>
      </c>
      <c r="B1" s="207" t="s">
        <v>189</v>
      </c>
      <c r="C1" s="208"/>
      <c r="D1" s="208"/>
      <c r="E1" s="209"/>
      <c r="F1" s="207" t="s">
        <v>190</v>
      </c>
      <c r="G1" s="208"/>
      <c r="H1" s="208"/>
      <c r="I1" s="208"/>
    </row>
    <row r="2" spans="1:10" ht="24">
      <c r="A2" s="1"/>
      <c r="B2" s="210" t="s">
        <v>275</v>
      </c>
      <c r="C2" s="211"/>
      <c r="D2" s="211"/>
      <c r="E2" s="212"/>
      <c r="F2" s="210"/>
      <c r="G2" s="211"/>
      <c r="H2" s="211"/>
      <c r="I2" s="212"/>
    </row>
    <row r="3" spans="1:10" s="8" customFormat="1" ht="15">
      <c r="A3" s="6"/>
      <c r="B3" s="7" t="s">
        <v>276</v>
      </c>
      <c r="C3" s="56" t="s">
        <v>277</v>
      </c>
      <c r="D3" s="56" t="s">
        <v>278</v>
      </c>
      <c r="E3" s="57" t="s">
        <v>279</v>
      </c>
      <c r="F3" s="57" t="s">
        <v>280</v>
      </c>
      <c r="G3" s="56" t="s">
        <v>281</v>
      </c>
      <c r="H3" s="141" t="s">
        <v>11</v>
      </c>
      <c r="I3" s="56" t="s">
        <v>282</v>
      </c>
    </row>
    <row r="4" spans="1:10" s="24" customFormat="1" ht="15">
      <c r="A4" s="25"/>
      <c r="B4" s="46">
        <v>1</v>
      </c>
      <c r="C4" s="64" t="s">
        <v>1825</v>
      </c>
      <c r="D4" s="64" t="s">
        <v>1826</v>
      </c>
      <c r="E4" s="62" t="s">
        <v>285</v>
      </c>
      <c r="F4" s="62">
        <v>50</v>
      </c>
      <c r="G4" s="66" t="s">
        <v>330</v>
      </c>
      <c r="H4" s="142" t="s">
        <v>302</v>
      </c>
      <c r="I4" s="66" t="s">
        <v>287</v>
      </c>
    </row>
    <row r="5" spans="1:10" s="24" customFormat="1" ht="15">
      <c r="A5" s="25"/>
      <c r="B5" s="46">
        <v>2</v>
      </c>
      <c r="C5" s="50" t="s">
        <v>303</v>
      </c>
      <c r="D5" s="50" t="s">
        <v>304</v>
      </c>
      <c r="E5" s="51" t="s">
        <v>452</v>
      </c>
      <c r="F5" s="51">
        <v>20</v>
      </c>
      <c r="G5" s="66" t="s">
        <v>331</v>
      </c>
      <c r="H5" s="142"/>
      <c r="I5" s="19" t="s">
        <v>287</v>
      </c>
    </row>
    <row r="6" spans="1:10" s="95" customFormat="1" ht="15.75">
      <c r="A6" s="93"/>
      <c r="B6" s="46">
        <v>3</v>
      </c>
      <c r="C6" s="64" t="s">
        <v>637</v>
      </c>
      <c r="D6" s="64" t="s">
        <v>364</v>
      </c>
      <c r="E6" s="51" t="s">
        <v>452</v>
      </c>
      <c r="F6" s="51">
        <v>20</v>
      </c>
      <c r="G6" s="91" t="s">
        <v>331</v>
      </c>
      <c r="H6" s="142"/>
      <c r="I6" s="19" t="s">
        <v>287</v>
      </c>
    </row>
    <row r="7" spans="1:10" s="95" customFormat="1" ht="15.75">
      <c r="A7" s="93"/>
      <c r="B7" s="46">
        <v>4</v>
      </c>
      <c r="C7" s="64" t="s">
        <v>1598</v>
      </c>
      <c r="D7" s="64" t="s">
        <v>1584</v>
      </c>
      <c r="E7" s="51" t="s">
        <v>969</v>
      </c>
      <c r="F7" s="51"/>
      <c r="G7" s="91" t="s">
        <v>2217</v>
      </c>
      <c r="H7" s="142"/>
      <c r="I7" s="19" t="s">
        <v>639</v>
      </c>
    </row>
    <row r="8" spans="1:10" s="95" customFormat="1" ht="15.75">
      <c r="A8" s="93"/>
      <c r="B8" s="46">
        <v>5</v>
      </c>
      <c r="C8" s="64" t="s">
        <v>1599</v>
      </c>
      <c r="D8" s="64" t="s">
        <v>1586</v>
      </c>
      <c r="E8" s="51" t="s">
        <v>969</v>
      </c>
      <c r="F8" s="51"/>
      <c r="G8" s="91" t="s">
        <v>2218</v>
      </c>
      <c r="H8" s="142"/>
      <c r="I8" s="19" t="s">
        <v>639</v>
      </c>
    </row>
    <row r="9" spans="1:10" ht="15.75">
      <c r="A9" s="1"/>
      <c r="B9" s="2"/>
      <c r="C9" s="3"/>
      <c r="D9" s="3"/>
      <c r="E9" s="3"/>
      <c r="F9" s="3"/>
      <c r="G9" s="3"/>
      <c r="H9" s="3"/>
      <c r="I9" s="3"/>
    </row>
    <row r="10" spans="1:10" ht="24">
      <c r="A10" s="1"/>
      <c r="B10" s="204" t="s">
        <v>291</v>
      </c>
      <c r="C10" s="205"/>
      <c r="D10" s="205"/>
      <c r="E10" s="206"/>
      <c r="F10" s="204"/>
      <c r="G10" s="205"/>
      <c r="H10" s="205"/>
      <c r="I10" s="206"/>
    </row>
    <row r="11" spans="1:10" s="8" customFormat="1" ht="15">
      <c r="A11" s="6"/>
      <c r="B11" s="7" t="s">
        <v>276</v>
      </c>
      <c r="C11" s="56" t="s">
        <v>277</v>
      </c>
      <c r="D11" s="56" t="s">
        <v>278</v>
      </c>
      <c r="E11" s="57" t="s">
        <v>279</v>
      </c>
      <c r="F11" s="57" t="s">
        <v>280</v>
      </c>
      <c r="G11" s="56" t="s">
        <v>11</v>
      </c>
      <c r="H11" s="56" t="s">
        <v>292</v>
      </c>
      <c r="I11" s="56" t="s">
        <v>293</v>
      </c>
    </row>
    <row r="12" spans="1:10" s="24" customFormat="1" ht="15.75">
      <c r="A12" s="25"/>
      <c r="B12" s="46">
        <v>1</v>
      </c>
      <c r="C12" s="80" t="s">
        <v>637</v>
      </c>
      <c r="D12" s="80" t="s">
        <v>364</v>
      </c>
      <c r="E12" s="81" t="s">
        <v>296</v>
      </c>
      <c r="F12" s="81">
        <v>20</v>
      </c>
      <c r="G12" s="85"/>
      <c r="H12" s="28" t="s">
        <v>84</v>
      </c>
      <c r="I12" s="130" t="s">
        <v>364</v>
      </c>
    </row>
    <row r="13" spans="1:10" s="24" customFormat="1" ht="15.75">
      <c r="A13" s="25"/>
      <c r="B13" s="46">
        <f>B12+1</f>
        <v>2</v>
      </c>
      <c r="C13" s="80" t="s">
        <v>2136</v>
      </c>
      <c r="D13" s="80" t="s">
        <v>2155</v>
      </c>
      <c r="E13" s="81" t="s">
        <v>296</v>
      </c>
      <c r="F13" s="81">
        <v>20</v>
      </c>
      <c r="G13" s="85"/>
      <c r="H13" s="28" t="s">
        <v>84</v>
      </c>
      <c r="I13" s="130" t="s">
        <v>364</v>
      </c>
    </row>
    <row r="14" spans="1:10" s="98" customFormat="1" ht="15">
      <c r="A14" s="96"/>
      <c r="B14" s="46">
        <f t="shared" ref="B14:B37" si="0">B13+1</f>
        <v>3</v>
      </c>
      <c r="C14" s="50" t="s">
        <v>2156</v>
      </c>
      <c r="D14" s="50" t="s">
        <v>304</v>
      </c>
      <c r="E14" s="51" t="s">
        <v>296</v>
      </c>
      <c r="F14" s="51">
        <v>20</v>
      </c>
      <c r="G14" s="19"/>
      <c r="H14" s="19" t="s">
        <v>1924</v>
      </c>
      <c r="I14" s="19" t="s">
        <v>304</v>
      </c>
      <c r="J14" s="101"/>
    </row>
    <row r="15" spans="1:10" s="98" customFormat="1" ht="15">
      <c r="A15" s="96"/>
      <c r="B15" s="46">
        <f t="shared" si="0"/>
        <v>4</v>
      </c>
      <c r="C15" s="50" t="s">
        <v>2138</v>
      </c>
      <c r="D15" s="50" t="s">
        <v>654</v>
      </c>
      <c r="E15" s="51" t="s">
        <v>285</v>
      </c>
      <c r="F15" s="51">
        <v>20</v>
      </c>
      <c r="G15" s="19" t="s">
        <v>655</v>
      </c>
      <c r="H15" s="47"/>
      <c r="I15" s="47"/>
      <c r="J15" s="101"/>
    </row>
    <row r="16" spans="1:10" s="98" customFormat="1" ht="15">
      <c r="A16" s="96"/>
      <c r="B16" s="46">
        <f t="shared" si="0"/>
        <v>5</v>
      </c>
      <c r="C16" s="50" t="s">
        <v>2157</v>
      </c>
      <c r="D16" s="76" t="s">
        <v>657</v>
      </c>
      <c r="E16" s="51" t="s">
        <v>285</v>
      </c>
      <c r="F16" s="51">
        <v>30</v>
      </c>
      <c r="G16" s="19" t="s">
        <v>655</v>
      </c>
      <c r="H16" s="47"/>
      <c r="I16" s="47"/>
      <c r="J16" s="101"/>
    </row>
    <row r="17" spans="1:10" s="98" customFormat="1" ht="15">
      <c r="A17" s="96"/>
      <c r="B17" s="46">
        <f t="shared" si="0"/>
        <v>6</v>
      </c>
      <c r="C17" s="50" t="s">
        <v>2158</v>
      </c>
      <c r="D17" s="76" t="s">
        <v>659</v>
      </c>
      <c r="E17" s="51" t="s">
        <v>285</v>
      </c>
      <c r="F17" s="51">
        <v>30</v>
      </c>
      <c r="G17" s="19" t="s">
        <v>655</v>
      </c>
      <c r="H17" s="19"/>
      <c r="I17" s="19"/>
      <c r="J17" s="101"/>
    </row>
    <row r="18" spans="1:10" s="101" customFormat="1" ht="15">
      <c r="A18" s="100"/>
      <c r="B18" s="46">
        <f t="shared" si="0"/>
        <v>7</v>
      </c>
      <c r="C18" s="104" t="s">
        <v>2159</v>
      </c>
      <c r="D18" s="53" t="s">
        <v>829</v>
      </c>
      <c r="E18" s="27" t="s">
        <v>296</v>
      </c>
      <c r="F18" s="27">
        <v>20</v>
      </c>
      <c r="G18" s="29" t="s">
        <v>2160</v>
      </c>
      <c r="H18" s="28" t="s">
        <v>43</v>
      </c>
      <c r="I18" s="28" t="s">
        <v>339</v>
      </c>
    </row>
    <row r="19" spans="1:10" s="98" customFormat="1" ht="15">
      <c r="A19" s="96"/>
      <c r="B19" s="46">
        <f t="shared" si="0"/>
        <v>8</v>
      </c>
      <c r="C19" s="104" t="s">
        <v>2161</v>
      </c>
      <c r="D19" s="53" t="s">
        <v>832</v>
      </c>
      <c r="E19" s="62" t="s">
        <v>285</v>
      </c>
      <c r="F19" s="62">
        <v>50</v>
      </c>
      <c r="G19" s="52"/>
      <c r="H19" s="19"/>
      <c r="I19" s="19"/>
      <c r="J19" s="101"/>
    </row>
    <row r="20" spans="1:10" s="98" customFormat="1" ht="15">
      <c r="A20" s="96"/>
      <c r="B20" s="46">
        <f t="shared" si="0"/>
        <v>9</v>
      </c>
      <c r="C20" s="104" t="s">
        <v>2162</v>
      </c>
      <c r="D20" s="53" t="s">
        <v>834</v>
      </c>
      <c r="E20" s="62" t="s">
        <v>285</v>
      </c>
      <c r="F20" s="62">
        <v>100</v>
      </c>
      <c r="G20" s="19"/>
      <c r="H20" s="19"/>
      <c r="I20" s="19"/>
      <c r="J20" s="101"/>
    </row>
    <row r="21" spans="1:10" s="101" customFormat="1" ht="15">
      <c r="A21" s="100"/>
      <c r="B21" s="46">
        <f t="shared" si="0"/>
        <v>10</v>
      </c>
      <c r="C21" s="104" t="s">
        <v>2163</v>
      </c>
      <c r="D21" s="53" t="s">
        <v>836</v>
      </c>
      <c r="E21" s="27" t="s">
        <v>296</v>
      </c>
      <c r="F21" s="27">
        <v>20</v>
      </c>
      <c r="G21" s="29" t="s">
        <v>2164</v>
      </c>
      <c r="H21" s="28" t="s">
        <v>838</v>
      </c>
      <c r="I21" s="28" t="s">
        <v>339</v>
      </c>
    </row>
    <row r="22" spans="1:10" s="98" customFormat="1" ht="15">
      <c r="A22" s="96"/>
      <c r="B22" s="46">
        <f t="shared" si="0"/>
        <v>11</v>
      </c>
      <c r="C22" s="104" t="s">
        <v>2165</v>
      </c>
      <c r="D22" s="53" t="s">
        <v>840</v>
      </c>
      <c r="E22" s="62" t="s">
        <v>285</v>
      </c>
      <c r="F22" s="62">
        <v>50</v>
      </c>
      <c r="G22" s="52"/>
      <c r="H22" s="19"/>
      <c r="I22" s="19"/>
      <c r="J22" s="101"/>
    </row>
    <row r="23" spans="1:10" s="98" customFormat="1" ht="15">
      <c r="A23" s="96"/>
      <c r="B23" s="46">
        <f t="shared" si="0"/>
        <v>12</v>
      </c>
      <c r="C23" s="104" t="s">
        <v>2166</v>
      </c>
      <c r="D23" s="53" t="s">
        <v>842</v>
      </c>
      <c r="E23" s="62" t="s">
        <v>285</v>
      </c>
      <c r="F23" s="62">
        <v>100</v>
      </c>
      <c r="G23" s="19"/>
      <c r="H23" s="19"/>
      <c r="I23" s="19"/>
      <c r="J23" s="101"/>
    </row>
    <row r="24" spans="1:10" s="101" customFormat="1" ht="15">
      <c r="A24" s="100"/>
      <c r="B24" s="46">
        <f t="shared" si="0"/>
        <v>13</v>
      </c>
      <c r="C24" s="104" t="s">
        <v>2167</v>
      </c>
      <c r="D24" s="53" t="s">
        <v>844</v>
      </c>
      <c r="E24" s="27" t="s">
        <v>296</v>
      </c>
      <c r="F24" s="27">
        <v>20</v>
      </c>
      <c r="G24" s="29" t="s">
        <v>2168</v>
      </c>
      <c r="H24" s="28" t="s">
        <v>838</v>
      </c>
      <c r="I24" s="28" t="s">
        <v>339</v>
      </c>
    </row>
    <row r="25" spans="1:10" s="98" customFormat="1" ht="15">
      <c r="A25" s="96"/>
      <c r="B25" s="46">
        <f t="shared" si="0"/>
        <v>14</v>
      </c>
      <c r="C25" s="104" t="s">
        <v>2169</v>
      </c>
      <c r="D25" s="53" t="s">
        <v>847</v>
      </c>
      <c r="E25" s="62" t="s">
        <v>285</v>
      </c>
      <c r="F25" s="62">
        <v>50</v>
      </c>
      <c r="G25" s="52"/>
      <c r="H25" s="19"/>
      <c r="I25" s="19"/>
      <c r="J25" s="101"/>
    </row>
    <row r="26" spans="1:10" s="98" customFormat="1" ht="15">
      <c r="A26" s="96"/>
      <c r="B26" s="46">
        <f t="shared" si="0"/>
        <v>15</v>
      </c>
      <c r="C26" s="104" t="s">
        <v>2170</v>
      </c>
      <c r="D26" s="53" t="s">
        <v>849</v>
      </c>
      <c r="E26" s="62" t="s">
        <v>285</v>
      </c>
      <c r="F26" s="62">
        <v>100</v>
      </c>
      <c r="G26" s="19"/>
      <c r="H26" s="19"/>
      <c r="I26" s="19"/>
      <c r="J26" s="101"/>
    </row>
    <row r="27" spans="1:10" s="101" customFormat="1" ht="15">
      <c r="A27" s="100"/>
      <c r="B27" s="46">
        <f t="shared" si="0"/>
        <v>16</v>
      </c>
      <c r="C27" s="104" t="s">
        <v>2171</v>
      </c>
      <c r="D27" s="53" t="s">
        <v>851</v>
      </c>
      <c r="E27" s="27" t="s">
        <v>296</v>
      </c>
      <c r="F27" s="27">
        <v>20</v>
      </c>
      <c r="G27" s="29" t="s">
        <v>2172</v>
      </c>
      <c r="H27" s="28" t="s">
        <v>838</v>
      </c>
      <c r="I27" s="28" t="s">
        <v>339</v>
      </c>
    </row>
    <row r="28" spans="1:10" s="98" customFormat="1" ht="15">
      <c r="A28" s="96"/>
      <c r="B28" s="46">
        <f t="shared" si="0"/>
        <v>17</v>
      </c>
      <c r="C28" s="104" t="s">
        <v>2173</v>
      </c>
      <c r="D28" s="53" t="s">
        <v>854</v>
      </c>
      <c r="E28" s="62" t="s">
        <v>285</v>
      </c>
      <c r="F28" s="62">
        <v>50</v>
      </c>
      <c r="G28" s="52"/>
      <c r="H28" s="19"/>
      <c r="I28" s="19"/>
      <c r="J28" s="101"/>
    </row>
    <row r="29" spans="1:10" s="98" customFormat="1" ht="15">
      <c r="A29" s="96"/>
      <c r="B29" s="46">
        <f t="shared" si="0"/>
        <v>18</v>
      </c>
      <c r="C29" s="104" t="s">
        <v>2174</v>
      </c>
      <c r="D29" s="53" t="s">
        <v>856</v>
      </c>
      <c r="E29" s="62" t="s">
        <v>285</v>
      </c>
      <c r="F29" s="62">
        <v>100</v>
      </c>
      <c r="G29" s="19"/>
      <c r="H29" s="19"/>
      <c r="I29" s="19"/>
      <c r="J29" s="101"/>
    </row>
    <row r="30" spans="1:10" s="101" customFormat="1" ht="15">
      <c r="A30" s="100"/>
      <c r="B30" s="46">
        <f t="shared" si="0"/>
        <v>19</v>
      </c>
      <c r="C30" s="104" t="s">
        <v>2175</v>
      </c>
      <c r="D30" s="53" t="s">
        <v>858</v>
      </c>
      <c r="E30" s="27" t="s">
        <v>296</v>
      </c>
      <c r="F30" s="27">
        <v>20</v>
      </c>
      <c r="G30" s="29" t="s">
        <v>2176</v>
      </c>
      <c r="H30" s="28" t="s">
        <v>838</v>
      </c>
      <c r="I30" s="28" t="s">
        <v>339</v>
      </c>
    </row>
    <row r="31" spans="1:10" s="98" customFormat="1" ht="15">
      <c r="A31" s="96"/>
      <c r="B31" s="46">
        <f t="shared" si="0"/>
        <v>20</v>
      </c>
      <c r="C31" s="104" t="s">
        <v>2177</v>
      </c>
      <c r="D31" s="53" t="s">
        <v>861</v>
      </c>
      <c r="E31" s="62" t="s">
        <v>285</v>
      </c>
      <c r="F31" s="62">
        <v>50</v>
      </c>
      <c r="G31" s="52"/>
      <c r="H31" s="19"/>
      <c r="I31" s="19"/>
      <c r="J31" s="101"/>
    </row>
    <row r="32" spans="1:10" s="98" customFormat="1" ht="15">
      <c r="A32" s="96"/>
      <c r="B32" s="46">
        <f t="shared" si="0"/>
        <v>21</v>
      </c>
      <c r="C32" s="104" t="s">
        <v>2178</v>
      </c>
      <c r="D32" s="53" t="s">
        <v>863</v>
      </c>
      <c r="E32" s="62" t="s">
        <v>285</v>
      </c>
      <c r="F32" s="62">
        <v>100</v>
      </c>
      <c r="G32" s="19"/>
      <c r="H32" s="19"/>
      <c r="I32" s="19"/>
      <c r="J32" s="101"/>
    </row>
    <row r="33" spans="1:10" s="101" customFormat="1" ht="15">
      <c r="A33" s="100"/>
      <c r="B33" s="46">
        <f t="shared" si="0"/>
        <v>22</v>
      </c>
      <c r="C33" s="102" t="s">
        <v>2179</v>
      </c>
      <c r="D33" s="53" t="s">
        <v>864</v>
      </c>
      <c r="E33" s="27" t="s">
        <v>296</v>
      </c>
      <c r="F33" s="27">
        <v>20</v>
      </c>
      <c r="G33" s="102"/>
      <c r="H33" s="28" t="s">
        <v>472</v>
      </c>
      <c r="I33" s="28" t="s">
        <v>475</v>
      </c>
    </row>
    <row r="34" spans="1:10" s="98" customFormat="1" ht="15">
      <c r="A34" s="96"/>
      <c r="B34" s="46">
        <f t="shared" si="0"/>
        <v>23</v>
      </c>
      <c r="C34" s="102" t="s">
        <v>2180</v>
      </c>
      <c r="D34" s="76" t="s">
        <v>477</v>
      </c>
      <c r="E34" s="62" t="s">
        <v>285</v>
      </c>
      <c r="F34" s="62">
        <v>20</v>
      </c>
      <c r="G34" s="52"/>
      <c r="H34" s="19"/>
      <c r="I34" s="19"/>
      <c r="J34" s="101"/>
    </row>
    <row r="35" spans="1:10" s="98" customFormat="1" ht="15">
      <c r="A35" s="96"/>
      <c r="B35" s="46">
        <f t="shared" si="0"/>
        <v>24</v>
      </c>
      <c r="C35" s="102" t="s">
        <v>2181</v>
      </c>
      <c r="D35" s="76" t="s">
        <v>479</v>
      </c>
      <c r="E35" s="62" t="s">
        <v>285</v>
      </c>
      <c r="F35" s="62">
        <v>100</v>
      </c>
      <c r="G35" s="19"/>
      <c r="H35" s="19"/>
      <c r="I35" s="19"/>
      <c r="J35" s="101"/>
    </row>
    <row r="36" spans="1:10" s="98" customFormat="1" ht="15">
      <c r="A36" s="96"/>
      <c r="B36" s="46">
        <f t="shared" si="0"/>
        <v>25</v>
      </c>
      <c r="C36" s="53" t="s">
        <v>2182</v>
      </c>
      <c r="D36" s="53" t="s">
        <v>1105</v>
      </c>
      <c r="E36" s="51" t="s">
        <v>326</v>
      </c>
      <c r="F36" s="51">
        <v>4</v>
      </c>
      <c r="G36" s="52" t="s">
        <v>935</v>
      </c>
      <c r="H36" s="19" t="s">
        <v>936</v>
      </c>
      <c r="I36" s="19"/>
      <c r="J36" s="101"/>
    </row>
    <row r="37" spans="1:10" s="98" customFormat="1" ht="15">
      <c r="A37" s="96"/>
      <c r="B37" s="46">
        <f t="shared" si="0"/>
        <v>26</v>
      </c>
      <c r="C37" s="53" t="s">
        <v>2183</v>
      </c>
      <c r="D37" s="53" t="s">
        <v>2184</v>
      </c>
      <c r="E37" s="51" t="s">
        <v>316</v>
      </c>
      <c r="F37" s="51"/>
      <c r="G37" s="52"/>
      <c r="H37" s="19"/>
      <c r="I37" s="19"/>
      <c r="J37" s="101"/>
    </row>
    <row r="38" spans="1:10" ht="15">
      <c r="B38" s="21"/>
    </row>
    <row r="39" spans="1:10" ht="15">
      <c r="B39" s="45"/>
    </row>
    <row r="40" spans="1:10" ht="15.75">
      <c r="B40" s="45"/>
      <c r="C40" s="140"/>
    </row>
    <row r="41" spans="1:10" ht="15.75">
      <c r="C41" s="140"/>
    </row>
  </sheetData>
  <mergeCells count="6">
    <mergeCell ref="B10:E10"/>
    <mergeCell ref="F10:I10"/>
    <mergeCell ref="B1:E1"/>
    <mergeCell ref="F1:I1"/>
    <mergeCell ref="B2:E2"/>
    <mergeCell ref="F2:I2"/>
  </mergeCells>
  <phoneticPr fontId="5" type="noConversion"/>
  <pageMargins left="0.7" right="0.7" top="0.75" bottom="0.75" header="0.3" footer="0.3"/>
  <pageSetup paperSize="9" orientation="portrait" horizontalDpi="0" verticalDpi="0"/>
</worksheet>
</file>

<file path=xl/worksheets/sheet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E1C3E57-F6E2-4ADA-BC30-892042417094}">
  <sheetPr codeName="工作表65"/>
  <dimension ref="A1:J24"/>
  <sheetViews>
    <sheetView workbookViewId="0"/>
  </sheetViews>
  <sheetFormatPr defaultColWidth="6.625" defaultRowHeight="13.5"/>
  <cols>
    <col min="1" max="1" width="3.125" style="4" bestFit="1" customWidth="1"/>
    <col min="2" max="2" width="5.5" style="8" customWidth="1"/>
    <col min="3" max="3" width="35.5" style="4" customWidth="1"/>
    <col min="4" max="4" width="31.125" style="4" customWidth="1"/>
    <col min="5" max="5" width="14.625" style="4" customWidth="1"/>
    <col min="6" max="6" width="12.625" style="4" customWidth="1"/>
    <col min="7" max="7" width="58" style="4" customWidth="1"/>
    <col min="8" max="8" width="34.125" style="4" customWidth="1"/>
    <col min="9" max="9" width="21.625" style="4" customWidth="1"/>
    <col min="10" max="16384" width="6.625" style="4"/>
  </cols>
  <sheetData>
    <row r="1" spans="1:9" ht="24">
      <c r="A1" s="1" t="e">
        <f ca="1">HYPERLINK("#'介面'!E"&amp;MATCH(VALUE(RIGHT(CELL("filename"),LEN(CELL("filename"))-FIND("]",CELL("filename")))),介面!D:D,"0"),"←")</f>
        <v>#VALUE!</v>
      </c>
      <c r="B1" s="207" t="s">
        <v>191</v>
      </c>
      <c r="C1" s="208"/>
      <c r="D1" s="208"/>
      <c r="E1" s="209"/>
      <c r="F1" s="207" t="s">
        <v>192</v>
      </c>
      <c r="G1" s="208"/>
      <c r="H1" s="208"/>
      <c r="I1" s="208"/>
    </row>
    <row r="2" spans="1:9" ht="24">
      <c r="A2" s="1"/>
      <c r="B2" s="210" t="s">
        <v>275</v>
      </c>
      <c r="C2" s="211"/>
      <c r="D2" s="211"/>
      <c r="E2" s="212"/>
      <c r="F2" s="210"/>
      <c r="G2" s="211"/>
      <c r="H2" s="211"/>
      <c r="I2" s="212"/>
    </row>
    <row r="3" spans="1:9" s="8" customFormat="1" ht="15">
      <c r="A3" s="6"/>
      <c r="B3" s="7" t="s">
        <v>276</v>
      </c>
      <c r="C3" s="56" t="s">
        <v>277</v>
      </c>
      <c r="D3" s="56" t="s">
        <v>278</v>
      </c>
      <c r="E3" s="57" t="s">
        <v>279</v>
      </c>
      <c r="F3" s="57" t="s">
        <v>280</v>
      </c>
      <c r="G3" s="56" t="s">
        <v>281</v>
      </c>
      <c r="H3" s="141" t="s">
        <v>11</v>
      </c>
      <c r="I3" s="56" t="s">
        <v>282</v>
      </c>
    </row>
    <row r="4" spans="1:9" s="24" customFormat="1" ht="15">
      <c r="A4" s="25"/>
      <c r="B4" s="46">
        <v>1</v>
      </c>
      <c r="C4" s="64" t="s">
        <v>1825</v>
      </c>
      <c r="D4" s="64" t="s">
        <v>1826</v>
      </c>
      <c r="E4" s="62" t="s">
        <v>285</v>
      </c>
      <c r="F4" s="62">
        <v>50</v>
      </c>
      <c r="G4" s="66" t="s">
        <v>330</v>
      </c>
      <c r="H4" s="142" t="s">
        <v>302</v>
      </c>
      <c r="I4" s="66" t="s">
        <v>287</v>
      </c>
    </row>
    <row r="5" spans="1:9" s="24" customFormat="1" ht="15">
      <c r="A5" s="25"/>
      <c r="B5" s="46">
        <v>2</v>
      </c>
      <c r="C5" s="50" t="s">
        <v>303</v>
      </c>
      <c r="D5" s="50" t="s">
        <v>304</v>
      </c>
      <c r="E5" s="51" t="s">
        <v>452</v>
      </c>
      <c r="F5" s="51">
        <v>20</v>
      </c>
      <c r="G5" s="66" t="s">
        <v>331</v>
      </c>
      <c r="H5" s="142"/>
      <c r="I5" s="66" t="s">
        <v>287</v>
      </c>
    </row>
    <row r="6" spans="1:9" s="95" customFormat="1" ht="15.75">
      <c r="A6" s="93"/>
      <c r="B6" s="46">
        <v>3</v>
      </c>
      <c r="C6" s="64" t="s">
        <v>637</v>
      </c>
      <c r="D6" s="64" t="s">
        <v>364</v>
      </c>
      <c r="E6" s="51" t="s">
        <v>452</v>
      </c>
      <c r="F6" s="51">
        <v>20</v>
      </c>
      <c r="G6" s="91" t="s">
        <v>331</v>
      </c>
      <c r="H6" s="142"/>
      <c r="I6" s="66" t="s">
        <v>287</v>
      </c>
    </row>
    <row r="7" spans="1:9" s="24" customFormat="1" ht="15">
      <c r="A7" s="25"/>
      <c r="B7" s="46">
        <v>4</v>
      </c>
      <c r="C7" s="50" t="s">
        <v>1556</v>
      </c>
      <c r="D7" s="50" t="s">
        <v>1557</v>
      </c>
      <c r="E7" s="51" t="s">
        <v>452</v>
      </c>
      <c r="F7" s="51">
        <v>20</v>
      </c>
      <c r="G7" s="52" t="s">
        <v>2200</v>
      </c>
      <c r="H7" s="142"/>
      <c r="I7" s="66" t="s">
        <v>287</v>
      </c>
    </row>
    <row r="8" spans="1:9" s="24" customFormat="1" ht="15">
      <c r="A8" s="25"/>
      <c r="B8" s="46">
        <v>5</v>
      </c>
      <c r="C8" s="26" t="s">
        <v>1598</v>
      </c>
      <c r="D8" s="26" t="s">
        <v>1584</v>
      </c>
      <c r="E8" s="27" t="s">
        <v>969</v>
      </c>
      <c r="F8" s="27"/>
      <c r="G8" s="28" t="s">
        <v>2217</v>
      </c>
      <c r="H8" s="142"/>
      <c r="I8" s="66" t="s">
        <v>287</v>
      </c>
    </row>
    <row r="9" spans="1:9" s="24" customFormat="1" ht="15">
      <c r="B9" s="46">
        <v>6</v>
      </c>
      <c r="C9" s="26" t="s">
        <v>1599</v>
      </c>
      <c r="D9" s="26" t="s">
        <v>1586</v>
      </c>
      <c r="E9" s="27" t="s">
        <v>969</v>
      </c>
      <c r="F9" s="27"/>
      <c r="G9" s="28" t="s">
        <v>2218</v>
      </c>
      <c r="H9" s="142"/>
      <c r="I9" s="66" t="s">
        <v>287</v>
      </c>
    </row>
    <row r="10" spans="1:9" s="24" customFormat="1" ht="15.75">
      <c r="A10" s="25"/>
      <c r="B10" s="46">
        <v>7</v>
      </c>
      <c r="C10" s="86" t="s">
        <v>1595</v>
      </c>
      <c r="D10" s="86" t="s">
        <v>1596</v>
      </c>
      <c r="E10" s="87" t="s">
        <v>296</v>
      </c>
      <c r="F10" s="87">
        <v>20</v>
      </c>
      <c r="G10" s="89" t="s">
        <v>181</v>
      </c>
      <c r="H10" s="142" t="s">
        <v>2271</v>
      </c>
      <c r="I10" s="66" t="s">
        <v>639</v>
      </c>
    </row>
    <row r="11" spans="1:9" s="24" customFormat="1" ht="15">
      <c r="A11" s="25"/>
      <c r="B11" s="46">
        <v>8</v>
      </c>
      <c r="C11" s="50" t="s">
        <v>2206</v>
      </c>
      <c r="D11" s="50" t="s">
        <v>2207</v>
      </c>
      <c r="E11" s="51" t="s">
        <v>316</v>
      </c>
      <c r="F11" s="51"/>
      <c r="G11" s="147" t="s">
        <v>2223</v>
      </c>
      <c r="H11" s="142" t="s">
        <v>2272</v>
      </c>
      <c r="I11" s="66" t="s">
        <v>639</v>
      </c>
    </row>
    <row r="12" spans="1:9" s="24" customFormat="1" ht="15">
      <c r="A12" s="25"/>
      <c r="B12" s="46">
        <v>9</v>
      </c>
      <c r="C12" s="50" t="s">
        <v>2208</v>
      </c>
      <c r="D12" s="50" t="s">
        <v>2209</v>
      </c>
      <c r="E12" s="51" t="s">
        <v>285</v>
      </c>
      <c r="F12" s="51">
        <v>200</v>
      </c>
      <c r="G12" s="147" t="s">
        <v>2273</v>
      </c>
      <c r="H12" s="142" t="s">
        <v>2272</v>
      </c>
      <c r="I12" s="66" t="s">
        <v>639</v>
      </c>
    </row>
    <row r="13" spans="1:9" s="24" customFormat="1" ht="15">
      <c r="B13" s="46">
        <v>10</v>
      </c>
      <c r="C13" s="26" t="s">
        <v>2274</v>
      </c>
      <c r="D13" s="26" t="s">
        <v>1613</v>
      </c>
      <c r="E13" s="27" t="s">
        <v>285</v>
      </c>
      <c r="F13" s="27">
        <v>100</v>
      </c>
      <c r="G13" s="29" t="s">
        <v>2275</v>
      </c>
      <c r="H13" s="142"/>
      <c r="I13" s="66" t="s">
        <v>639</v>
      </c>
    </row>
    <row r="14" spans="1:9" s="24" customFormat="1" ht="15">
      <c r="B14" s="46">
        <v>11</v>
      </c>
      <c r="C14" s="26" t="s">
        <v>1610</v>
      </c>
      <c r="D14" s="26" t="s">
        <v>1611</v>
      </c>
      <c r="E14" s="27" t="s">
        <v>285</v>
      </c>
      <c r="F14" s="27">
        <v>500</v>
      </c>
      <c r="G14" s="28" t="s">
        <v>2276</v>
      </c>
      <c r="H14" s="142"/>
      <c r="I14" s="66" t="s">
        <v>639</v>
      </c>
    </row>
    <row r="15" spans="1:9" s="24" customFormat="1" ht="48" customHeight="1">
      <c r="B15" s="46">
        <v>12</v>
      </c>
      <c r="C15" s="80" t="s">
        <v>1615</v>
      </c>
      <c r="D15" s="132" t="s">
        <v>1616</v>
      </c>
      <c r="E15" s="87" t="s">
        <v>979</v>
      </c>
      <c r="F15" s="81"/>
      <c r="G15" s="85" t="s">
        <v>2277</v>
      </c>
      <c r="H15" s="142"/>
      <c r="I15" s="66" t="s">
        <v>639</v>
      </c>
    </row>
    <row r="16" spans="1:9" s="24" customFormat="1" ht="15">
      <c r="B16" s="46">
        <v>13</v>
      </c>
      <c r="C16" s="26" t="s">
        <v>11</v>
      </c>
      <c r="D16" s="26" t="s">
        <v>397</v>
      </c>
      <c r="E16" s="27" t="s">
        <v>285</v>
      </c>
      <c r="F16" s="27">
        <v>500</v>
      </c>
      <c r="G16" s="28"/>
      <c r="H16" s="142"/>
      <c r="I16" s="66" t="s">
        <v>639</v>
      </c>
    </row>
    <row r="17" spans="1:10" s="24" customFormat="1" ht="15.75">
      <c r="A17" s="25"/>
      <c r="B17" s="46">
        <v>14</v>
      </c>
      <c r="C17" s="86" t="s">
        <v>2224</v>
      </c>
      <c r="D17" s="86" t="s">
        <v>1593</v>
      </c>
      <c r="E17" s="87" t="s">
        <v>296</v>
      </c>
      <c r="F17" s="87">
        <v>20</v>
      </c>
      <c r="G17" s="89" t="s">
        <v>115</v>
      </c>
      <c r="H17" s="142" t="s">
        <v>2278</v>
      </c>
      <c r="I17" s="66" t="s">
        <v>639</v>
      </c>
    </row>
    <row r="18" spans="1:10" ht="15.75">
      <c r="A18" s="1"/>
      <c r="B18" s="2"/>
      <c r="C18" s="3"/>
      <c r="D18" s="3"/>
      <c r="E18" s="3"/>
      <c r="F18" s="3"/>
      <c r="G18" s="3"/>
      <c r="H18" s="3"/>
      <c r="I18" s="3"/>
    </row>
    <row r="19" spans="1:10" ht="24">
      <c r="A19" s="1"/>
      <c r="B19" s="204" t="s">
        <v>291</v>
      </c>
      <c r="C19" s="205"/>
      <c r="D19" s="205"/>
      <c r="E19" s="206"/>
      <c r="F19" s="204"/>
      <c r="G19" s="205"/>
      <c r="H19" s="205"/>
      <c r="I19" s="206"/>
    </row>
    <row r="20" spans="1:10" s="8" customFormat="1" ht="15">
      <c r="A20" s="6"/>
      <c r="B20" s="7" t="s">
        <v>276</v>
      </c>
      <c r="C20" s="56" t="s">
        <v>277</v>
      </c>
      <c r="D20" s="56" t="s">
        <v>278</v>
      </c>
      <c r="E20" s="57" t="s">
        <v>279</v>
      </c>
      <c r="F20" s="57" t="s">
        <v>280</v>
      </c>
      <c r="G20" s="56" t="s">
        <v>11</v>
      </c>
      <c r="H20" s="56" t="s">
        <v>292</v>
      </c>
      <c r="I20" s="56" t="s">
        <v>293</v>
      </c>
    </row>
    <row r="21" spans="1:10" s="24" customFormat="1" ht="15.75">
      <c r="A21" s="25"/>
      <c r="B21" s="46">
        <v>1</v>
      </c>
      <c r="C21" s="80" t="s">
        <v>2279</v>
      </c>
      <c r="D21" s="80" t="s">
        <v>1601</v>
      </c>
      <c r="E21" s="51" t="s">
        <v>1576</v>
      </c>
      <c r="F21" s="51" t="s">
        <v>609</v>
      </c>
      <c r="G21" s="85"/>
      <c r="H21" s="82"/>
      <c r="I21" s="130"/>
    </row>
    <row r="22" spans="1:10" s="98" customFormat="1" ht="15">
      <c r="A22" s="96"/>
      <c r="B22" s="46">
        <f>B21+1</f>
        <v>2</v>
      </c>
      <c r="C22" s="50" t="s">
        <v>1570</v>
      </c>
      <c r="D22" s="50" t="s">
        <v>2280</v>
      </c>
      <c r="E22" s="27" t="s">
        <v>285</v>
      </c>
      <c r="F22" s="27">
        <v>6</v>
      </c>
      <c r="G22" s="29" t="s">
        <v>1572</v>
      </c>
      <c r="H22" s="19"/>
      <c r="I22" s="19"/>
      <c r="J22" s="48"/>
    </row>
    <row r="23" spans="1:10" ht="15">
      <c r="B23" s="21"/>
    </row>
    <row r="24" spans="1:10" ht="15">
      <c r="B24" s="45"/>
    </row>
  </sheetData>
  <mergeCells count="6">
    <mergeCell ref="B19:E19"/>
    <mergeCell ref="F19:I19"/>
    <mergeCell ref="B1:E1"/>
    <mergeCell ref="F1:I1"/>
    <mergeCell ref="B2:E2"/>
    <mergeCell ref="F2:I2"/>
  </mergeCells>
  <phoneticPr fontId="5" type="noConversion"/>
  <pageMargins left="0.7" right="0.7" top="0.75" bottom="0.75" header="0.3" footer="0.3"/>
  <pageSetup paperSize="9" orientation="portrait" horizontalDpi="0" verticalDpi="0"/>
</worksheet>
</file>

<file path=xl/worksheets/sheet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51477B2-9236-4B8E-BDE2-310339599876}">
  <sheetPr codeName="工作表66"/>
  <dimension ref="A1:I25"/>
  <sheetViews>
    <sheetView workbookViewId="0"/>
  </sheetViews>
  <sheetFormatPr defaultColWidth="6.625" defaultRowHeight="13.5"/>
  <cols>
    <col min="1" max="1" width="3.125" style="4" bestFit="1" customWidth="1"/>
    <col min="2" max="2" width="5.5" style="8" customWidth="1"/>
    <col min="3" max="3" width="35.5" style="4" customWidth="1"/>
    <col min="4" max="4" width="31.125" style="4" customWidth="1"/>
    <col min="5" max="5" width="14.125" style="4" customWidth="1"/>
    <col min="6" max="6" width="12.625" style="4" customWidth="1"/>
    <col min="7" max="7" width="58" style="4" customWidth="1"/>
    <col min="8" max="8" width="34.125" style="4" customWidth="1"/>
    <col min="9" max="9" width="21.625" style="4" customWidth="1"/>
    <col min="10" max="16384" width="6.625" style="4"/>
  </cols>
  <sheetData>
    <row r="1" spans="1:9" ht="24">
      <c r="A1" s="1" t="e">
        <f ca="1">HYPERLINK("#'介面'!E"&amp;MATCH(VALUE(RIGHT(CELL("filename"),LEN(CELL("filename"))-FIND("]",CELL("filename")))),介面!D:D,"0"),"←")</f>
        <v>#VALUE!</v>
      </c>
      <c r="B1" s="207" t="s">
        <v>193</v>
      </c>
      <c r="C1" s="208"/>
      <c r="D1" s="208"/>
      <c r="E1" s="209"/>
      <c r="F1" s="207" t="s">
        <v>194</v>
      </c>
      <c r="G1" s="208"/>
      <c r="H1" s="208"/>
      <c r="I1" s="208"/>
    </row>
    <row r="2" spans="1:9" ht="24">
      <c r="A2" s="1"/>
      <c r="B2" s="210" t="s">
        <v>275</v>
      </c>
      <c r="C2" s="211"/>
      <c r="D2" s="211"/>
      <c r="E2" s="212"/>
      <c r="F2" s="210"/>
      <c r="G2" s="211"/>
      <c r="H2" s="211"/>
      <c r="I2" s="212"/>
    </row>
    <row r="3" spans="1:9" s="8" customFormat="1" ht="15">
      <c r="A3" s="6"/>
      <c r="B3" s="7" t="s">
        <v>276</v>
      </c>
      <c r="C3" s="56" t="s">
        <v>277</v>
      </c>
      <c r="D3" s="56" t="s">
        <v>278</v>
      </c>
      <c r="E3" s="57" t="s">
        <v>279</v>
      </c>
      <c r="F3" s="57" t="s">
        <v>280</v>
      </c>
      <c r="G3" s="56" t="s">
        <v>281</v>
      </c>
      <c r="H3" s="141" t="s">
        <v>11</v>
      </c>
      <c r="I3" s="56" t="s">
        <v>282</v>
      </c>
    </row>
    <row r="4" spans="1:9" s="24" customFormat="1" ht="15">
      <c r="A4" s="25"/>
      <c r="B4" s="46">
        <v>1</v>
      </c>
      <c r="C4" s="64" t="s">
        <v>1825</v>
      </c>
      <c r="D4" s="64" t="s">
        <v>1826</v>
      </c>
      <c r="E4" s="62" t="s">
        <v>285</v>
      </c>
      <c r="F4" s="62">
        <v>50</v>
      </c>
      <c r="G4" s="66" t="s">
        <v>330</v>
      </c>
      <c r="H4" s="142" t="s">
        <v>302</v>
      </c>
      <c r="I4" s="66" t="s">
        <v>287</v>
      </c>
    </row>
    <row r="5" spans="1:9" s="24" customFormat="1" ht="15">
      <c r="A5" s="25"/>
      <c r="B5" s="46">
        <v>2</v>
      </c>
      <c r="C5" s="50" t="s">
        <v>303</v>
      </c>
      <c r="D5" s="50" t="s">
        <v>304</v>
      </c>
      <c r="E5" s="51" t="s">
        <v>452</v>
      </c>
      <c r="F5" s="51">
        <v>20</v>
      </c>
      <c r="G5" s="66" t="s">
        <v>331</v>
      </c>
      <c r="H5" s="142"/>
      <c r="I5" s="66" t="s">
        <v>287</v>
      </c>
    </row>
    <row r="6" spans="1:9" s="95" customFormat="1" ht="15.75">
      <c r="A6" s="93"/>
      <c r="B6" s="46">
        <v>3</v>
      </c>
      <c r="C6" s="64" t="s">
        <v>637</v>
      </c>
      <c r="D6" s="64" t="s">
        <v>364</v>
      </c>
      <c r="E6" s="51" t="s">
        <v>452</v>
      </c>
      <c r="F6" s="51">
        <v>20</v>
      </c>
      <c r="G6" s="91" t="s">
        <v>331</v>
      </c>
      <c r="H6" s="142"/>
      <c r="I6" s="66" t="s">
        <v>287</v>
      </c>
    </row>
    <row r="7" spans="1:9" s="24" customFormat="1" ht="15">
      <c r="A7" s="25"/>
      <c r="B7" s="46">
        <v>4</v>
      </c>
      <c r="C7" s="50" t="s">
        <v>1556</v>
      </c>
      <c r="D7" s="50" t="s">
        <v>1557</v>
      </c>
      <c r="E7" s="51" t="s">
        <v>452</v>
      </c>
      <c r="F7" s="51">
        <v>20</v>
      </c>
      <c r="G7" s="52" t="s">
        <v>2200</v>
      </c>
      <c r="H7" s="142"/>
      <c r="I7" s="66" t="s">
        <v>287</v>
      </c>
    </row>
    <row r="8" spans="1:9" s="24" customFormat="1" ht="15">
      <c r="A8" s="25"/>
      <c r="B8" s="46">
        <v>5</v>
      </c>
      <c r="C8" s="26" t="s">
        <v>1598</v>
      </c>
      <c r="D8" s="26" t="s">
        <v>1584</v>
      </c>
      <c r="E8" s="27" t="s">
        <v>969</v>
      </c>
      <c r="F8" s="27"/>
      <c r="G8" s="28" t="s">
        <v>2217</v>
      </c>
      <c r="H8" s="142"/>
      <c r="I8" s="66" t="s">
        <v>287</v>
      </c>
    </row>
    <row r="9" spans="1:9" s="24" customFormat="1" ht="15">
      <c r="B9" s="46">
        <v>6</v>
      </c>
      <c r="C9" s="26" t="s">
        <v>1599</v>
      </c>
      <c r="D9" s="26" t="s">
        <v>1586</v>
      </c>
      <c r="E9" s="27" t="s">
        <v>969</v>
      </c>
      <c r="F9" s="27"/>
      <c r="G9" s="28" t="s">
        <v>2218</v>
      </c>
      <c r="H9" s="142"/>
      <c r="I9" s="66" t="s">
        <v>287</v>
      </c>
    </row>
    <row r="10" spans="1:9" s="24" customFormat="1" ht="15.75">
      <c r="A10" s="25"/>
      <c r="B10" s="46">
        <v>7</v>
      </c>
      <c r="C10" s="86" t="s">
        <v>1595</v>
      </c>
      <c r="D10" s="86" t="s">
        <v>1596</v>
      </c>
      <c r="E10" s="87" t="s">
        <v>296</v>
      </c>
      <c r="F10" s="87">
        <v>20</v>
      </c>
      <c r="G10" s="89" t="s">
        <v>181</v>
      </c>
      <c r="H10" s="142" t="s">
        <v>2271</v>
      </c>
      <c r="I10" s="66" t="s">
        <v>639</v>
      </c>
    </row>
    <row r="11" spans="1:9" s="24" customFormat="1" ht="15">
      <c r="A11" s="25"/>
      <c r="B11" s="46">
        <v>8</v>
      </c>
      <c r="C11" s="50" t="s">
        <v>2206</v>
      </c>
      <c r="D11" s="50" t="s">
        <v>2207</v>
      </c>
      <c r="E11" s="51" t="s">
        <v>316</v>
      </c>
      <c r="F11" s="51"/>
      <c r="G11" s="147" t="s">
        <v>2223</v>
      </c>
      <c r="H11" s="142" t="s">
        <v>2272</v>
      </c>
      <c r="I11" s="66" t="s">
        <v>639</v>
      </c>
    </row>
    <row r="12" spans="1:9" s="24" customFormat="1" ht="15">
      <c r="A12" s="25"/>
      <c r="B12" s="46">
        <v>9</v>
      </c>
      <c r="C12" s="50" t="s">
        <v>2208</v>
      </c>
      <c r="D12" s="50" t="s">
        <v>2209</v>
      </c>
      <c r="E12" s="51" t="s">
        <v>285</v>
      </c>
      <c r="F12" s="51">
        <v>200</v>
      </c>
      <c r="G12" s="147" t="s">
        <v>2273</v>
      </c>
      <c r="H12" s="142" t="s">
        <v>2272</v>
      </c>
      <c r="I12" s="66" t="s">
        <v>639</v>
      </c>
    </row>
    <row r="13" spans="1:9" s="24" customFormat="1" ht="15">
      <c r="B13" s="46">
        <v>10</v>
      </c>
      <c r="C13" s="26" t="s">
        <v>2274</v>
      </c>
      <c r="D13" s="26" t="s">
        <v>1613</v>
      </c>
      <c r="E13" s="27" t="s">
        <v>285</v>
      </c>
      <c r="F13" s="27">
        <v>100</v>
      </c>
      <c r="G13" s="29" t="s">
        <v>2281</v>
      </c>
      <c r="H13" s="142"/>
      <c r="I13" s="66" t="s">
        <v>639</v>
      </c>
    </row>
    <row r="14" spans="1:9" s="24" customFormat="1" ht="15">
      <c r="B14" s="46">
        <v>11</v>
      </c>
      <c r="C14" s="26" t="s">
        <v>1610</v>
      </c>
      <c r="D14" s="26" t="s">
        <v>1611</v>
      </c>
      <c r="E14" s="27" t="s">
        <v>285</v>
      </c>
      <c r="F14" s="27">
        <v>500</v>
      </c>
      <c r="G14" s="28" t="s">
        <v>2276</v>
      </c>
      <c r="H14" s="142"/>
      <c r="I14" s="66" t="s">
        <v>639</v>
      </c>
    </row>
    <row r="15" spans="1:9" s="24" customFormat="1" ht="48" customHeight="1">
      <c r="B15" s="46">
        <v>12</v>
      </c>
      <c r="C15" s="80" t="s">
        <v>1615</v>
      </c>
      <c r="D15" s="132" t="s">
        <v>1616</v>
      </c>
      <c r="E15" s="87" t="s">
        <v>979</v>
      </c>
      <c r="F15" s="81"/>
      <c r="G15" s="85" t="s">
        <v>2277</v>
      </c>
      <c r="H15" s="142"/>
      <c r="I15" s="66" t="s">
        <v>639</v>
      </c>
    </row>
    <row r="16" spans="1:9" s="24" customFormat="1" ht="15">
      <c r="B16" s="46">
        <v>13</v>
      </c>
      <c r="C16" s="26" t="s">
        <v>11</v>
      </c>
      <c r="D16" s="26" t="s">
        <v>397</v>
      </c>
      <c r="E16" s="27" t="s">
        <v>285</v>
      </c>
      <c r="F16" s="27">
        <v>500</v>
      </c>
      <c r="G16" s="28"/>
      <c r="H16" s="142"/>
      <c r="I16" s="66" t="s">
        <v>639</v>
      </c>
    </row>
    <row r="17" spans="1:9" s="24" customFormat="1" ht="15.75">
      <c r="A17" s="25"/>
      <c r="B17" s="46">
        <v>14</v>
      </c>
      <c r="C17" s="86" t="s">
        <v>2224</v>
      </c>
      <c r="D17" s="86" t="s">
        <v>1593</v>
      </c>
      <c r="E17" s="87" t="s">
        <v>296</v>
      </c>
      <c r="F17" s="87">
        <v>20</v>
      </c>
      <c r="G17" s="89" t="s">
        <v>115</v>
      </c>
      <c r="H17" s="142" t="s">
        <v>2278</v>
      </c>
      <c r="I17" s="66" t="s">
        <v>639</v>
      </c>
    </row>
    <row r="18" spans="1:9" s="24" customFormat="1" ht="15.75">
      <c r="A18" s="25"/>
      <c r="B18" s="46">
        <v>15</v>
      </c>
      <c r="C18" s="50" t="s">
        <v>1621</v>
      </c>
      <c r="D18" s="50" t="s">
        <v>1622</v>
      </c>
      <c r="E18" s="51" t="s">
        <v>285</v>
      </c>
      <c r="F18" s="51">
        <v>50</v>
      </c>
      <c r="G18" s="89" t="s">
        <v>2282</v>
      </c>
      <c r="H18" s="142"/>
      <c r="I18" s="66" t="s">
        <v>287</v>
      </c>
    </row>
    <row r="19" spans="1:9" s="24" customFormat="1" ht="15.75">
      <c r="A19" s="25"/>
      <c r="B19" s="46">
        <v>16</v>
      </c>
      <c r="C19" s="26" t="s">
        <v>1588</v>
      </c>
      <c r="D19" s="26" t="s">
        <v>1589</v>
      </c>
      <c r="E19" s="27" t="s">
        <v>326</v>
      </c>
      <c r="F19" s="27">
        <v>4</v>
      </c>
      <c r="G19" s="89" t="s">
        <v>1591</v>
      </c>
      <c r="H19" s="142"/>
      <c r="I19" s="66" t="s">
        <v>287</v>
      </c>
    </row>
    <row r="20" spans="1:9" ht="15.75">
      <c r="A20" s="1"/>
      <c r="B20" s="2"/>
      <c r="C20" s="3"/>
      <c r="D20" s="3"/>
      <c r="E20" s="3"/>
      <c r="F20" s="3"/>
      <c r="G20" s="3"/>
      <c r="H20" s="3"/>
      <c r="I20" s="3"/>
    </row>
    <row r="21" spans="1:9" ht="24">
      <c r="A21" s="1"/>
      <c r="B21" s="204" t="s">
        <v>291</v>
      </c>
      <c r="C21" s="205"/>
      <c r="D21" s="205"/>
      <c r="E21" s="206"/>
      <c r="F21" s="204"/>
      <c r="G21" s="205"/>
      <c r="H21" s="205"/>
      <c r="I21" s="206"/>
    </row>
    <row r="22" spans="1:9" s="8" customFormat="1" ht="15">
      <c r="A22" s="6"/>
      <c r="B22" s="7" t="s">
        <v>276</v>
      </c>
      <c r="C22" s="56" t="s">
        <v>277</v>
      </c>
      <c r="D22" s="56" t="s">
        <v>278</v>
      </c>
      <c r="E22" s="57" t="s">
        <v>279</v>
      </c>
      <c r="F22" s="57" t="s">
        <v>280</v>
      </c>
      <c r="G22" s="56" t="s">
        <v>11</v>
      </c>
      <c r="H22" s="56" t="s">
        <v>292</v>
      </c>
      <c r="I22" s="56" t="s">
        <v>293</v>
      </c>
    </row>
    <row r="23" spans="1:9" s="24" customFormat="1" ht="15.75">
      <c r="A23" s="25"/>
      <c r="B23" s="46">
        <v>1</v>
      </c>
      <c r="C23" s="86" t="s">
        <v>2283</v>
      </c>
      <c r="D23" s="86" t="s">
        <v>1593</v>
      </c>
      <c r="E23" s="87" t="s">
        <v>296</v>
      </c>
      <c r="F23" s="87">
        <v>20</v>
      </c>
      <c r="G23" s="85"/>
      <c r="H23" s="28" t="s">
        <v>115</v>
      </c>
      <c r="I23" s="86" t="s">
        <v>1593</v>
      </c>
    </row>
    <row r="24" spans="1:9" ht="15">
      <c r="B24" s="21"/>
    </row>
    <row r="25" spans="1:9" ht="15">
      <c r="B25" s="45"/>
    </row>
  </sheetData>
  <mergeCells count="6">
    <mergeCell ref="B21:E21"/>
    <mergeCell ref="F21:I21"/>
    <mergeCell ref="B1:E1"/>
    <mergeCell ref="F1:I1"/>
    <mergeCell ref="B2:E2"/>
    <mergeCell ref="F2:I2"/>
  </mergeCells>
  <phoneticPr fontId="5" type="noConversion"/>
  <pageMargins left="0.7" right="0.7" top="0.75" bottom="0.75" header="0.3" footer="0.3"/>
  <pageSetup paperSize="9" orientation="portrait" horizontalDpi="0" verticalDpi="0"/>
</worksheet>
</file>

<file path=xl/worksheets/sheet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4D804AC-EE79-4700-9D88-745C8C377CDD}">
  <sheetPr codeName="工作表102"/>
  <dimension ref="A1:I32"/>
  <sheetViews>
    <sheetView workbookViewId="0"/>
  </sheetViews>
  <sheetFormatPr defaultColWidth="6.625" defaultRowHeight="13.5"/>
  <cols>
    <col min="1" max="1" width="3.125" style="4" bestFit="1" customWidth="1"/>
    <col min="2" max="2" width="5.5" style="8" customWidth="1"/>
    <col min="3" max="3" width="30.5" style="4" customWidth="1"/>
    <col min="4" max="4" width="25" style="4" bestFit="1" customWidth="1"/>
    <col min="5" max="5" width="14.125" style="4" customWidth="1"/>
    <col min="6" max="6" width="6.125" style="4" customWidth="1"/>
    <col min="7" max="7" width="52" style="4" customWidth="1"/>
    <col min="8" max="8" width="32.625" style="4" bestFit="1" customWidth="1"/>
    <col min="9" max="9" width="22.625" style="4" customWidth="1"/>
    <col min="10" max="16384" width="6.625" style="4"/>
  </cols>
  <sheetData>
    <row r="1" spans="1:9" ht="24">
      <c r="A1" s="1" t="e">
        <f ca="1">HYPERLINK("#'介面'!E"&amp;MATCH(VALUE(RIGHT(CELL("filename"),LEN(CELL("filename"))-FIND("]",CELL("filename")))),介面!D:D,"0"),"←")</f>
        <v>#VALUE!</v>
      </c>
      <c r="B1" s="207" t="s">
        <v>195</v>
      </c>
      <c r="C1" s="208"/>
      <c r="D1" s="208"/>
      <c r="E1" s="209"/>
      <c r="F1" s="221" t="s">
        <v>196</v>
      </c>
      <c r="G1" s="222"/>
      <c r="H1" s="222"/>
      <c r="I1" s="223"/>
    </row>
    <row r="2" spans="1:9" ht="24">
      <c r="A2" s="1"/>
      <c r="B2" s="210" t="s">
        <v>275</v>
      </c>
      <c r="C2" s="211"/>
      <c r="D2" s="211"/>
      <c r="E2" s="212"/>
      <c r="F2" s="219"/>
      <c r="G2" s="220"/>
      <c r="H2" s="220"/>
      <c r="I2" s="215"/>
    </row>
    <row r="3" spans="1:9" s="8" customFormat="1" ht="15">
      <c r="A3" s="6"/>
      <c r="B3" s="7" t="s">
        <v>276</v>
      </c>
      <c r="C3" s="56" t="s">
        <v>277</v>
      </c>
      <c r="D3" s="56" t="s">
        <v>278</v>
      </c>
      <c r="E3" s="57" t="s">
        <v>279</v>
      </c>
      <c r="F3" s="57" t="s">
        <v>280</v>
      </c>
      <c r="G3" s="56" t="s">
        <v>281</v>
      </c>
      <c r="H3" s="56" t="s">
        <v>11</v>
      </c>
      <c r="I3" s="56" t="s">
        <v>282</v>
      </c>
    </row>
    <row r="4" spans="1:9" s="24" customFormat="1" ht="15.75">
      <c r="A4" s="25"/>
      <c r="B4" s="46">
        <v>1</v>
      </c>
      <c r="C4" s="80" t="s">
        <v>297</v>
      </c>
      <c r="D4" s="80" t="s">
        <v>298</v>
      </c>
      <c r="E4" s="81" t="s">
        <v>285</v>
      </c>
      <c r="F4" s="81">
        <v>500</v>
      </c>
      <c r="G4" s="66" t="s">
        <v>330</v>
      </c>
      <c r="H4" s="142" t="s">
        <v>302</v>
      </c>
      <c r="I4" s="66" t="s">
        <v>287</v>
      </c>
    </row>
    <row r="5" spans="1:9" s="24" customFormat="1" ht="15">
      <c r="A5" s="25"/>
      <c r="B5" s="46">
        <v>2</v>
      </c>
      <c r="C5" s="50" t="s">
        <v>303</v>
      </c>
      <c r="D5" s="76" t="s">
        <v>304</v>
      </c>
      <c r="E5" s="51" t="s">
        <v>296</v>
      </c>
      <c r="F5" s="51">
        <v>20</v>
      </c>
      <c r="G5" s="66" t="s">
        <v>331</v>
      </c>
      <c r="H5" s="66"/>
      <c r="I5" s="66" t="s">
        <v>287</v>
      </c>
    </row>
    <row r="6" spans="1:9" s="24" customFormat="1" ht="15">
      <c r="A6" s="25"/>
      <c r="B6" s="46">
        <v>3</v>
      </c>
      <c r="C6" s="50" t="s">
        <v>637</v>
      </c>
      <c r="D6" s="50" t="s">
        <v>364</v>
      </c>
      <c r="E6" s="51" t="s">
        <v>296</v>
      </c>
      <c r="F6" s="51">
        <v>20</v>
      </c>
      <c r="G6" s="66" t="s">
        <v>331</v>
      </c>
      <c r="H6" s="66"/>
      <c r="I6" s="143" t="s">
        <v>287</v>
      </c>
    </row>
    <row r="7" spans="1:9" ht="15.75">
      <c r="A7" s="1"/>
      <c r="B7" s="2"/>
      <c r="C7" s="3"/>
      <c r="D7" s="3"/>
      <c r="E7" s="3"/>
      <c r="F7" s="3"/>
      <c r="G7" s="3"/>
      <c r="H7" s="3"/>
    </row>
    <row r="8" spans="1:9" ht="24">
      <c r="A8" s="1"/>
      <c r="B8" s="204" t="s">
        <v>291</v>
      </c>
      <c r="C8" s="205"/>
      <c r="D8" s="205"/>
      <c r="E8" s="206"/>
      <c r="F8" s="204"/>
      <c r="G8" s="205"/>
      <c r="H8" s="205"/>
      <c r="I8" s="165"/>
    </row>
    <row r="9" spans="1:9" s="8" customFormat="1" ht="15">
      <c r="A9" s="6"/>
      <c r="B9" s="7" t="s">
        <v>276</v>
      </c>
      <c r="C9" s="56" t="s">
        <v>277</v>
      </c>
      <c r="D9" s="56" t="s">
        <v>278</v>
      </c>
      <c r="E9" s="57" t="s">
        <v>279</v>
      </c>
      <c r="F9" s="57" t="s">
        <v>280</v>
      </c>
      <c r="G9" s="56" t="s">
        <v>11</v>
      </c>
      <c r="H9" s="56" t="s">
        <v>292</v>
      </c>
      <c r="I9" s="56" t="s">
        <v>293</v>
      </c>
    </row>
    <row r="10" spans="1:9" s="24" customFormat="1" ht="15.75">
      <c r="A10" s="25"/>
      <c r="B10" s="23">
        <v>1</v>
      </c>
      <c r="C10" s="86" t="s">
        <v>1592</v>
      </c>
      <c r="D10" s="86" t="s">
        <v>1593</v>
      </c>
      <c r="E10" s="87" t="s">
        <v>296</v>
      </c>
      <c r="F10" s="87">
        <v>20</v>
      </c>
      <c r="G10" s="89"/>
      <c r="H10" s="89"/>
      <c r="I10" s="66"/>
    </row>
    <row r="11" spans="1:9" s="24" customFormat="1" ht="15">
      <c r="A11" s="25"/>
      <c r="B11" s="23">
        <f>B10+1</f>
        <v>2</v>
      </c>
      <c r="C11" s="26" t="s">
        <v>453</v>
      </c>
      <c r="D11" s="26" t="s">
        <v>304</v>
      </c>
      <c r="E11" s="27" t="s">
        <v>452</v>
      </c>
      <c r="F11" s="27">
        <v>20</v>
      </c>
      <c r="G11" s="29"/>
      <c r="H11" s="28" t="s">
        <v>41</v>
      </c>
      <c r="I11" s="19" t="s">
        <v>304</v>
      </c>
    </row>
    <row r="12" spans="1:9" s="24" customFormat="1" ht="15.75">
      <c r="A12" s="25"/>
      <c r="B12" s="23">
        <f t="shared" ref="B12:B21" si="0">B11+1</f>
        <v>3</v>
      </c>
      <c r="C12" s="86" t="s">
        <v>637</v>
      </c>
      <c r="D12" s="86" t="s">
        <v>364</v>
      </c>
      <c r="E12" s="87" t="s">
        <v>296</v>
      </c>
      <c r="F12" s="87">
        <v>20</v>
      </c>
      <c r="G12" s="88"/>
      <c r="H12" s="28" t="s">
        <v>1594</v>
      </c>
      <c r="I12" s="66" t="s">
        <v>364</v>
      </c>
    </row>
    <row r="13" spans="1:9" s="24" customFormat="1" ht="15">
      <c r="A13" s="25"/>
      <c r="B13" s="23">
        <f t="shared" si="0"/>
        <v>4</v>
      </c>
      <c r="C13" s="50" t="s">
        <v>1556</v>
      </c>
      <c r="D13" s="50" t="s">
        <v>1557</v>
      </c>
      <c r="E13" s="51" t="s">
        <v>452</v>
      </c>
      <c r="F13" s="51">
        <v>20</v>
      </c>
      <c r="G13" s="52"/>
      <c r="H13" s="19" t="s">
        <v>179</v>
      </c>
      <c r="I13" s="66" t="s">
        <v>1557</v>
      </c>
    </row>
    <row r="14" spans="1:9" s="24" customFormat="1" ht="15">
      <c r="A14" s="25"/>
      <c r="B14" s="46">
        <f t="shared" si="0"/>
        <v>5</v>
      </c>
      <c r="C14" s="64" t="s">
        <v>1559</v>
      </c>
      <c r="D14" s="64" t="s">
        <v>1560</v>
      </c>
      <c r="E14" s="68" t="s">
        <v>456</v>
      </c>
      <c r="F14" s="62">
        <v>20</v>
      </c>
      <c r="G14" s="66"/>
      <c r="H14" s="28"/>
      <c r="I14" s="66"/>
    </row>
    <row r="15" spans="1:9" s="24" customFormat="1" ht="15">
      <c r="A15" s="25"/>
      <c r="B15" s="46">
        <f t="shared" si="0"/>
        <v>6</v>
      </c>
      <c r="C15" s="64" t="s">
        <v>1562</v>
      </c>
      <c r="D15" s="64" t="s">
        <v>1563</v>
      </c>
      <c r="E15" s="68" t="s">
        <v>456</v>
      </c>
      <c r="F15" s="62">
        <v>100</v>
      </c>
      <c r="G15" s="66"/>
      <c r="H15" s="66"/>
      <c r="I15" s="66"/>
    </row>
    <row r="16" spans="1:9" s="24" customFormat="1" ht="15">
      <c r="A16" s="25"/>
      <c r="B16" s="46">
        <f t="shared" si="0"/>
        <v>7</v>
      </c>
      <c r="C16" s="64" t="s">
        <v>1564</v>
      </c>
      <c r="D16" s="64" t="s">
        <v>2185</v>
      </c>
      <c r="E16" s="68" t="s">
        <v>456</v>
      </c>
      <c r="F16" s="62">
        <v>1000</v>
      </c>
      <c r="G16" s="66"/>
      <c r="H16" s="66"/>
      <c r="I16" s="66"/>
    </row>
    <row r="17" spans="1:9" s="24" customFormat="1" ht="15">
      <c r="A17" s="25"/>
      <c r="B17" s="23">
        <f>B13+1</f>
        <v>5</v>
      </c>
      <c r="C17" s="50" t="s">
        <v>1598</v>
      </c>
      <c r="D17" s="50" t="s">
        <v>1584</v>
      </c>
      <c r="E17" s="51" t="s">
        <v>969</v>
      </c>
      <c r="F17" s="51"/>
      <c r="G17" s="19" t="s">
        <v>1227</v>
      </c>
      <c r="H17" s="19"/>
      <c r="I17" s="50"/>
    </row>
    <row r="18" spans="1:9" ht="15">
      <c r="B18" s="23">
        <f t="shared" si="0"/>
        <v>6</v>
      </c>
      <c r="C18" s="50" t="s">
        <v>1599</v>
      </c>
      <c r="D18" s="50" t="s">
        <v>1586</v>
      </c>
      <c r="E18" s="51" t="s">
        <v>969</v>
      </c>
      <c r="F18" s="51"/>
      <c r="G18" s="19" t="s">
        <v>1227</v>
      </c>
      <c r="H18" s="19"/>
      <c r="I18" s="64"/>
    </row>
    <row r="19" spans="1:9" ht="15">
      <c r="B19" s="23">
        <f t="shared" si="0"/>
        <v>7</v>
      </c>
      <c r="C19" s="26" t="s">
        <v>1600</v>
      </c>
      <c r="D19" s="26" t="s">
        <v>1601</v>
      </c>
      <c r="E19" s="72" t="s">
        <v>704</v>
      </c>
      <c r="F19" s="72" t="s">
        <v>609</v>
      </c>
      <c r="G19" s="28" t="s">
        <v>1602</v>
      </c>
      <c r="H19" s="28"/>
      <c r="I19" s="64"/>
    </row>
    <row r="20" spans="1:9" ht="15">
      <c r="B20" s="23">
        <f t="shared" si="0"/>
        <v>8</v>
      </c>
      <c r="C20" s="26" t="s">
        <v>1603</v>
      </c>
      <c r="D20" s="26" t="s">
        <v>1604</v>
      </c>
      <c r="E20" s="72" t="s">
        <v>418</v>
      </c>
      <c r="F20" s="72">
        <v>11</v>
      </c>
      <c r="G20" s="28" t="s">
        <v>1605</v>
      </c>
      <c r="H20" s="28"/>
      <c r="I20" s="26"/>
    </row>
    <row r="21" spans="1:9" ht="30">
      <c r="B21" s="23">
        <f t="shared" si="0"/>
        <v>9</v>
      </c>
      <c r="C21" s="26" t="s">
        <v>1608</v>
      </c>
      <c r="D21" s="26" t="s">
        <v>1571</v>
      </c>
      <c r="E21" s="27" t="s">
        <v>285</v>
      </c>
      <c r="F21" s="27">
        <v>6</v>
      </c>
      <c r="G21" s="29" t="s">
        <v>1609</v>
      </c>
      <c r="H21" s="28" t="s">
        <v>1573</v>
      </c>
      <c r="I21" s="73"/>
    </row>
    <row r="22" spans="1:9" ht="15">
      <c r="B22" s="117"/>
    </row>
    <row r="23" spans="1:9" ht="15">
      <c r="B23" s="45"/>
    </row>
    <row r="24" spans="1:9" ht="15">
      <c r="B24" s="45"/>
    </row>
    <row r="25" spans="1:9" ht="15">
      <c r="B25" s="45"/>
    </row>
    <row r="26" spans="1:9" ht="15">
      <c r="B26" s="45"/>
    </row>
    <row r="32" spans="1:9" ht="15">
      <c r="G32" s="29"/>
    </row>
  </sheetData>
  <mergeCells count="6">
    <mergeCell ref="B1:E1"/>
    <mergeCell ref="F1:I1"/>
    <mergeCell ref="B2:E2"/>
    <mergeCell ref="F2:I2"/>
    <mergeCell ref="B8:E8"/>
    <mergeCell ref="F8:H8"/>
  </mergeCells>
  <phoneticPr fontId="5" type="noConversion"/>
  <pageMargins left="0.7" right="0.7" top="0.75" bottom="0.75" header="0.3" footer="0.3"/>
  <pageSetup paperSize="9" orientation="portrait" horizontalDpi="0" verticalDpi="0"/>
</worksheet>
</file>

<file path=xl/worksheets/sheet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28A222C-6041-4E9D-B734-28A0387B84F3}">
  <sheetPr codeName="工作表67"/>
  <dimension ref="A1:I12"/>
  <sheetViews>
    <sheetView workbookViewId="0"/>
  </sheetViews>
  <sheetFormatPr defaultColWidth="6.625" defaultRowHeight="13.5"/>
  <cols>
    <col min="1" max="1" width="3.125" style="4" bestFit="1" customWidth="1"/>
    <col min="2" max="2" width="5.5" style="8" customWidth="1"/>
    <col min="3" max="3" width="35.5" style="4" customWidth="1"/>
    <col min="4" max="4" width="31.125" style="4" customWidth="1"/>
    <col min="5" max="5" width="11.125" style="4" bestFit="1" customWidth="1"/>
    <col min="6" max="6" width="12.625" style="4" customWidth="1"/>
    <col min="7" max="7" width="58" style="4" customWidth="1"/>
    <col min="8" max="8" width="34.125" style="4" customWidth="1"/>
    <col min="9" max="9" width="21.625" style="4" customWidth="1"/>
    <col min="10" max="16384" width="6.625" style="4"/>
  </cols>
  <sheetData>
    <row r="1" spans="1:9" ht="24">
      <c r="A1" s="1" t="e">
        <f ca="1">HYPERLINK("#'介面'!E"&amp;MATCH(VALUE(RIGHT(CELL("filename"),LEN(CELL("filename"))-FIND("]",CELL("filename")))),介面!D:D,"0"),"←")</f>
        <v>#VALUE!</v>
      </c>
      <c r="B1" s="207" t="s">
        <v>197</v>
      </c>
      <c r="C1" s="208"/>
      <c r="D1" s="208"/>
      <c r="E1" s="209"/>
      <c r="F1" s="207" t="s">
        <v>198</v>
      </c>
      <c r="G1" s="208"/>
      <c r="H1" s="208"/>
      <c r="I1" s="208"/>
    </row>
    <row r="2" spans="1:9" ht="24">
      <c r="A2" s="1"/>
      <c r="B2" s="210" t="s">
        <v>275</v>
      </c>
      <c r="C2" s="211"/>
      <c r="D2" s="211"/>
      <c r="E2" s="212"/>
      <c r="F2" s="210"/>
      <c r="G2" s="211"/>
      <c r="H2" s="211"/>
      <c r="I2" s="212"/>
    </row>
    <row r="3" spans="1:9" s="8" customFormat="1" ht="15">
      <c r="A3" s="6"/>
      <c r="B3" s="7" t="s">
        <v>276</v>
      </c>
      <c r="C3" s="56" t="s">
        <v>277</v>
      </c>
      <c r="D3" s="56" t="s">
        <v>278</v>
      </c>
      <c r="E3" s="57" t="s">
        <v>279</v>
      </c>
      <c r="F3" s="57" t="s">
        <v>280</v>
      </c>
      <c r="G3" s="56" t="s">
        <v>281</v>
      </c>
      <c r="H3" s="141" t="s">
        <v>11</v>
      </c>
      <c r="I3" s="56" t="s">
        <v>282</v>
      </c>
    </row>
    <row r="4" spans="1:9" s="24" customFormat="1" ht="15">
      <c r="A4" s="25"/>
      <c r="B4" s="46">
        <v>1</v>
      </c>
      <c r="C4" s="64" t="s">
        <v>1825</v>
      </c>
      <c r="D4" s="64" t="s">
        <v>1826</v>
      </c>
      <c r="E4" s="62" t="s">
        <v>285</v>
      </c>
      <c r="F4" s="62">
        <v>50</v>
      </c>
      <c r="G4" s="66" t="s">
        <v>330</v>
      </c>
      <c r="H4" s="142" t="s">
        <v>302</v>
      </c>
      <c r="I4" s="66" t="s">
        <v>287</v>
      </c>
    </row>
    <row r="5" spans="1:9" s="24" customFormat="1" ht="15">
      <c r="A5" s="25"/>
      <c r="B5" s="46">
        <v>2</v>
      </c>
      <c r="C5" s="50" t="s">
        <v>303</v>
      </c>
      <c r="D5" s="50" t="s">
        <v>304</v>
      </c>
      <c r="E5" s="51" t="s">
        <v>452</v>
      </c>
      <c r="F5" s="51">
        <v>20</v>
      </c>
      <c r="G5" s="66" t="s">
        <v>331</v>
      </c>
      <c r="H5" s="142"/>
      <c r="I5" s="66" t="s">
        <v>287</v>
      </c>
    </row>
    <row r="6" spans="1:9" s="95" customFormat="1" ht="15.75">
      <c r="A6" s="93"/>
      <c r="B6" s="46">
        <v>3</v>
      </c>
      <c r="C6" s="64" t="s">
        <v>637</v>
      </c>
      <c r="D6" s="64" t="s">
        <v>364</v>
      </c>
      <c r="E6" s="51" t="s">
        <v>452</v>
      </c>
      <c r="F6" s="51">
        <v>20</v>
      </c>
      <c r="G6" s="91" t="s">
        <v>331</v>
      </c>
      <c r="H6" s="142"/>
      <c r="I6" s="66" t="s">
        <v>287</v>
      </c>
    </row>
    <row r="7" spans="1:9" s="24" customFormat="1" ht="15.75">
      <c r="A7" s="25"/>
      <c r="B7" s="46">
        <v>4</v>
      </c>
      <c r="C7" s="86" t="s">
        <v>2224</v>
      </c>
      <c r="D7" s="86" t="s">
        <v>1593</v>
      </c>
      <c r="E7" s="87" t="s">
        <v>296</v>
      </c>
      <c r="F7" s="87">
        <v>20</v>
      </c>
      <c r="G7" s="89" t="s">
        <v>115</v>
      </c>
      <c r="H7" s="159"/>
      <c r="I7" s="19" t="s">
        <v>287</v>
      </c>
    </row>
    <row r="8" spans="1:9" ht="15.75">
      <c r="A8" s="1"/>
      <c r="B8" s="2"/>
      <c r="C8" s="3"/>
      <c r="D8" s="3"/>
      <c r="E8" s="3"/>
      <c r="F8" s="3"/>
      <c r="G8" s="3"/>
      <c r="H8" s="3"/>
      <c r="I8" s="3"/>
    </row>
    <row r="9" spans="1:9" ht="24">
      <c r="A9" s="1"/>
      <c r="B9" s="204" t="s">
        <v>291</v>
      </c>
      <c r="C9" s="205"/>
      <c r="D9" s="205"/>
      <c r="E9" s="206"/>
      <c r="F9" s="204"/>
      <c r="G9" s="205"/>
      <c r="H9" s="205"/>
      <c r="I9" s="206"/>
    </row>
    <row r="10" spans="1:9" s="8" customFormat="1" ht="15">
      <c r="A10" s="6"/>
      <c r="B10" s="7" t="s">
        <v>276</v>
      </c>
      <c r="C10" s="56" t="s">
        <v>277</v>
      </c>
      <c r="D10" s="56" t="s">
        <v>278</v>
      </c>
      <c r="E10" s="57" t="s">
        <v>279</v>
      </c>
      <c r="F10" s="57" t="s">
        <v>280</v>
      </c>
      <c r="G10" s="56" t="s">
        <v>11</v>
      </c>
      <c r="H10" s="56" t="s">
        <v>292</v>
      </c>
      <c r="I10" s="56" t="s">
        <v>293</v>
      </c>
    </row>
    <row r="11" spans="1:9" s="24" customFormat="1" ht="15.75">
      <c r="A11" s="25"/>
      <c r="B11" s="46">
        <v>1</v>
      </c>
      <c r="C11" s="86" t="s">
        <v>1834</v>
      </c>
      <c r="D11" s="86" t="s">
        <v>1835</v>
      </c>
      <c r="E11" s="87"/>
      <c r="F11" s="87"/>
      <c r="G11" s="85" t="s">
        <v>1836</v>
      </c>
      <c r="H11" s="28"/>
      <c r="I11" s="86"/>
    </row>
    <row r="12" spans="1:9" s="24" customFormat="1" ht="15.75">
      <c r="A12" s="25"/>
      <c r="B12" s="46">
        <v>2</v>
      </c>
      <c r="C12" s="86" t="s">
        <v>1837</v>
      </c>
      <c r="D12" s="86" t="s">
        <v>1838</v>
      </c>
      <c r="E12" s="87"/>
      <c r="F12" s="87"/>
      <c r="G12" s="85" t="s">
        <v>1836</v>
      </c>
      <c r="H12" s="28"/>
      <c r="I12" s="86"/>
    </row>
  </sheetData>
  <mergeCells count="6">
    <mergeCell ref="B9:E9"/>
    <mergeCell ref="F9:I9"/>
    <mergeCell ref="B1:E1"/>
    <mergeCell ref="F1:I1"/>
    <mergeCell ref="B2:E2"/>
    <mergeCell ref="F2:I2"/>
  </mergeCells>
  <phoneticPr fontId="5" type="noConversion"/>
  <pageMargins left="0.7" right="0.7" top="0.75" bottom="0.75" header="0.3" footer="0.3"/>
  <pageSetup paperSize="9" orientation="portrait" horizontalDpi="0" verticalDpi="0"/>
</worksheet>
</file>

<file path=xl/worksheets/sheet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36A5D2F-939B-4F38-AC34-3829DEAA0328}">
  <sheetPr codeName="工作表68"/>
  <dimension ref="A1:I12"/>
  <sheetViews>
    <sheetView workbookViewId="0"/>
  </sheetViews>
  <sheetFormatPr defaultColWidth="6.625" defaultRowHeight="13.5"/>
  <cols>
    <col min="1" max="1" width="3.125" style="4" bestFit="1" customWidth="1"/>
    <col min="2" max="2" width="5.5" style="8" customWidth="1"/>
    <col min="3" max="3" width="35.5" style="4" customWidth="1"/>
    <col min="4" max="4" width="31.125" style="4" customWidth="1"/>
    <col min="5" max="5" width="11.125" style="4" bestFit="1" customWidth="1"/>
    <col min="6" max="6" width="12.625" style="4" customWidth="1"/>
    <col min="7" max="7" width="58" style="4" customWidth="1"/>
    <col min="8" max="8" width="34.125" style="4" customWidth="1"/>
    <col min="9" max="9" width="21.625" style="4" customWidth="1"/>
    <col min="10" max="16384" width="6.625" style="4"/>
  </cols>
  <sheetData>
    <row r="1" spans="1:9" ht="24">
      <c r="A1" s="1" t="e">
        <f ca="1">HYPERLINK("#'介面'!E"&amp;MATCH(VALUE(RIGHT(CELL("filename"),LEN(CELL("filename"))-FIND("]",CELL("filename")))),介面!D:D,"0"),"←")</f>
        <v>#VALUE!</v>
      </c>
      <c r="B1" s="207" t="s">
        <v>199</v>
      </c>
      <c r="C1" s="208"/>
      <c r="D1" s="208"/>
      <c r="E1" s="209"/>
      <c r="F1" s="207" t="s">
        <v>200</v>
      </c>
      <c r="G1" s="208"/>
      <c r="H1" s="208"/>
      <c r="I1" s="208"/>
    </row>
    <row r="2" spans="1:9" ht="24">
      <c r="A2" s="1"/>
      <c r="B2" s="210" t="s">
        <v>275</v>
      </c>
      <c r="C2" s="211"/>
      <c r="D2" s="211"/>
      <c r="E2" s="212"/>
      <c r="F2" s="210"/>
      <c r="G2" s="211"/>
      <c r="H2" s="211"/>
      <c r="I2" s="212"/>
    </row>
    <row r="3" spans="1:9" s="8" customFormat="1" ht="15">
      <c r="A3" s="6"/>
      <c r="B3" s="7" t="s">
        <v>276</v>
      </c>
      <c r="C3" s="56" t="s">
        <v>277</v>
      </c>
      <c r="D3" s="56" t="s">
        <v>278</v>
      </c>
      <c r="E3" s="57" t="s">
        <v>279</v>
      </c>
      <c r="F3" s="57" t="s">
        <v>280</v>
      </c>
      <c r="G3" s="56" t="s">
        <v>281</v>
      </c>
      <c r="H3" s="141" t="s">
        <v>11</v>
      </c>
      <c r="I3" s="56" t="s">
        <v>282</v>
      </c>
    </row>
    <row r="4" spans="1:9" s="24" customFormat="1" ht="15">
      <c r="A4" s="25"/>
      <c r="B4" s="46">
        <v>1</v>
      </c>
      <c r="C4" s="64" t="s">
        <v>1825</v>
      </c>
      <c r="D4" s="64" t="s">
        <v>1826</v>
      </c>
      <c r="E4" s="62" t="s">
        <v>285</v>
      </c>
      <c r="F4" s="62">
        <v>50</v>
      </c>
      <c r="G4" s="66" t="s">
        <v>330</v>
      </c>
      <c r="H4" s="142" t="s">
        <v>302</v>
      </c>
      <c r="I4" s="66" t="s">
        <v>287</v>
      </c>
    </row>
    <row r="5" spans="1:9" s="24" customFormat="1" ht="15">
      <c r="A5" s="25"/>
      <c r="B5" s="46">
        <v>2</v>
      </c>
      <c r="C5" s="50" t="s">
        <v>303</v>
      </c>
      <c r="D5" s="50" t="s">
        <v>304</v>
      </c>
      <c r="E5" s="51" t="s">
        <v>452</v>
      </c>
      <c r="F5" s="51">
        <v>20</v>
      </c>
      <c r="G5" s="66" t="s">
        <v>331</v>
      </c>
      <c r="H5" s="142"/>
      <c r="I5" s="66" t="s">
        <v>287</v>
      </c>
    </row>
    <row r="6" spans="1:9" s="95" customFormat="1" ht="15.75">
      <c r="A6" s="93"/>
      <c r="B6" s="46">
        <v>3</v>
      </c>
      <c r="C6" s="64" t="s">
        <v>637</v>
      </c>
      <c r="D6" s="64" t="s">
        <v>364</v>
      </c>
      <c r="E6" s="51" t="s">
        <v>452</v>
      </c>
      <c r="F6" s="51">
        <v>20</v>
      </c>
      <c r="G6" s="91" t="s">
        <v>331</v>
      </c>
      <c r="H6" s="142"/>
      <c r="I6" s="66" t="s">
        <v>287</v>
      </c>
    </row>
    <row r="7" spans="1:9" s="24" customFormat="1" ht="15.75">
      <c r="A7" s="25"/>
      <c r="B7" s="46">
        <v>4</v>
      </c>
      <c r="C7" s="86" t="s">
        <v>2224</v>
      </c>
      <c r="D7" s="86" t="s">
        <v>1593</v>
      </c>
      <c r="E7" s="87" t="s">
        <v>296</v>
      </c>
      <c r="F7" s="87">
        <v>20</v>
      </c>
      <c r="G7" s="89" t="s">
        <v>115</v>
      </c>
      <c r="H7" s="142"/>
      <c r="I7" s="66" t="s">
        <v>287</v>
      </c>
    </row>
    <row r="8" spans="1:9" ht="15.75">
      <c r="A8" s="1"/>
      <c r="B8" s="2"/>
      <c r="C8" s="3"/>
      <c r="D8" s="3"/>
      <c r="E8" s="3"/>
      <c r="F8" s="3"/>
      <c r="G8" s="3"/>
      <c r="H8" s="3"/>
      <c r="I8" s="3"/>
    </row>
    <row r="9" spans="1:9" ht="24">
      <c r="A9" s="1"/>
      <c r="B9" s="204" t="s">
        <v>291</v>
      </c>
      <c r="C9" s="205"/>
      <c r="D9" s="205"/>
      <c r="E9" s="206"/>
      <c r="F9" s="204"/>
      <c r="G9" s="205"/>
      <c r="H9" s="205"/>
      <c r="I9" s="206"/>
    </row>
    <row r="10" spans="1:9" s="8" customFormat="1" ht="15">
      <c r="A10" s="6"/>
      <c r="B10" s="7" t="s">
        <v>276</v>
      </c>
      <c r="C10" s="56" t="s">
        <v>277</v>
      </c>
      <c r="D10" s="56" t="s">
        <v>278</v>
      </c>
      <c r="E10" s="57" t="s">
        <v>279</v>
      </c>
      <c r="F10" s="57" t="s">
        <v>280</v>
      </c>
      <c r="G10" s="56" t="s">
        <v>11</v>
      </c>
      <c r="H10" s="56" t="s">
        <v>292</v>
      </c>
      <c r="I10" s="56" t="s">
        <v>293</v>
      </c>
    </row>
    <row r="11" spans="1:9" s="24" customFormat="1" ht="15.75">
      <c r="A11" s="25"/>
      <c r="B11" s="46">
        <v>1</v>
      </c>
      <c r="C11" s="86" t="s">
        <v>1834</v>
      </c>
      <c r="D11" s="86" t="s">
        <v>1835</v>
      </c>
      <c r="E11" s="87"/>
      <c r="F11" s="87"/>
      <c r="G11" s="85" t="s">
        <v>1836</v>
      </c>
      <c r="H11" s="28"/>
      <c r="I11" s="86"/>
    </row>
    <row r="12" spans="1:9" s="24" customFormat="1" ht="15.75">
      <c r="A12" s="25"/>
      <c r="B12" s="46">
        <v>2</v>
      </c>
      <c r="C12" s="86" t="s">
        <v>1837</v>
      </c>
      <c r="D12" s="86" t="s">
        <v>1838</v>
      </c>
      <c r="E12" s="87"/>
      <c r="F12" s="87"/>
      <c r="G12" s="85" t="s">
        <v>1836</v>
      </c>
      <c r="H12" s="28"/>
      <c r="I12" s="86"/>
    </row>
  </sheetData>
  <mergeCells count="6">
    <mergeCell ref="B9:E9"/>
    <mergeCell ref="F9:I9"/>
    <mergeCell ref="B1:E1"/>
    <mergeCell ref="F1:I1"/>
    <mergeCell ref="B2:E2"/>
    <mergeCell ref="F2:I2"/>
  </mergeCells>
  <phoneticPr fontId="5" type="noConversion"/>
  <pageMargins left="0.7" right="0.7" top="0.75" bottom="0.75" header="0.3" footer="0.3"/>
  <pageSetup paperSize="9" orientation="portrait" horizontalDpi="0" verticalDpi="0"/>
</worksheet>
</file>

<file path=xl/worksheets/sheet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E6B1E45-1225-41F9-9E1F-73A05FCA2295}">
  <sheetPr codeName="工作表69"/>
  <dimension ref="A1:J20"/>
  <sheetViews>
    <sheetView zoomScale="130" zoomScaleNormal="130" workbookViewId="0"/>
  </sheetViews>
  <sheetFormatPr defaultColWidth="6.625" defaultRowHeight="13.5"/>
  <cols>
    <col min="1" max="1" width="3.125" style="4" bestFit="1" customWidth="1"/>
    <col min="2" max="2" width="5.5" style="8" customWidth="1"/>
    <col min="3" max="3" width="35.5" style="4" customWidth="1"/>
    <col min="4" max="4" width="31.125" style="4" customWidth="1"/>
    <col min="5" max="5" width="11.125" style="4" bestFit="1" customWidth="1"/>
    <col min="6" max="6" width="12.625" style="4" customWidth="1"/>
    <col min="7" max="7" width="58" style="4" customWidth="1"/>
    <col min="8" max="8" width="34.125" style="4" customWidth="1"/>
    <col min="9" max="9" width="21.625" style="4" customWidth="1"/>
    <col min="10" max="16384" width="6.625" style="4"/>
  </cols>
  <sheetData>
    <row r="1" spans="1:9" ht="24">
      <c r="A1" s="1" t="e">
        <f ca="1">HYPERLINK("#'介面'!E"&amp;MATCH(VALUE(RIGHT(CELL("filename"),LEN(CELL("filename"))-FIND("]",CELL("filename")))),介面!D:D,"0"),"←")</f>
        <v>#VALUE!</v>
      </c>
      <c r="B1" s="207" t="s">
        <v>202</v>
      </c>
      <c r="C1" s="208"/>
      <c r="D1" s="208"/>
      <c r="E1" s="209"/>
      <c r="F1" s="207" t="s">
        <v>203</v>
      </c>
      <c r="G1" s="208"/>
      <c r="H1" s="208"/>
      <c r="I1" s="208"/>
    </row>
    <row r="2" spans="1:9" ht="24">
      <c r="A2" s="1"/>
      <c r="B2" s="210" t="s">
        <v>275</v>
      </c>
      <c r="C2" s="211"/>
      <c r="D2" s="211"/>
      <c r="E2" s="212"/>
      <c r="F2" s="210"/>
      <c r="G2" s="211"/>
      <c r="H2" s="211"/>
      <c r="I2" s="212"/>
    </row>
    <row r="3" spans="1:9" s="8" customFormat="1" ht="15">
      <c r="A3" s="6"/>
      <c r="B3" s="7" t="s">
        <v>276</v>
      </c>
      <c r="C3" s="56" t="s">
        <v>277</v>
      </c>
      <c r="D3" s="56" t="s">
        <v>278</v>
      </c>
      <c r="E3" s="57" t="s">
        <v>279</v>
      </c>
      <c r="F3" s="57" t="s">
        <v>280</v>
      </c>
      <c r="G3" s="56" t="s">
        <v>281</v>
      </c>
      <c r="H3" s="141" t="s">
        <v>11</v>
      </c>
      <c r="I3" s="56" t="s">
        <v>282</v>
      </c>
    </row>
    <row r="4" spans="1:9" s="24" customFormat="1" ht="15">
      <c r="A4" s="25"/>
      <c r="B4" s="46">
        <v>1</v>
      </c>
      <c r="C4" s="64" t="s">
        <v>1825</v>
      </c>
      <c r="D4" s="64" t="s">
        <v>1826</v>
      </c>
      <c r="E4" s="62" t="s">
        <v>285</v>
      </c>
      <c r="F4" s="62">
        <v>50</v>
      </c>
      <c r="G4" s="66" t="s">
        <v>330</v>
      </c>
      <c r="H4" s="142" t="s">
        <v>302</v>
      </c>
      <c r="I4" s="66" t="s">
        <v>287</v>
      </c>
    </row>
    <row r="5" spans="1:9" s="24" customFormat="1" ht="15">
      <c r="A5" s="25"/>
      <c r="B5" s="46">
        <v>2</v>
      </c>
      <c r="C5" s="50" t="s">
        <v>303</v>
      </c>
      <c r="D5" s="50" t="s">
        <v>304</v>
      </c>
      <c r="E5" s="51" t="s">
        <v>452</v>
      </c>
      <c r="F5" s="51">
        <v>20</v>
      </c>
      <c r="G5" s="66" t="s">
        <v>331</v>
      </c>
      <c r="H5" s="142"/>
      <c r="I5" s="66" t="s">
        <v>287</v>
      </c>
    </row>
    <row r="6" spans="1:9" s="95" customFormat="1" ht="15.75">
      <c r="A6" s="93"/>
      <c r="B6" s="46">
        <v>3</v>
      </c>
      <c r="C6" s="64" t="s">
        <v>637</v>
      </c>
      <c r="D6" s="64" t="s">
        <v>364</v>
      </c>
      <c r="E6" s="51" t="s">
        <v>452</v>
      </c>
      <c r="F6" s="51">
        <v>20</v>
      </c>
      <c r="G6" s="91" t="s">
        <v>331</v>
      </c>
      <c r="H6" s="142"/>
      <c r="I6" s="66" t="s">
        <v>287</v>
      </c>
    </row>
    <row r="7" spans="1:9" s="24" customFormat="1" ht="15.75">
      <c r="A7" s="25"/>
      <c r="B7" s="46">
        <v>4</v>
      </c>
      <c r="C7" s="80" t="s">
        <v>2284</v>
      </c>
      <c r="D7" s="80" t="s">
        <v>1665</v>
      </c>
      <c r="E7" s="81" t="s">
        <v>421</v>
      </c>
      <c r="F7" s="81"/>
      <c r="G7" s="91" t="s">
        <v>2285</v>
      </c>
      <c r="H7" s="142"/>
      <c r="I7" s="66" t="s">
        <v>287</v>
      </c>
    </row>
    <row r="8" spans="1:9" s="24" customFormat="1" ht="15.75">
      <c r="B8" s="46">
        <v>5</v>
      </c>
      <c r="C8" s="80" t="s">
        <v>2286</v>
      </c>
      <c r="D8" s="80" t="s">
        <v>1667</v>
      </c>
      <c r="E8" s="81" t="s">
        <v>421</v>
      </c>
      <c r="F8" s="81"/>
      <c r="G8" s="91" t="s">
        <v>2287</v>
      </c>
      <c r="H8" s="142"/>
      <c r="I8" s="66" t="s">
        <v>287</v>
      </c>
    </row>
    <row r="9" spans="1:9" s="24" customFormat="1" ht="30">
      <c r="B9" s="23">
        <v>6</v>
      </c>
      <c r="C9" s="86" t="s">
        <v>1244</v>
      </c>
      <c r="D9" s="86" t="s">
        <v>1245</v>
      </c>
      <c r="E9" s="27" t="s">
        <v>326</v>
      </c>
      <c r="F9" s="27">
        <v>4</v>
      </c>
      <c r="G9" s="184" t="s">
        <v>1590</v>
      </c>
      <c r="H9" s="185" t="s">
        <v>2288</v>
      </c>
      <c r="I9" s="73" t="s">
        <v>639</v>
      </c>
    </row>
    <row r="10" spans="1:9" s="24" customFormat="1" ht="15.75">
      <c r="A10" s="25"/>
      <c r="B10" s="46">
        <v>7</v>
      </c>
      <c r="C10" s="26" t="s">
        <v>1676</v>
      </c>
      <c r="D10" s="26" t="s">
        <v>1611</v>
      </c>
      <c r="E10" s="27" t="s">
        <v>285</v>
      </c>
      <c r="F10" s="27">
        <v>500</v>
      </c>
      <c r="G10" s="89"/>
      <c r="H10" s="142"/>
      <c r="I10" s="66" t="s">
        <v>639</v>
      </c>
    </row>
    <row r="11" spans="1:9" s="24" customFormat="1" ht="48" customHeight="1">
      <c r="B11" s="46">
        <v>8</v>
      </c>
      <c r="C11" s="80" t="s">
        <v>1615</v>
      </c>
      <c r="D11" s="132" t="s">
        <v>1616</v>
      </c>
      <c r="E11" s="87" t="s">
        <v>979</v>
      </c>
      <c r="F11" s="81"/>
      <c r="G11" s="85" t="s">
        <v>2277</v>
      </c>
      <c r="H11" s="142"/>
      <c r="I11" s="66" t="s">
        <v>639</v>
      </c>
    </row>
    <row r="12" spans="1:9" s="24" customFormat="1" ht="15">
      <c r="B12" s="46">
        <v>9</v>
      </c>
      <c r="C12" s="26" t="s">
        <v>11</v>
      </c>
      <c r="D12" s="26" t="s">
        <v>397</v>
      </c>
      <c r="E12" s="27" t="s">
        <v>285</v>
      </c>
      <c r="F12" s="27">
        <v>500</v>
      </c>
      <c r="G12" s="28"/>
      <c r="H12" s="142"/>
      <c r="I12" s="66" t="s">
        <v>639</v>
      </c>
    </row>
    <row r="13" spans="1:9" s="24" customFormat="1" ht="31.5">
      <c r="A13" s="25"/>
      <c r="B13" s="46">
        <v>10</v>
      </c>
      <c r="C13" s="86" t="s">
        <v>2289</v>
      </c>
      <c r="D13" s="86" t="s">
        <v>1668</v>
      </c>
      <c r="E13" s="87" t="s">
        <v>296</v>
      </c>
      <c r="F13" s="87">
        <v>20</v>
      </c>
      <c r="G13" s="88" t="s">
        <v>2290</v>
      </c>
      <c r="H13" s="142" t="s">
        <v>2278</v>
      </c>
      <c r="I13" s="66" t="s">
        <v>639</v>
      </c>
    </row>
    <row r="14" spans="1:9" ht="15.75">
      <c r="A14" s="1"/>
      <c r="B14" s="2"/>
      <c r="C14" s="3"/>
      <c r="D14" s="3"/>
      <c r="E14" s="3"/>
      <c r="F14" s="3"/>
      <c r="G14" s="3"/>
      <c r="H14" s="3"/>
      <c r="I14" s="3"/>
    </row>
    <row r="15" spans="1:9" ht="24">
      <c r="A15" s="1"/>
      <c r="B15" s="204" t="s">
        <v>291</v>
      </c>
      <c r="C15" s="205"/>
      <c r="D15" s="205"/>
      <c r="E15" s="206"/>
      <c r="F15" s="204"/>
      <c r="G15" s="205"/>
      <c r="H15" s="205"/>
      <c r="I15" s="206"/>
    </row>
    <row r="16" spans="1:9" s="8" customFormat="1" ht="15">
      <c r="A16" s="6"/>
      <c r="B16" s="7" t="s">
        <v>276</v>
      </c>
      <c r="C16" s="56" t="s">
        <v>277</v>
      </c>
      <c r="D16" s="56" t="s">
        <v>278</v>
      </c>
      <c r="E16" s="57" t="s">
        <v>279</v>
      </c>
      <c r="F16" s="57" t="s">
        <v>280</v>
      </c>
      <c r="G16" s="56" t="s">
        <v>11</v>
      </c>
      <c r="H16" s="56" t="s">
        <v>292</v>
      </c>
      <c r="I16" s="56" t="s">
        <v>293</v>
      </c>
    </row>
    <row r="17" spans="1:10" s="24" customFormat="1" ht="15.75">
      <c r="A17" s="25"/>
      <c r="B17" s="46">
        <v>1</v>
      </c>
      <c r="C17" s="80" t="s">
        <v>2291</v>
      </c>
      <c r="D17" s="80" t="s">
        <v>1681</v>
      </c>
      <c r="E17" s="51" t="s">
        <v>1576</v>
      </c>
      <c r="F17" s="51" t="s">
        <v>609</v>
      </c>
      <c r="G17" s="85"/>
      <c r="H17" s="82"/>
      <c r="I17" s="130"/>
    </row>
    <row r="18" spans="1:10" s="98" customFormat="1" ht="15">
      <c r="A18" s="96"/>
      <c r="B18" s="46">
        <f>B17+1</f>
        <v>2</v>
      </c>
      <c r="C18" s="50" t="s">
        <v>2292</v>
      </c>
      <c r="D18" s="50" t="s">
        <v>2293</v>
      </c>
      <c r="E18" s="27" t="s">
        <v>285</v>
      </c>
      <c r="F18" s="27">
        <v>6</v>
      </c>
      <c r="G18" s="29" t="s">
        <v>1678</v>
      </c>
      <c r="H18" s="19"/>
      <c r="I18" s="19"/>
      <c r="J18" s="24"/>
    </row>
    <row r="19" spans="1:10" s="24" customFormat="1" ht="15">
      <c r="B19" s="23">
        <f>B18+1</f>
        <v>3</v>
      </c>
      <c r="C19" s="26" t="s">
        <v>2294</v>
      </c>
      <c r="D19" s="26" t="s">
        <v>2295</v>
      </c>
      <c r="E19" s="72" t="s">
        <v>418</v>
      </c>
      <c r="F19" s="72">
        <v>11</v>
      </c>
      <c r="G19" s="28" t="s">
        <v>2221</v>
      </c>
      <c r="H19" s="28"/>
      <c r="I19" s="28"/>
    </row>
    <row r="20" spans="1:10" ht="15">
      <c r="B20" s="45"/>
    </row>
  </sheetData>
  <mergeCells count="6">
    <mergeCell ref="B15:E15"/>
    <mergeCell ref="F15:I15"/>
    <mergeCell ref="B1:E1"/>
    <mergeCell ref="F1:I1"/>
    <mergeCell ref="B2:E2"/>
    <mergeCell ref="F2:I2"/>
  </mergeCells>
  <phoneticPr fontId="5" type="noConversion"/>
  <pageMargins left="0.7" right="0.7" top="0.75" bottom="0.75" header="0.3" footer="0.3"/>
  <pageSetup paperSize="9" orientation="portrait" horizontalDpi="0" verticalDpi="0"/>
</worksheet>
</file>

<file path=xl/worksheets/sheet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40EB3B6-8F2B-42F6-AC60-957AC38A3EF6}">
  <sheetPr codeName="工作表70"/>
  <dimension ref="A1:I21"/>
  <sheetViews>
    <sheetView workbookViewId="0"/>
  </sheetViews>
  <sheetFormatPr defaultColWidth="6.625" defaultRowHeight="13.5"/>
  <cols>
    <col min="1" max="1" width="3.125" style="4" bestFit="1" customWidth="1"/>
    <col min="2" max="2" width="5.5" style="8" customWidth="1"/>
    <col min="3" max="3" width="35.5" style="4" customWidth="1"/>
    <col min="4" max="4" width="31.125" style="4" customWidth="1"/>
    <col min="5" max="5" width="11.125" style="4" bestFit="1" customWidth="1"/>
    <col min="6" max="6" width="12.625" style="4" customWidth="1"/>
    <col min="7" max="7" width="58" style="4" customWidth="1"/>
    <col min="8" max="8" width="34.125" style="4" customWidth="1"/>
    <col min="9" max="9" width="21.625" style="4" customWidth="1"/>
    <col min="10" max="16384" width="6.625" style="4"/>
  </cols>
  <sheetData>
    <row r="1" spans="1:9" ht="24">
      <c r="A1" s="1" t="e">
        <f ca="1">HYPERLINK("#'介面'!E"&amp;MATCH(VALUE(RIGHT(CELL("filename"),LEN(CELL("filename"))-FIND("]",CELL("filename")))),介面!D:D,"0"),"←")</f>
        <v>#VALUE!</v>
      </c>
      <c r="B1" s="207" t="s">
        <v>204</v>
      </c>
      <c r="C1" s="208"/>
      <c r="D1" s="208"/>
      <c r="E1" s="209"/>
      <c r="F1" s="207" t="s">
        <v>205</v>
      </c>
      <c r="G1" s="208"/>
      <c r="H1" s="208"/>
      <c r="I1" s="208"/>
    </row>
    <row r="2" spans="1:9" ht="24">
      <c r="A2" s="1"/>
      <c r="B2" s="210" t="s">
        <v>275</v>
      </c>
      <c r="C2" s="211"/>
      <c r="D2" s="211"/>
      <c r="E2" s="212"/>
      <c r="F2" s="210"/>
      <c r="G2" s="211"/>
      <c r="H2" s="211"/>
      <c r="I2" s="212"/>
    </row>
    <row r="3" spans="1:9" s="8" customFormat="1" ht="15">
      <c r="A3" s="6"/>
      <c r="B3" s="7" t="s">
        <v>276</v>
      </c>
      <c r="C3" s="56" t="s">
        <v>277</v>
      </c>
      <c r="D3" s="56" t="s">
        <v>278</v>
      </c>
      <c r="E3" s="57" t="s">
        <v>279</v>
      </c>
      <c r="F3" s="57" t="s">
        <v>280</v>
      </c>
      <c r="G3" s="56" t="s">
        <v>281</v>
      </c>
      <c r="H3" s="141" t="s">
        <v>11</v>
      </c>
      <c r="I3" s="56" t="s">
        <v>282</v>
      </c>
    </row>
    <row r="4" spans="1:9" s="24" customFormat="1" ht="15">
      <c r="A4" s="25"/>
      <c r="B4" s="46">
        <v>1</v>
      </c>
      <c r="C4" s="64" t="s">
        <v>1825</v>
      </c>
      <c r="D4" s="64" t="s">
        <v>1826</v>
      </c>
      <c r="E4" s="62" t="s">
        <v>285</v>
      </c>
      <c r="F4" s="62">
        <v>50</v>
      </c>
      <c r="G4" s="66" t="s">
        <v>330</v>
      </c>
      <c r="H4" s="142" t="s">
        <v>302</v>
      </c>
      <c r="I4" s="66" t="s">
        <v>287</v>
      </c>
    </row>
    <row r="5" spans="1:9" s="24" customFormat="1" ht="15">
      <c r="A5" s="25"/>
      <c r="B5" s="46">
        <v>2</v>
      </c>
      <c r="C5" s="50" t="s">
        <v>303</v>
      </c>
      <c r="D5" s="50" t="s">
        <v>304</v>
      </c>
      <c r="E5" s="51" t="s">
        <v>452</v>
      </c>
      <c r="F5" s="51">
        <v>20</v>
      </c>
      <c r="G5" s="66" t="s">
        <v>331</v>
      </c>
      <c r="H5" s="142"/>
      <c r="I5" s="66" t="s">
        <v>287</v>
      </c>
    </row>
    <row r="6" spans="1:9" s="95" customFormat="1" ht="15.75">
      <c r="A6" s="93"/>
      <c r="B6" s="46">
        <v>3</v>
      </c>
      <c r="C6" s="64" t="s">
        <v>637</v>
      </c>
      <c r="D6" s="64" t="s">
        <v>364</v>
      </c>
      <c r="E6" s="51" t="s">
        <v>452</v>
      </c>
      <c r="F6" s="51">
        <v>20</v>
      </c>
      <c r="G6" s="91" t="s">
        <v>331</v>
      </c>
      <c r="H6" s="142"/>
      <c r="I6" s="66" t="s">
        <v>287</v>
      </c>
    </row>
    <row r="7" spans="1:9" s="24" customFormat="1" ht="15.75">
      <c r="A7" s="25"/>
      <c r="B7" s="46">
        <v>4</v>
      </c>
      <c r="C7" s="80" t="s">
        <v>2284</v>
      </c>
      <c r="D7" s="80" t="s">
        <v>1665</v>
      </c>
      <c r="E7" s="81" t="s">
        <v>421</v>
      </c>
      <c r="F7" s="81"/>
      <c r="G7" s="91" t="s">
        <v>2285</v>
      </c>
      <c r="H7" s="142"/>
      <c r="I7" s="66" t="s">
        <v>287</v>
      </c>
    </row>
    <row r="8" spans="1:9" s="24" customFormat="1" ht="15.75">
      <c r="B8" s="46">
        <v>5</v>
      </c>
      <c r="C8" s="80" t="s">
        <v>2286</v>
      </c>
      <c r="D8" s="80" t="s">
        <v>1667</v>
      </c>
      <c r="E8" s="81" t="s">
        <v>421</v>
      </c>
      <c r="F8" s="81"/>
      <c r="G8" s="91" t="s">
        <v>2287</v>
      </c>
      <c r="H8" s="142"/>
      <c r="I8" s="66" t="s">
        <v>287</v>
      </c>
    </row>
    <row r="9" spans="1:9" s="24" customFormat="1" ht="30">
      <c r="B9" s="23">
        <v>6</v>
      </c>
      <c r="C9" s="86" t="s">
        <v>1244</v>
      </c>
      <c r="D9" s="86" t="s">
        <v>1245</v>
      </c>
      <c r="E9" s="27" t="s">
        <v>326</v>
      </c>
      <c r="F9" s="27">
        <v>4</v>
      </c>
      <c r="G9" s="184" t="s">
        <v>1590</v>
      </c>
      <c r="H9" s="185" t="s">
        <v>2288</v>
      </c>
      <c r="I9" s="73" t="s">
        <v>639</v>
      </c>
    </row>
    <row r="10" spans="1:9" s="24" customFormat="1" ht="15.75">
      <c r="A10" s="25"/>
      <c r="B10" s="46">
        <v>7</v>
      </c>
      <c r="C10" s="26" t="s">
        <v>1676</v>
      </c>
      <c r="D10" s="26" t="s">
        <v>1611</v>
      </c>
      <c r="E10" s="27" t="s">
        <v>285</v>
      </c>
      <c r="F10" s="27">
        <v>500</v>
      </c>
      <c r="G10" s="89"/>
      <c r="H10" s="142"/>
      <c r="I10" s="66" t="s">
        <v>639</v>
      </c>
    </row>
    <row r="11" spans="1:9" s="24" customFormat="1" ht="48" customHeight="1">
      <c r="B11" s="46">
        <v>8</v>
      </c>
      <c r="C11" s="80" t="s">
        <v>1615</v>
      </c>
      <c r="D11" s="132" t="s">
        <v>1616</v>
      </c>
      <c r="E11" s="87" t="s">
        <v>979</v>
      </c>
      <c r="F11" s="81"/>
      <c r="G11" s="85" t="s">
        <v>2277</v>
      </c>
      <c r="H11" s="142"/>
      <c r="I11" s="66" t="s">
        <v>639</v>
      </c>
    </row>
    <row r="12" spans="1:9" s="24" customFormat="1" ht="15">
      <c r="B12" s="46">
        <v>9</v>
      </c>
      <c r="C12" s="26" t="s">
        <v>11</v>
      </c>
      <c r="D12" s="26" t="s">
        <v>397</v>
      </c>
      <c r="E12" s="27" t="s">
        <v>285</v>
      </c>
      <c r="F12" s="27">
        <v>500</v>
      </c>
      <c r="G12" s="28"/>
      <c r="H12" s="142"/>
      <c r="I12" s="66" t="s">
        <v>639</v>
      </c>
    </row>
    <row r="13" spans="1:9" s="24" customFormat="1" ht="31.5">
      <c r="A13" s="25"/>
      <c r="B13" s="46">
        <v>10</v>
      </c>
      <c r="C13" s="86" t="s">
        <v>2289</v>
      </c>
      <c r="D13" s="86" t="s">
        <v>1668</v>
      </c>
      <c r="E13" s="87" t="s">
        <v>296</v>
      </c>
      <c r="F13" s="87">
        <v>20</v>
      </c>
      <c r="G13" s="88" t="s">
        <v>2296</v>
      </c>
      <c r="H13" s="142" t="s">
        <v>2278</v>
      </c>
      <c r="I13" s="66" t="s">
        <v>639</v>
      </c>
    </row>
    <row r="14" spans="1:9" s="24" customFormat="1" ht="15.75">
      <c r="A14" s="25"/>
      <c r="B14" s="46">
        <v>11</v>
      </c>
      <c r="C14" s="50" t="s">
        <v>1621</v>
      </c>
      <c r="D14" s="50" t="s">
        <v>1622</v>
      </c>
      <c r="E14" s="51" t="s">
        <v>285</v>
      </c>
      <c r="F14" s="51">
        <v>50</v>
      </c>
      <c r="G14" s="89" t="s">
        <v>2282</v>
      </c>
      <c r="H14" s="142"/>
      <c r="I14" s="66" t="s">
        <v>287</v>
      </c>
    </row>
    <row r="15" spans="1:9" s="24" customFormat="1" ht="15.75">
      <c r="A15" s="25"/>
      <c r="B15" s="46">
        <v>12</v>
      </c>
      <c r="C15" s="26" t="s">
        <v>1588</v>
      </c>
      <c r="D15" s="26" t="s">
        <v>1589</v>
      </c>
      <c r="E15" s="27" t="s">
        <v>326</v>
      </c>
      <c r="F15" s="27">
        <v>4</v>
      </c>
      <c r="G15" s="148" t="s">
        <v>1591</v>
      </c>
      <c r="H15" s="142"/>
      <c r="I15" s="66" t="s">
        <v>287</v>
      </c>
    </row>
    <row r="16" spans="1:9" ht="15.75">
      <c r="A16" s="1"/>
      <c r="B16" s="2"/>
      <c r="C16" s="3"/>
      <c r="D16" s="3"/>
      <c r="E16" s="3"/>
      <c r="F16" s="3"/>
      <c r="G16" s="3"/>
      <c r="H16" s="3"/>
      <c r="I16" s="3"/>
    </row>
    <row r="17" spans="1:9" ht="24">
      <c r="A17" s="1"/>
      <c r="B17" s="204" t="s">
        <v>291</v>
      </c>
      <c r="C17" s="205"/>
      <c r="D17" s="205"/>
      <c r="E17" s="206"/>
      <c r="F17" s="204"/>
      <c r="G17" s="205"/>
      <c r="H17" s="205"/>
      <c r="I17" s="206"/>
    </row>
    <row r="18" spans="1:9" s="8" customFormat="1" ht="15">
      <c r="A18" s="6"/>
      <c r="B18" s="7" t="s">
        <v>276</v>
      </c>
      <c r="C18" s="56" t="s">
        <v>277</v>
      </c>
      <c r="D18" s="56" t="s">
        <v>278</v>
      </c>
      <c r="E18" s="57" t="s">
        <v>279</v>
      </c>
      <c r="F18" s="57" t="s">
        <v>280</v>
      </c>
      <c r="G18" s="56" t="s">
        <v>11</v>
      </c>
      <c r="H18" s="56" t="s">
        <v>292</v>
      </c>
      <c r="I18" s="56" t="s">
        <v>293</v>
      </c>
    </row>
    <row r="19" spans="1:9" s="24" customFormat="1" ht="15.75">
      <c r="A19" s="25"/>
      <c r="B19" s="46">
        <v>1</v>
      </c>
      <c r="C19" s="86" t="s">
        <v>2297</v>
      </c>
      <c r="D19" s="86" t="s">
        <v>1668</v>
      </c>
      <c r="E19" s="87" t="s">
        <v>296</v>
      </c>
      <c r="F19" s="87">
        <v>20</v>
      </c>
      <c r="G19" s="85"/>
      <c r="H19" s="89" t="s">
        <v>119</v>
      </c>
      <c r="I19" s="86" t="s">
        <v>1668</v>
      </c>
    </row>
    <row r="20" spans="1:9" ht="15">
      <c r="B20" s="21"/>
    </row>
    <row r="21" spans="1:9" ht="15">
      <c r="B21" s="45"/>
    </row>
  </sheetData>
  <mergeCells count="6">
    <mergeCell ref="B17:E17"/>
    <mergeCell ref="F17:I17"/>
    <mergeCell ref="B1:E1"/>
    <mergeCell ref="F1:I1"/>
    <mergeCell ref="B2:E2"/>
    <mergeCell ref="F2:I2"/>
  </mergeCells>
  <phoneticPr fontId="5" type="noConversion"/>
  <pageMargins left="0.7" right="0.7" top="0.75" bottom="0.75" header="0.3" footer="0.3"/>
  <pageSetup paperSize="9" orientation="portrait" horizontalDpi="0" verticalDpi="0"/>
</worksheet>
</file>

<file path=xl/worksheets/sheet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50C77BC-9D0C-4F15-B3EB-8209934BB9AF}">
  <sheetPr codeName="工作表103"/>
  <dimension ref="A1:I25"/>
  <sheetViews>
    <sheetView workbookViewId="0"/>
  </sheetViews>
  <sheetFormatPr defaultColWidth="6.625" defaultRowHeight="13.5"/>
  <cols>
    <col min="1" max="1" width="3.125" style="4" bestFit="1" customWidth="1"/>
    <col min="2" max="2" width="5.5" style="8" customWidth="1"/>
    <col min="3" max="3" width="23.625" style="4" bestFit="1" customWidth="1"/>
    <col min="4" max="4" width="25" style="4" bestFit="1" customWidth="1"/>
    <col min="5" max="5" width="16.625" style="4" customWidth="1"/>
    <col min="6" max="6" width="5.5" style="4" bestFit="1" customWidth="1"/>
    <col min="7" max="7" width="38" style="4" customWidth="1"/>
    <col min="8" max="8" width="33" style="4" customWidth="1"/>
    <col min="9" max="9" width="13.5" style="4" customWidth="1"/>
    <col min="10" max="16384" width="6.625" style="4"/>
  </cols>
  <sheetData>
    <row r="1" spans="1:9" ht="24">
      <c r="A1" s="1" t="e">
        <f ca="1">HYPERLINK("#'介面'!E"&amp;MATCH(VALUE(RIGHT(CELL("filename"),LEN(CELL("filename"))-FIND("]",CELL("filename")))),介面!D:D,"0"),"←")</f>
        <v>#VALUE!</v>
      </c>
      <c r="B1" s="207" t="s">
        <v>206</v>
      </c>
      <c r="C1" s="208"/>
      <c r="D1" s="208"/>
      <c r="E1" s="209"/>
      <c r="F1" s="221" t="s">
        <v>207</v>
      </c>
      <c r="G1" s="222"/>
      <c r="H1" s="222"/>
      <c r="I1" s="223"/>
    </row>
    <row r="2" spans="1:9" ht="24">
      <c r="A2" s="1"/>
      <c r="B2" s="210" t="s">
        <v>275</v>
      </c>
      <c r="C2" s="211"/>
      <c r="D2" s="211"/>
      <c r="E2" s="212"/>
      <c r="F2" s="219"/>
      <c r="G2" s="220"/>
      <c r="H2" s="220"/>
      <c r="I2" s="215"/>
    </row>
    <row r="3" spans="1:9" s="8" customFormat="1" ht="15">
      <c r="A3" s="6"/>
      <c r="B3" s="7" t="s">
        <v>276</v>
      </c>
      <c r="C3" s="56" t="s">
        <v>277</v>
      </c>
      <c r="D3" s="56" t="s">
        <v>278</v>
      </c>
      <c r="E3" s="57" t="s">
        <v>279</v>
      </c>
      <c r="F3" s="57" t="s">
        <v>280</v>
      </c>
      <c r="G3" s="56" t="s">
        <v>281</v>
      </c>
      <c r="H3" s="56" t="s">
        <v>11</v>
      </c>
      <c r="I3" s="56" t="s">
        <v>282</v>
      </c>
    </row>
    <row r="4" spans="1:9" s="24" customFormat="1" ht="15.75">
      <c r="A4" s="25"/>
      <c r="B4" s="46">
        <v>1</v>
      </c>
      <c r="C4" s="80" t="s">
        <v>297</v>
      </c>
      <c r="D4" s="80" t="s">
        <v>298</v>
      </c>
      <c r="E4" s="81" t="s">
        <v>285</v>
      </c>
      <c r="F4" s="81">
        <v>500</v>
      </c>
      <c r="G4" s="66" t="s">
        <v>330</v>
      </c>
      <c r="H4" s="142" t="s">
        <v>302</v>
      </c>
      <c r="I4" s="66" t="s">
        <v>287</v>
      </c>
    </row>
    <row r="5" spans="1:9" s="24" customFormat="1" ht="15">
      <c r="A5" s="25"/>
      <c r="B5" s="46">
        <v>2</v>
      </c>
      <c r="C5" s="50" t="s">
        <v>303</v>
      </c>
      <c r="D5" s="76" t="s">
        <v>304</v>
      </c>
      <c r="E5" s="51" t="s">
        <v>296</v>
      </c>
      <c r="F5" s="51">
        <v>20</v>
      </c>
      <c r="G5" s="66" t="s">
        <v>331</v>
      </c>
      <c r="H5" s="66"/>
      <c r="I5" s="66" t="s">
        <v>287</v>
      </c>
    </row>
    <row r="6" spans="1:9" s="24" customFormat="1" ht="15">
      <c r="A6" s="25"/>
      <c r="B6" s="46">
        <v>3</v>
      </c>
      <c r="C6" s="50" t="s">
        <v>637</v>
      </c>
      <c r="D6" s="50" t="s">
        <v>364</v>
      </c>
      <c r="E6" s="51" t="s">
        <v>296</v>
      </c>
      <c r="F6" s="51">
        <v>20</v>
      </c>
      <c r="G6" s="66" t="s">
        <v>331</v>
      </c>
      <c r="H6" s="66"/>
      <c r="I6" s="143" t="s">
        <v>287</v>
      </c>
    </row>
    <row r="7" spans="1:9" ht="15.75">
      <c r="A7" s="1"/>
      <c r="B7" s="2"/>
      <c r="C7" s="3"/>
      <c r="D7" s="3"/>
      <c r="E7" s="3"/>
      <c r="F7" s="3"/>
      <c r="G7" s="3"/>
    </row>
    <row r="8" spans="1:9" ht="15.75">
      <c r="A8" s="1"/>
      <c r="B8" s="2"/>
      <c r="C8" s="3"/>
      <c r="D8" s="3"/>
      <c r="E8" s="3"/>
      <c r="F8" s="3"/>
      <c r="G8" s="3"/>
      <c r="H8" s="151"/>
      <c r="I8" s="21"/>
    </row>
    <row r="9" spans="1:9" ht="24">
      <c r="A9" s="1"/>
      <c r="B9" s="204" t="s">
        <v>291</v>
      </c>
      <c r="C9" s="205"/>
      <c r="D9" s="205"/>
      <c r="E9" s="206"/>
      <c r="F9" s="204"/>
      <c r="G9" s="205"/>
      <c r="H9" s="205"/>
      <c r="I9" s="206"/>
    </row>
    <row r="10" spans="1:9" s="8" customFormat="1" ht="15">
      <c r="A10" s="6"/>
      <c r="B10" s="7" t="s">
        <v>276</v>
      </c>
      <c r="C10" s="56" t="s">
        <v>277</v>
      </c>
      <c r="D10" s="56" t="s">
        <v>278</v>
      </c>
      <c r="E10" s="57" t="s">
        <v>279</v>
      </c>
      <c r="F10" s="57" t="s">
        <v>280</v>
      </c>
      <c r="G10" s="56" t="s">
        <v>11</v>
      </c>
      <c r="H10" s="56" t="s">
        <v>292</v>
      </c>
      <c r="I10" s="56" t="s">
        <v>293</v>
      </c>
    </row>
    <row r="11" spans="1:9" s="24" customFormat="1" ht="15.75">
      <c r="A11" s="25"/>
      <c r="B11" s="23">
        <v>1</v>
      </c>
      <c r="C11" s="86" t="s">
        <v>1592</v>
      </c>
      <c r="D11" s="86" t="s">
        <v>1668</v>
      </c>
      <c r="E11" s="87" t="s">
        <v>296</v>
      </c>
      <c r="F11" s="87">
        <v>20</v>
      </c>
      <c r="G11" s="89"/>
      <c r="H11" s="89"/>
      <c r="I11" s="66"/>
    </row>
    <row r="12" spans="1:9" s="24" customFormat="1" ht="15.75">
      <c r="A12" s="25"/>
      <c r="B12" s="23">
        <f>B11+1</f>
        <v>2</v>
      </c>
      <c r="C12" s="26" t="s">
        <v>453</v>
      </c>
      <c r="D12" s="26" t="s">
        <v>304</v>
      </c>
      <c r="E12" s="27" t="s">
        <v>452</v>
      </c>
      <c r="F12" s="27">
        <v>20</v>
      </c>
      <c r="G12" s="29"/>
      <c r="H12" s="28" t="s">
        <v>41</v>
      </c>
      <c r="I12" s="86" t="s">
        <v>304</v>
      </c>
    </row>
    <row r="13" spans="1:9" s="24" customFormat="1" ht="15.75">
      <c r="A13" s="25"/>
      <c r="B13" s="23">
        <f t="shared" ref="B13:B18" si="0">B12+1</f>
        <v>3</v>
      </c>
      <c r="C13" s="86" t="s">
        <v>637</v>
      </c>
      <c r="D13" s="86" t="s">
        <v>364</v>
      </c>
      <c r="E13" s="87" t="s">
        <v>296</v>
      </c>
      <c r="F13" s="87">
        <v>20</v>
      </c>
      <c r="G13" s="88"/>
      <c r="H13" s="28" t="s">
        <v>84</v>
      </c>
      <c r="I13" s="26" t="s">
        <v>364</v>
      </c>
    </row>
    <row r="14" spans="1:9" s="24" customFormat="1" ht="15">
      <c r="A14" s="25"/>
      <c r="B14" s="23">
        <f t="shared" si="0"/>
        <v>4</v>
      </c>
      <c r="C14" s="26" t="s">
        <v>1669</v>
      </c>
      <c r="D14" s="26" t="s">
        <v>1670</v>
      </c>
      <c r="E14" s="27" t="s">
        <v>969</v>
      </c>
      <c r="F14" s="27"/>
      <c r="G14" s="28" t="s">
        <v>1227</v>
      </c>
      <c r="H14" s="28"/>
      <c r="I14" s="66"/>
    </row>
    <row r="15" spans="1:9" s="24" customFormat="1" ht="15">
      <c r="A15" s="25"/>
      <c r="B15" s="23">
        <f t="shared" si="0"/>
        <v>5</v>
      </c>
      <c r="C15" s="26" t="s">
        <v>1671</v>
      </c>
      <c r="D15" s="26" t="s">
        <v>1672</v>
      </c>
      <c r="E15" s="27" t="s">
        <v>969</v>
      </c>
      <c r="F15" s="27"/>
      <c r="G15" s="28" t="s">
        <v>1227</v>
      </c>
      <c r="H15" s="28"/>
      <c r="I15" s="50"/>
    </row>
    <row r="16" spans="1:9" ht="15">
      <c r="B16" s="23">
        <f t="shared" si="0"/>
        <v>6</v>
      </c>
      <c r="C16" s="26" t="s">
        <v>1677</v>
      </c>
      <c r="D16" s="26" t="s">
        <v>1571</v>
      </c>
      <c r="E16" s="27" t="s">
        <v>285</v>
      </c>
      <c r="F16" s="27">
        <v>6</v>
      </c>
      <c r="G16" s="29" t="s">
        <v>1678</v>
      </c>
      <c r="H16" s="28" t="s">
        <v>1679</v>
      </c>
      <c r="I16" s="64"/>
    </row>
    <row r="17" spans="2:9" ht="30">
      <c r="B17" s="23">
        <f t="shared" si="0"/>
        <v>7</v>
      </c>
      <c r="C17" s="26" t="s">
        <v>1680</v>
      </c>
      <c r="D17" s="26" t="s">
        <v>1681</v>
      </c>
      <c r="E17" s="27" t="s">
        <v>704</v>
      </c>
      <c r="F17" s="27" t="s">
        <v>609</v>
      </c>
      <c r="G17" s="29" t="s">
        <v>1682</v>
      </c>
      <c r="H17" s="28"/>
      <c r="I17" s="26"/>
    </row>
    <row r="18" spans="2:9" ht="15">
      <c r="B18" s="23">
        <f t="shared" si="0"/>
        <v>8</v>
      </c>
      <c r="C18" s="26" t="s">
        <v>1603</v>
      </c>
      <c r="D18" s="26" t="s">
        <v>1646</v>
      </c>
      <c r="E18" s="72" t="s">
        <v>418</v>
      </c>
      <c r="F18" s="72">
        <v>11</v>
      </c>
      <c r="G18" s="28" t="s">
        <v>1605</v>
      </c>
      <c r="H18" s="28"/>
      <c r="I18" s="66"/>
    </row>
    <row r="19" spans="2:9" ht="15">
      <c r="B19" s="117"/>
    </row>
    <row r="20" spans="2:9" ht="15">
      <c r="B20" s="45"/>
    </row>
    <row r="21" spans="2:9" ht="15">
      <c r="B21" s="45"/>
    </row>
    <row r="22" spans="2:9" ht="15">
      <c r="B22" s="45"/>
    </row>
    <row r="23" spans="2:9" ht="15">
      <c r="B23" s="45"/>
    </row>
    <row r="24" spans="2:9" ht="15">
      <c r="B24" s="45"/>
    </row>
    <row r="25" spans="2:9" ht="15">
      <c r="B25" s="45"/>
    </row>
  </sheetData>
  <mergeCells count="6">
    <mergeCell ref="B1:E1"/>
    <mergeCell ref="F1:I1"/>
    <mergeCell ref="B2:E2"/>
    <mergeCell ref="F2:I2"/>
    <mergeCell ref="B9:E9"/>
    <mergeCell ref="F9:I9"/>
  </mergeCells>
  <phoneticPr fontId="5" type="noConversion"/>
  <pageMargins left="0.7" right="0.7" top="0.75" bottom="0.75" header="0.3" footer="0.3"/>
  <pageSetup paperSize="9" orientation="portrait" horizontalDpi="0" verticalDpi="0"/>
</worksheet>
</file>

<file path=xl/worksheets/sheet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AC71CC3-F56F-4C87-9405-5FD322EDE789}">
  <sheetPr codeName="工作表71"/>
  <dimension ref="A1:I12"/>
  <sheetViews>
    <sheetView workbookViewId="0"/>
  </sheetViews>
  <sheetFormatPr defaultColWidth="6.625" defaultRowHeight="13.5"/>
  <cols>
    <col min="1" max="1" width="3.125" style="4" bestFit="1" customWidth="1"/>
    <col min="2" max="2" width="5.5" style="8" customWidth="1"/>
    <col min="3" max="3" width="35.5" style="4" customWidth="1"/>
    <col min="4" max="4" width="31.125" style="4" customWidth="1"/>
    <col min="5" max="5" width="11.125" style="4" bestFit="1" customWidth="1"/>
    <col min="6" max="6" width="12.625" style="4" customWidth="1"/>
    <col min="7" max="7" width="58" style="4" customWidth="1"/>
    <col min="8" max="8" width="34.125" style="4" customWidth="1"/>
    <col min="9" max="9" width="21.625" style="4" customWidth="1"/>
    <col min="10" max="16384" width="6.625" style="4"/>
  </cols>
  <sheetData>
    <row r="1" spans="1:9" ht="24">
      <c r="A1" s="1" t="e">
        <f ca="1">HYPERLINK("#'介面'!E"&amp;MATCH(VALUE(RIGHT(CELL("filename"),LEN(CELL("filename"))-FIND("]",CELL("filename")))),介面!D:D,"0"),"←")</f>
        <v>#VALUE!</v>
      </c>
      <c r="B1" s="207" t="s">
        <v>208</v>
      </c>
      <c r="C1" s="208"/>
      <c r="D1" s="208"/>
      <c r="E1" s="209"/>
      <c r="F1" s="207" t="s">
        <v>209</v>
      </c>
      <c r="G1" s="208"/>
      <c r="H1" s="208"/>
      <c r="I1" s="208"/>
    </row>
    <row r="2" spans="1:9" ht="24">
      <c r="A2" s="1"/>
      <c r="B2" s="210" t="s">
        <v>275</v>
      </c>
      <c r="C2" s="211"/>
      <c r="D2" s="211"/>
      <c r="E2" s="212"/>
      <c r="F2" s="210"/>
      <c r="G2" s="211"/>
      <c r="H2" s="211"/>
      <c r="I2" s="212"/>
    </row>
    <row r="3" spans="1:9" s="8" customFormat="1" ht="15">
      <c r="A3" s="6"/>
      <c r="B3" s="7" t="s">
        <v>276</v>
      </c>
      <c r="C3" s="56" t="s">
        <v>277</v>
      </c>
      <c r="D3" s="56" t="s">
        <v>278</v>
      </c>
      <c r="E3" s="57" t="s">
        <v>279</v>
      </c>
      <c r="F3" s="57" t="s">
        <v>280</v>
      </c>
      <c r="G3" s="56" t="s">
        <v>281</v>
      </c>
      <c r="H3" s="141" t="s">
        <v>11</v>
      </c>
      <c r="I3" s="56" t="s">
        <v>282</v>
      </c>
    </row>
    <row r="4" spans="1:9" s="24" customFormat="1" ht="15">
      <c r="A4" s="25"/>
      <c r="B4" s="46">
        <v>1</v>
      </c>
      <c r="C4" s="64" t="s">
        <v>1825</v>
      </c>
      <c r="D4" s="64" t="s">
        <v>1826</v>
      </c>
      <c r="E4" s="62" t="s">
        <v>285</v>
      </c>
      <c r="F4" s="62">
        <v>50</v>
      </c>
      <c r="G4" s="66" t="s">
        <v>330</v>
      </c>
      <c r="H4" s="142" t="s">
        <v>302</v>
      </c>
      <c r="I4" s="66" t="s">
        <v>287</v>
      </c>
    </row>
    <row r="5" spans="1:9" s="24" customFormat="1" ht="15">
      <c r="A5" s="25"/>
      <c r="B5" s="46">
        <v>2</v>
      </c>
      <c r="C5" s="50" t="s">
        <v>303</v>
      </c>
      <c r="D5" s="50" t="s">
        <v>304</v>
      </c>
      <c r="E5" s="51" t="s">
        <v>452</v>
      </c>
      <c r="F5" s="51">
        <v>20</v>
      </c>
      <c r="G5" s="66" t="s">
        <v>331</v>
      </c>
      <c r="H5" s="142"/>
      <c r="I5" s="66" t="s">
        <v>287</v>
      </c>
    </row>
    <row r="6" spans="1:9" s="95" customFormat="1" ht="15.75">
      <c r="A6" s="93"/>
      <c r="B6" s="46">
        <v>3</v>
      </c>
      <c r="C6" s="64" t="s">
        <v>637</v>
      </c>
      <c r="D6" s="64" t="s">
        <v>364</v>
      </c>
      <c r="E6" s="51" t="s">
        <v>452</v>
      </c>
      <c r="F6" s="51">
        <v>20</v>
      </c>
      <c r="G6" s="91" t="s">
        <v>331</v>
      </c>
      <c r="H6" s="142"/>
      <c r="I6" s="66" t="s">
        <v>287</v>
      </c>
    </row>
    <row r="7" spans="1:9" s="24" customFormat="1" ht="15.75">
      <c r="A7" s="25"/>
      <c r="B7" s="46">
        <v>4</v>
      </c>
      <c r="C7" s="86" t="s">
        <v>2289</v>
      </c>
      <c r="D7" s="86" t="s">
        <v>1668</v>
      </c>
      <c r="E7" s="87" t="s">
        <v>296</v>
      </c>
      <c r="F7" s="87">
        <v>20</v>
      </c>
      <c r="G7" s="89" t="s">
        <v>119</v>
      </c>
      <c r="H7" s="142"/>
      <c r="I7" s="66" t="s">
        <v>287</v>
      </c>
    </row>
    <row r="8" spans="1:9" ht="15.75">
      <c r="A8" s="1"/>
      <c r="B8" s="2"/>
      <c r="C8" s="3"/>
      <c r="D8" s="3"/>
      <c r="E8" s="3"/>
      <c r="F8" s="3"/>
      <c r="G8" s="3"/>
      <c r="H8" s="3"/>
      <c r="I8" s="3"/>
    </row>
    <row r="9" spans="1:9" ht="24">
      <c r="A9" s="1"/>
      <c r="B9" s="204" t="s">
        <v>291</v>
      </c>
      <c r="C9" s="205"/>
      <c r="D9" s="205"/>
      <c r="E9" s="206"/>
      <c r="F9" s="204"/>
      <c r="G9" s="205"/>
      <c r="H9" s="205"/>
      <c r="I9" s="206"/>
    </row>
    <row r="10" spans="1:9" s="8" customFormat="1" ht="15">
      <c r="A10" s="6"/>
      <c r="B10" s="7" t="s">
        <v>276</v>
      </c>
      <c r="C10" s="56" t="s">
        <v>277</v>
      </c>
      <c r="D10" s="56" t="s">
        <v>278</v>
      </c>
      <c r="E10" s="57" t="s">
        <v>279</v>
      </c>
      <c r="F10" s="57" t="s">
        <v>280</v>
      </c>
      <c r="G10" s="56" t="s">
        <v>11</v>
      </c>
      <c r="H10" s="56" t="s">
        <v>292</v>
      </c>
      <c r="I10" s="56" t="s">
        <v>293</v>
      </c>
    </row>
    <row r="11" spans="1:9" s="24" customFormat="1" ht="15.75">
      <c r="A11" s="25"/>
      <c r="B11" s="46">
        <v>1</v>
      </c>
      <c r="C11" s="86" t="s">
        <v>1834</v>
      </c>
      <c r="D11" s="86" t="s">
        <v>1835</v>
      </c>
      <c r="E11" s="87"/>
      <c r="F11" s="87"/>
      <c r="G11" s="85" t="s">
        <v>1836</v>
      </c>
      <c r="H11" s="28"/>
      <c r="I11" s="86"/>
    </row>
    <row r="12" spans="1:9" s="24" customFormat="1" ht="15.75">
      <c r="A12" s="25"/>
      <c r="B12" s="46">
        <v>2</v>
      </c>
      <c r="C12" s="86" t="s">
        <v>1837</v>
      </c>
      <c r="D12" s="86" t="s">
        <v>1838</v>
      </c>
      <c r="E12" s="87"/>
      <c r="F12" s="87"/>
      <c r="G12" s="85" t="s">
        <v>1836</v>
      </c>
      <c r="H12" s="28"/>
      <c r="I12" s="86"/>
    </row>
  </sheetData>
  <mergeCells count="6">
    <mergeCell ref="B9:E9"/>
    <mergeCell ref="F9:I9"/>
    <mergeCell ref="B1:E1"/>
    <mergeCell ref="F1:I1"/>
    <mergeCell ref="B2:E2"/>
    <mergeCell ref="F2:I2"/>
  </mergeCells>
  <phoneticPr fontId="5" type="noConversion"/>
  <pageMargins left="0.7" right="0.7" top="0.75" bottom="0.75" header="0.3" footer="0.3"/>
  <pageSetup paperSize="9" orientation="portrait" horizontalDpi="0" verticalDpi="0"/>
</worksheet>
</file>

<file path=xl/worksheets/sheet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DEC8165-AF37-45C3-B129-F51E53050DA6}">
  <sheetPr codeName="工作表72"/>
  <dimension ref="A1:I12"/>
  <sheetViews>
    <sheetView workbookViewId="0"/>
  </sheetViews>
  <sheetFormatPr defaultColWidth="6.625" defaultRowHeight="13.5"/>
  <cols>
    <col min="1" max="1" width="3.125" style="4" bestFit="1" customWidth="1"/>
    <col min="2" max="2" width="5.5" style="8" customWidth="1"/>
    <col min="3" max="3" width="35.5" style="4" customWidth="1"/>
    <col min="4" max="4" width="31.125" style="4" customWidth="1"/>
    <col min="5" max="5" width="11.125" style="4" bestFit="1" customWidth="1"/>
    <col min="6" max="6" width="12.625" style="4" customWidth="1"/>
    <col min="7" max="7" width="58" style="4" customWidth="1"/>
    <col min="8" max="8" width="34.125" style="4" customWidth="1"/>
    <col min="9" max="9" width="21.625" style="4" customWidth="1"/>
    <col min="10" max="16384" width="6.625" style="4"/>
  </cols>
  <sheetData>
    <row r="1" spans="1:9" ht="24">
      <c r="A1" s="1" t="e">
        <f ca="1">HYPERLINK("#'介面'!E"&amp;MATCH(VALUE(RIGHT(CELL("filename"),LEN(CELL("filename"))-FIND("]",CELL("filename")))),介面!D:D,"0"),"←")</f>
        <v>#VALUE!</v>
      </c>
      <c r="B1" s="207" t="s">
        <v>210</v>
      </c>
      <c r="C1" s="208"/>
      <c r="D1" s="208"/>
      <c r="E1" s="209"/>
      <c r="F1" s="207" t="s">
        <v>211</v>
      </c>
      <c r="G1" s="208"/>
      <c r="H1" s="208"/>
      <c r="I1" s="208"/>
    </row>
    <row r="2" spans="1:9" ht="24">
      <c r="A2" s="1"/>
      <c r="B2" s="210" t="s">
        <v>275</v>
      </c>
      <c r="C2" s="211"/>
      <c r="D2" s="211"/>
      <c r="E2" s="212"/>
      <c r="F2" s="210"/>
      <c r="G2" s="211"/>
      <c r="H2" s="211"/>
      <c r="I2" s="212"/>
    </row>
    <row r="3" spans="1:9" s="8" customFormat="1" ht="15">
      <c r="A3" s="6"/>
      <c r="B3" s="7" t="s">
        <v>276</v>
      </c>
      <c r="C3" s="56" t="s">
        <v>277</v>
      </c>
      <c r="D3" s="56" t="s">
        <v>278</v>
      </c>
      <c r="E3" s="57" t="s">
        <v>279</v>
      </c>
      <c r="F3" s="57" t="s">
        <v>280</v>
      </c>
      <c r="G3" s="56" t="s">
        <v>281</v>
      </c>
      <c r="H3" s="141" t="s">
        <v>11</v>
      </c>
      <c r="I3" s="56" t="s">
        <v>282</v>
      </c>
    </row>
    <row r="4" spans="1:9" s="24" customFormat="1" ht="15">
      <c r="A4" s="25"/>
      <c r="B4" s="46">
        <v>1</v>
      </c>
      <c r="C4" s="64" t="s">
        <v>1825</v>
      </c>
      <c r="D4" s="64" t="s">
        <v>1826</v>
      </c>
      <c r="E4" s="62" t="s">
        <v>285</v>
      </c>
      <c r="F4" s="62">
        <v>50</v>
      </c>
      <c r="G4" s="66" t="s">
        <v>330</v>
      </c>
      <c r="H4" s="142" t="s">
        <v>302</v>
      </c>
      <c r="I4" s="66" t="s">
        <v>287</v>
      </c>
    </row>
    <row r="5" spans="1:9" s="24" customFormat="1" ht="15">
      <c r="A5" s="25"/>
      <c r="B5" s="46">
        <v>2</v>
      </c>
      <c r="C5" s="50" t="s">
        <v>303</v>
      </c>
      <c r="D5" s="50" t="s">
        <v>304</v>
      </c>
      <c r="E5" s="51" t="s">
        <v>452</v>
      </c>
      <c r="F5" s="51">
        <v>20</v>
      </c>
      <c r="G5" s="66" t="s">
        <v>331</v>
      </c>
      <c r="H5" s="142"/>
      <c r="I5" s="66" t="s">
        <v>287</v>
      </c>
    </row>
    <row r="6" spans="1:9" s="95" customFormat="1" ht="15.75">
      <c r="A6" s="93"/>
      <c r="B6" s="46">
        <v>3</v>
      </c>
      <c r="C6" s="64" t="s">
        <v>637</v>
      </c>
      <c r="D6" s="64" t="s">
        <v>364</v>
      </c>
      <c r="E6" s="51" t="s">
        <v>452</v>
      </c>
      <c r="F6" s="51">
        <v>20</v>
      </c>
      <c r="G6" s="91" t="s">
        <v>331</v>
      </c>
      <c r="H6" s="142"/>
      <c r="I6" s="66" t="s">
        <v>287</v>
      </c>
    </row>
    <row r="7" spans="1:9" s="24" customFormat="1" ht="15.75">
      <c r="A7" s="25"/>
      <c r="B7" s="46">
        <v>4</v>
      </c>
      <c r="C7" s="86" t="s">
        <v>2289</v>
      </c>
      <c r="D7" s="86" t="s">
        <v>1668</v>
      </c>
      <c r="E7" s="87" t="s">
        <v>296</v>
      </c>
      <c r="F7" s="87">
        <v>20</v>
      </c>
      <c r="G7" s="89" t="s">
        <v>119</v>
      </c>
      <c r="H7" s="142"/>
      <c r="I7" s="66" t="s">
        <v>287</v>
      </c>
    </row>
    <row r="8" spans="1:9" ht="15.75">
      <c r="A8" s="1"/>
      <c r="B8" s="2"/>
      <c r="C8" s="3"/>
      <c r="D8" s="3"/>
      <c r="E8" s="3"/>
      <c r="F8" s="3"/>
      <c r="G8" s="3"/>
      <c r="H8" s="3"/>
      <c r="I8" s="3"/>
    </row>
    <row r="9" spans="1:9" ht="24">
      <c r="A9" s="1"/>
      <c r="B9" s="204" t="s">
        <v>291</v>
      </c>
      <c r="C9" s="205"/>
      <c r="D9" s="205"/>
      <c r="E9" s="206"/>
      <c r="F9" s="204"/>
      <c r="G9" s="205"/>
      <c r="H9" s="205"/>
      <c r="I9" s="206"/>
    </row>
    <row r="10" spans="1:9" s="8" customFormat="1" ht="15">
      <c r="A10" s="6"/>
      <c r="B10" s="7" t="s">
        <v>276</v>
      </c>
      <c r="C10" s="56" t="s">
        <v>277</v>
      </c>
      <c r="D10" s="56" t="s">
        <v>278</v>
      </c>
      <c r="E10" s="57" t="s">
        <v>279</v>
      </c>
      <c r="F10" s="57" t="s">
        <v>280</v>
      </c>
      <c r="G10" s="56" t="s">
        <v>11</v>
      </c>
      <c r="H10" s="56" t="s">
        <v>292</v>
      </c>
      <c r="I10" s="56" t="s">
        <v>293</v>
      </c>
    </row>
    <row r="11" spans="1:9" s="24" customFormat="1" ht="15.75">
      <c r="A11" s="25"/>
      <c r="B11" s="46">
        <v>1</v>
      </c>
      <c r="C11" s="86" t="s">
        <v>1834</v>
      </c>
      <c r="D11" s="86" t="s">
        <v>1835</v>
      </c>
      <c r="E11" s="87"/>
      <c r="F11" s="87"/>
      <c r="G11" s="85" t="s">
        <v>1836</v>
      </c>
      <c r="H11" s="28"/>
      <c r="I11" s="86"/>
    </row>
    <row r="12" spans="1:9" s="24" customFormat="1" ht="15.75">
      <c r="A12" s="25"/>
      <c r="B12" s="46">
        <v>2</v>
      </c>
      <c r="C12" s="86" t="s">
        <v>1837</v>
      </c>
      <c r="D12" s="86" t="s">
        <v>1838</v>
      </c>
      <c r="E12" s="87"/>
      <c r="F12" s="87"/>
      <c r="G12" s="85" t="s">
        <v>1836</v>
      </c>
      <c r="H12" s="28"/>
      <c r="I12" s="86"/>
    </row>
  </sheetData>
  <mergeCells count="6">
    <mergeCell ref="B9:E9"/>
    <mergeCell ref="F9:I9"/>
    <mergeCell ref="B1:E1"/>
    <mergeCell ref="F1:I1"/>
    <mergeCell ref="B2:E2"/>
    <mergeCell ref="F2:I2"/>
  </mergeCells>
  <phoneticPr fontId="5" type="noConversion"/>
  <pageMargins left="0.7" right="0.7" top="0.75" bottom="0.75" header="0.3" footer="0.3"/>
  <pageSetup paperSize="9" orientation="portrait" horizontalDpi="0" verticalDpi="0"/>
</worksheet>
</file>

<file path=xl/worksheets/sheet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E48619D-239F-4F47-AA60-DA6B12F46D27}">
  <sheetPr codeName="工作表114"/>
  <dimension ref="A1:J15"/>
  <sheetViews>
    <sheetView zoomScale="130" zoomScaleNormal="130" workbookViewId="0"/>
  </sheetViews>
  <sheetFormatPr defaultColWidth="6.625" defaultRowHeight="13.5"/>
  <cols>
    <col min="1" max="1" width="3.125" style="4" bestFit="1" customWidth="1"/>
    <col min="2" max="2" width="5.5" style="8" customWidth="1"/>
    <col min="3" max="3" width="35.5" style="4" customWidth="1"/>
    <col min="4" max="4" width="31.125" style="4" customWidth="1"/>
    <col min="5" max="5" width="11.125" style="4" bestFit="1" customWidth="1"/>
    <col min="6" max="6" width="12.625" style="4" customWidth="1"/>
    <col min="7" max="7" width="58" style="4" customWidth="1"/>
    <col min="8" max="8" width="34.125" style="4" customWidth="1"/>
    <col min="9" max="9" width="21.625" style="4" customWidth="1"/>
    <col min="10" max="16384" width="6.625" style="4"/>
  </cols>
  <sheetData>
    <row r="1" spans="1:10" ht="24">
      <c r="A1" s="1" t="e">
        <f ca="1">HYPERLINK("#'介面'!E"&amp;MATCH(VALUE(RIGHT(CELL("filename"),LEN(CELL("filename"))-FIND("]",CELL("filename")))),介面!D:D,"0"),"←")</f>
        <v>#VALUE!</v>
      </c>
      <c r="B1" s="207" t="s">
        <v>212</v>
      </c>
      <c r="C1" s="208"/>
      <c r="D1" s="208"/>
      <c r="E1" s="209"/>
      <c r="F1" s="207" t="s">
        <v>213</v>
      </c>
      <c r="G1" s="208"/>
      <c r="H1" s="208"/>
      <c r="I1" s="208"/>
    </row>
    <row r="2" spans="1:10" ht="24">
      <c r="A2" s="1"/>
      <c r="B2" s="210" t="s">
        <v>275</v>
      </c>
      <c r="C2" s="211"/>
      <c r="D2" s="211"/>
      <c r="E2" s="212"/>
      <c r="F2" s="210"/>
      <c r="G2" s="211"/>
      <c r="H2" s="211"/>
      <c r="I2" s="212"/>
    </row>
    <row r="3" spans="1:10" s="8" customFormat="1" ht="15">
      <c r="A3" s="6"/>
      <c r="B3" s="7" t="s">
        <v>276</v>
      </c>
      <c r="C3" s="56" t="s">
        <v>277</v>
      </c>
      <c r="D3" s="56" t="s">
        <v>278</v>
      </c>
      <c r="E3" s="57" t="s">
        <v>279</v>
      </c>
      <c r="F3" s="57" t="s">
        <v>280</v>
      </c>
      <c r="G3" s="56" t="s">
        <v>281</v>
      </c>
      <c r="H3" s="141" t="s">
        <v>11</v>
      </c>
      <c r="I3" s="56" t="s">
        <v>282</v>
      </c>
    </row>
    <row r="4" spans="1:10" s="24" customFormat="1" ht="15">
      <c r="A4" s="25"/>
      <c r="B4" s="46">
        <v>1</v>
      </c>
      <c r="C4" s="64" t="s">
        <v>1825</v>
      </c>
      <c r="D4" s="64" t="s">
        <v>1826</v>
      </c>
      <c r="E4" s="62" t="s">
        <v>285</v>
      </c>
      <c r="F4" s="62">
        <v>50</v>
      </c>
      <c r="G4" s="66" t="s">
        <v>330</v>
      </c>
      <c r="H4" s="142" t="s">
        <v>302</v>
      </c>
      <c r="I4" s="66" t="s">
        <v>287</v>
      </c>
    </row>
    <row r="5" spans="1:10" s="24" customFormat="1" ht="15">
      <c r="A5" s="25"/>
      <c r="B5" s="46">
        <v>2</v>
      </c>
      <c r="C5" s="50" t="s">
        <v>303</v>
      </c>
      <c r="D5" s="50" t="s">
        <v>304</v>
      </c>
      <c r="E5" s="51" t="s">
        <v>452</v>
      </c>
      <c r="F5" s="51">
        <v>20</v>
      </c>
      <c r="G5" s="66" t="s">
        <v>331</v>
      </c>
      <c r="H5" s="142"/>
      <c r="I5" s="66" t="s">
        <v>287</v>
      </c>
    </row>
    <row r="6" spans="1:10" s="95" customFormat="1" ht="15.75">
      <c r="A6" s="93"/>
      <c r="B6" s="46">
        <v>3</v>
      </c>
      <c r="C6" s="64" t="s">
        <v>637</v>
      </c>
      <c r="D6" s="64" t="s">
        <v>364</v>
      </c>
      <c r="E6" s="51" t="s">
        <v>452</v>
      </c>
      <c r="F6" s="51">
        <v>20</v>
      </c>
      <c r="G6" s="91" t="s">
        <v>331</v>
      </c>
      <c r="H6" s="142"/>
      <c r="I6" s="66" t="s">
        <v>287</v>
      </c>
    </row>
    <row r="7" spans="1:10" s="24" customFormat="1" ht="15.75">
      <c r="A7" s="25"/>
      <c r="B7" s="46">
        <v>4</v>
      </c>
      <c r="C7" s="80" t="s">
        <v>2284</v>
      </c>
      <c r="D7" s="80" t="s">
        <v>1665</v>
      </c>
      <c r="E7" s="81" t="s">
        <v>421</v>
      </c>
      <c r="F7" s="81"/>
      <c r="G7" s="91" t="s">
        <v>2285</v>
      </c>
      <c r="H7" s="142"/>
      <c r="I7" s="66" t="s">
        <v>287</v>
      </c>
    </row>
    <row r="8" spans="1:10" s="24" customFormat="1" ht="15.75">
      <c r="B8" s="46">
        <v>5</v>
      </c>
      <c r="C8" s="80" t="s">
        <v>2286</v>
      </c>
      <c r="D8" s="80" t="s">
        <v>1667</v>
      </c>
      <c r="E8" s="81" t="s">
        <v>421</v>
      </c>
      <c r="F8" s="81"/>
      <c r="G8" s="91" t="s">
        <v>2287</v>
      </c>
      <c r="H8" s="142"/>
      <c r="I8" s="66" t="s">
        <v>287</v>
      </c>
    </row>
    <row r="9" spans="1:10" ht="15.75">
      <c r="A9" s="1"/>
      <c r="B9" s="2"/>
      <c r="C9" s="3"/>
      <c r="D9" s="3"/>
      <c r="E9" s="3"/>
      <c r="F9" s="3"/>
      <c r="G9" s="3"/>
      <c r="H9" s="3"/>
      <c r="I9" s="3"/>
    </row>
    <row r="10" spans="1:10" ht="24">
      <c r="A10" s="1"/>
      <c r="B10" s="204" t="s">
        <v>291</v>
      </c>
      <c r="C10" s="205"/>
      <c r="D10" s="205"/>
      <c r="E10" s="206"/>
      <c r="F10" s="204"/>
      <c r="G10" s="205"/>
      <c r="H10" s="205"/>
      <c r="I10" s="206"/>
    </row>
    <row r="11" spans="1:10" s="8" customFormat="1" ht="15">
      <c r="A11" s="6"/>
      <c r="B11" s="7" t="s">
        <v>276</v>
      </c>
      <c r="C11" s="56" t="s">
        <v>277</v>
      </c>
      <c r="D11" s="56" t="s">
        <v>278</v>
      </c>
      <c r="E11" s="57" t="s">
        <v>279</v>
      </c>
      <c r="F11" s="57" t="s">
        <v>280</v>
      </c>
      <c r="G11" s="56" t="s">
        <v>11</v>
      </c>
      <c r="H11" s="56" t="s">
        <v>292</v>
      </c>
      <c r="I11" s="56" t="s">
        <v>293</v>
      </c>
    </row>
    <row r="12" spans="1:10" s="24" customFormat="1" ht="15.75">
      <c r="A12" s="25"/>
      <c r="B12" s="46">
        <v>1</v>
      </c>
      <c r="C12" s="80" t="s">
        <v>2291</v>
      </c>
      <c r="D12" s="80" t="s">
        <v>1681</v>
      </c>
      <c r="E12" s="51" t="s">
        <v>1576</v>
      </c>
      <c r="F12" s="51" t="s">
        <v>609</v>
      </c>
      <c r="G12" s="85"/>
      <c r="H12" s="82"/>
      <c r="I12" s="130"/>
    </row>
    <row r="13" spans="1:10" s="98" customFormat="1" ht="15">
      <c r="A13" s="96"/>
      <c r="B13" s="46">
        <f>B12+1</f>
        <v>2</v>
      </c>
      <c r="C13" s="50" t="s">
        <v>2292</v>
      </c>
      <c r="D13" s="50" t="s">
        <v>2293</v>
      </c>
      <c r="E13" s="27" t="s">
        <v>285</v>
      </c>
      <c r="F13" s="27">
        <v>6</v>
      </c>
      <c r="G13" s="29" t="s">
        <v>1678</v>
      </c>
      <c r="H13" s="19"/>
      <c r="I13" s="19"/>
      <c r="J13" s="24"/>
    </row>
    <row r="14" spans="1:10" ht="15">
      <c r="B14" s="46">
        <f>B13+1</f>
        <v>3</v>
      </c>
      <c r="C14" s="50" t="s">
        <v>2294</v>
      </c>
      <c r="D14" s="50" t="s">
        <v>2295</v>
      </c>
      <c r="E14" s="62" t="s">
        <v>418</v>
      </c>
      <c r="F14" s="62">
        <v>11</v>
      </c>
      <c r="G14" s="19" t="s">
        <v>2221</v>
      </c>
      <c r="H14" s="19"/>
      <c r="I14" s="19"/>
    </row>
    <row r="15" spans="1:10" ht="15.75">
      <c r="B15" s="46">
        <f>B14+1</f>
        <v>4</v>
      </c>
      <c r="C15" s="50" t="s">
        <v>2298</v>
      </c>
      <c r="D15" s="50" t="s">
        <v>2299</v>
      </c>
      <c r="E15" s="27" t="s">
        <v>326</v>
      </c>
      <c r="F15" s="27">
        <v>4</v>
      </c>
      <c r="G15" s="148" t="s">
        <v>448</v>
      </c>
      <c r="H15" s="19"/>
      <c r="I15" s="19"/>
    </row>
  </sheetData>
  <mergeCells count="6">
    <mergeCell ref="B1:E1"/>
    <mergeCell ref="F1:I1"/>
    <mergeCell ref="B2:E2"/>
    <mergeCell ref="F2:I2"/>
    <mergeCell ref="B10:E10"/>
    <mergeCell ref="F10:I10"/>
  </mergeCells>
  <phoneticPr fontId="5" type="noConversion"/>
  <pageMargins left="0.7" right="0.7" top="0.75" bottom="0.75" header="0.3" footer="0.3"/>
  <pageSetup paperSize="9" orientation="portrait" horizontalDpi="0" verticalDpi="0"/>
</worksheet>
</file>

<file path=xl/worksheets/sheet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BACAA0E-6C41-46BA-8A2D-488036686D91}">
  <sheetPr codeName="工作表73"/>
  <dimension ref="A1:I13"/>
  <sheetViews>
    <sheetView workbookViewId="0"/>
  </sheetViews>
  <sheetFormatPr defaultColWidth="6.625" defaultRowHeight="13.5"/>
  <cols>
    <col min="1" max="1" width="3.125" style="4" bestFit="1" customWidth="1"/>
    <col min="2" max="2" width="5.5" style="8" customWidth="1"/>
    <col min="3" max="3" width="35.5" style="4" customWidth="1"/>
    <col min="4" max="4" width="31.125" style="4" customWidth="1"/>
    <col min="5" max="5" width="11.125" style="4" bestFit="1" customWidth="1"/>
    <col min="6" max="6" width="12.625" style="4" customWidth="1"/>
    <col min="7" max="7" width="58" style="4" customWidth="1"/>
    <col min="8" max="8" width="34.125" style="4" customWidth="1"/>
    <col min="9" max="9" width="21.625" style="4" customWidth="1"/>
    <col min="10" max="16384" width="6.625" style="4"/>
  </cols>
  <sheetData>
    <row r="1" spans="1:9" ht="24">
      <c r="A1" s="1" t="e">
        <f ca="1">HYPERLINK("#'介面'!E"&amp;MATCH(VALUE(RIGHT(CELL("filename"),LEN(CELL("filename"))-FIND("]",CELL("filename")))),介面!D:D,"0"),"←")</f>
        <v>#VALUE!</v>
      </c>
      <c r="B1" s="207" t="s">
        <v>215</v>
      </c>
      <c r="C1" s="208"/>
      <c r="D1" s="208"/>
      <c r="E1" s="209"/>
      <c r="F1" s="207" t="s">
        <v>216</v>
      </c>
      <c r="G1" s="208"/>
      <c r="H1" s="208"/>
      <c r="I1" s="208"/>
    </row>
    <row r="2" spans="1:9" ht="24">
      <c r="A2" s="1"/>
      <c r="B2" s="210" t="s">
        <v>275</v>
      </c>
      <c r="C2" s="211"/>
      <c r="D2" s="211"/>
      <c r="E2" s="212"/>
      <c r="F2" s="210"/>
      <c r="G2" s="211"/>
      <c r="H2" s="211"/>
      <c r="I2" s="212"/>
    </row>
    <row r="3" spans="1:9" s="8" customFormat="1" ht="15">
      <c r="A3" s="6"/>
      <c r="B3" s="7" t="s">
        <v>276</v>
      </c>
      <c r="C3" s="56" t="s">
        <v>277</v>
      </c>
      <c r="D3" s="56" t="s">
        <v>278</v>
      </c>
      <c r="E3" s="57" t="s">
        <v>279</v>
      </c>
      <c r="F3" s="57" t="s">
        <v>280</v>
      </c>
      <c r="G3" s="56" t="s">
        <v>281</v>
      </c>
      <c r="H3" s="141" t="s">
        <v>11</v>
      </c>
      <c r="I3" s="56" t="s">
        <v>282</v>
      </c>
    </row>
    <row r="4" spans="1:9" s="24" customFormat="1" ht="15">
      <c r="A4" s="25"/>
      <c r="B4" s="46">
        <v>1</v>
      </c>
      <c r="C4" s="64" t="s">
        <v>1825</v>
      </c>
      <c r="D4" s="64" t="s">
        <v>1826</v>
      </c>
      <c r="E4" s="62" t="s">
        <v>285</v>
      </c>
      <c r="F4" s="62">
        <v>50</v>
      </c>
      <c r="G4" s="66" t="s">
        <v>330</v>
      </c>
      <c r="H4" s="142" t="s">
        <v>302</v>
      </c>
      <c r="I4" s="66" t="s">
        <v>287</v>
      </c>
    </row>
    <row r="5" spans="1:9" s="24" customFormat="1" ht="15">
      <c r="A5" s="25"/>
      <c r="B5" s="46">
        <v>2</v>
      </c>
      <c r="C5" s="50" t="s">
        <v>303</v>
      </c>
      <c r="D5" s="50" t="s">
        <v>304</v>
      </c>
      <c r="E5" s="51" t="s">
        <v>452</v>
      </c>
      <c r="F5" s="51">
        <v>20</v>
      </c>
      <c r="G5" s="66" t="s">
        <v>331</v>
      </c>
      <c r="H5" s="142"/>
      <c r="I5" s="66" t="s">
        <v>287</v>
      </c>
    </row>
    <row r="6" spans="1:9" s="95" customFormat="1" ht="15.75">
      <c r="A6" s="93"/>
      <c r="B6" s="46">
        <v>3</v>
      </c>
      <c r="C6" s="64" t="s">
        <v>637</v>
      </c>
      <c r="D6" s="64" t="s">
        <v>364</v>
      </c>
      <c r="E6" s="51" t="s">
        <v>452</v>
      </c>
      <c r="F6" s="51">
        <v>20</v>
      </c>
      <c r="G6" s="91" t="s">
        <v>331</v>
      </c>
      <c r="H6" s="142"/>
      <c r="I6" s="66" t="s">
        <v>287</v>
      </c>
    </row>
    <row r="7" spans="1:9" s="24" customFormat="1" ht="75">
      <c r="A7" s="25"/>
      <c r="B7" s="46">
        <v>4</v>
      </c>
      <c r="C7" s="80" t="s">
        <v>2300</v>
      </c>
      <c r="D7" s="80" t="s">
        <v>1742</v>
      </c>
      <c r="E7" s="81" t="s">
        <v>285</v>
      </c>
      <c r="F7" s="81">
        <v>1000</v>
      </c>
      <c r="G7" s="91" t="s">
        <v>2301</v>
      </c>
      <c r="H7" s="142"/>
      <c r="I7" s="66" t="s">
        <v>287</v>
      </c>
    </row>
    <row r="8" spans="1:9" s="24" customFormat="1" ht="15.75">
      <c r="A8" s="25"/>
      <c r="B8" s="46">
        <v>5</v>
      </c>
      <c r="C8" s="80" t="s">
        <v>2302</v>
      </c>
      <c r="D8" s="26" t="s">
        <v>1611</v>
      </c>
      <c r="E8" s="27" t="s">
        <v>285</v>
      </c>
      <c r="F8" s="27">
        <v>500</v>
      </c>
      <c r="G8" s="89"/>
      <c r="H8" s="142"/>
      <c r="I8" s="66" t="s">
        <v>639</v>
      </c>
    </row>
    <row r="9" spans="1:9" ht="15.75">
      <c r="A9" s="1"/>
      <c r="B9" s="2"/>
      <c r="C9" s="3"/>
      <c r="D9" s="3"/>
      <c r="E9" s="3"/>
      <c r="F9" s="3"/>
      <c r="G9" s="3"/>
      <c r="H9" s="3"/>
      <c r="I9" s="3"/>
    </row>
    <row r="10" spans="1:9" ht="24">
      <c r="A10" s="1"/>
      <c r="B10" s="204" t="s">
        <v>291</v>
      </c>
      <c r="C10" s="205"/>
      <c r="D10" s="205"/>
      <c r="E10" s="206"/>
      <c r="F10" s="204"/>
      <c r="G10" s="205"/>
      <c r="H10" s="205"/>
      <c r="I10" s="206"/>
    </row>
    <row r="11" spans="1:9" s="8" customFormat="1" ht="15">
      <c r="A11" s="6"/>
      <c r="B11" s="7" t="s">
        <v>276</v>
      </c>
      <c r="C11" s="56" t="s">
        <v>277</v>
      </c>
      <c r="D11" s="56" t="s">
        <v>278</v>
      </c>
      <c r="E11" s="57" t="s">
        <v>279</v>
      </c>
      <c r="F11" s="57" t="s">
        <v>280</v>
      </c>
      <c r="G11" s="56" t="s">
        <v>11</v>
      </c>
      <c r="H11" s="56" t="s">
        <v>292</v>
      </c>
      <c r="I11" s="56" t="s">
        <v>293</v>
      </c>
    </row>
    <row r="12" spans="1:9" s="24" customFormat="1" ht="15.75">
      <c r="A12" s="25"/>
      <c r="B12" s="46">
        <v>1</v>
      </c>
      <c r="C12" s="86" t="s">
        <v>1834</v>
      </c>
      <c r="D12" s="86" t="s">
        <v>1835</v>
      </c>
      <c r="E12" s="87"/>
      <c r="F12" s="87"/>
      <c r="G12" s="85" t="s">
        <v>1836</v>
      </c>
      <c r="H12" s="28"/>
      <c r="I12" s="86"/>
    </row>
    <row r="13" spans="1:9" s="24" customFormat="1" ht="15.75">
      <c r="A13" s="25"/>
      <c r="B13" s="46">
        <v>2</v>
      </c>
      <c r="C13" s="86" t="s">
        <v>1837</v>
      </c>
      <c r="D13" s="86" t="s">
        <v>1838</v>
      </c>
      <c r="E13" s="87"/>
      <c r="F13" s="87"/>
      <c r="G13" s="85" t="s">
        <v>1836</v>
      </c>
      <c r="H13" s="28"/>
      <c r="I13" s="86"/>
    </row>
  </sheetData>
  <mergeCells count="6">
    <mergeCell ref="B10:E10"/>
    <mergeCell ref="F10:I10"/>
    <mergeCell ref="B1:E1"/>
    <mergeCell ref="F1:I1"/>
    <mergeCell ref="B2:E2"/>
    <mergeCell ref="F2:I2"/>
  </mergeCells>
  <phoneticPr fontId="5" type="noConversion"/>
  <pageMargins left="0.7" right="0.7" top="0.75" bottom="0.75" header="0.3" footer="0.3"/>
  <pageSetup paperSize="9" orientation="portrait" horizontalDpi="0" verticalDpi="0"/>
</worksheet>
</file>

<file path=xl/worksheets/sheet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695E561-90FF-4627-8D88-014B33DD309C}">
  <sheetPr codeName="工作表74"/>
  <dimension ref="A1:I14"/>
  <sheetViews>
    <sheetView workbookViewId="0">
      <selection activeCell="E37" sqref="E37"/>
    </sheetView>
  </sheetViews>
  <sheetFormatPr defaultColWidth="6.625" defaultRowHeight="13.5"/>
  <cols>
    <col min="1" max="1" width="3.125" style="4" bestFit="1" customWidth="1"/>
    <col min="2" max="2" width="5.5" style="8" customWidth="1"/>
    <col min="3" max="3" width="35.5" style="4" customWidth="1"/>
    <col min="4" max="4" width="31.125" style="4" customWidth="1"/>
    <col min="5" max="5" width="11.125" style="4" bestFit="1" customWidth="1"/>
    <col min="6" max="6" width="12.625" style="4" customWidth="1"/>
    <col min="7" max="7" width="58" style="4" customWidth="1"/>
    <col min="8" max="8" width="34.125" style="4" customWidth="1"/>
    <col min="9" max="9" width="21.625" style="4" customWidth="1"/>
    <col min="10" max="16384" width="6.625" style="4"/>
  </cols>
  <sheetData>
    <row r="1" spans="1:9" ht="24">
      <c r="A1" s="1" t="e">
        <f ca="1">HYPERLINK("#'介面'!E"&amp;MATCH(VALUE(RIGHT(CELL("filename"),LEN(CELL("filename"))-FIND("]",CELL("filename")))),介面!D:D,"0"),"←")</f>
        <v>#VALUE!</v>
      </c>
      <c r="B1" s="207" t="s">
        <v>217</v>
      </c>
      <c r="C1" s="208"/>
      <c r="D1" s="208"/>
      <c r="E1" s="209"/>
      <c r="F1" s="207" t="s">
        <v>218</v>
      </c>
      <c r="G1" s="208"/>
      <c r="H1" s="208"/>
      <c r="I1" s="208"/>
    </row>
    <row r="2" spans="1:9" ht="24">
      <c r="A2" s="1"/>
      <c r="B2" s="210" t="s">
        <v>275</v>
      </c>
      <c r="C2" s="211"/>
      <c r="D2" s="211"/>
      <c r="E2" s="212"/>
      <c r="F2" s="210"/>
      <c r="G2" s="211"/>
      <c r="H2" s="211"/>
      <c r="I2" s="212"/>
    </row>
    <row r="3" spans="1:9" s="8" customFormat="1" ht="15">
      <c r="A3" s="6"/>
      <c r="B3" s="7" t="s">
        <v>276</v>
      </c>
      <c r="C3" s="56" t="s">
        <v>277</v>
      </c>
      <c r="D3" s="56" t="s">
        <v>278</v>
      </c>
      <c r="E3" s="57" t="s">
        <v>279</v>
      </c>
      <c r="F3" s="57" t="s">
        <v>280</v>
      </c>
      <c r="G3" s="56" t="s">
        <v>281</v>
      </c>
      <c r="H3" s="141" t="s">
        <v>11</v>
      </c>
      <c r="I3" s="56" t="s">
        <v>282</v>
      </c>
    </row>
    <row r="4" spans="1:9" s="24" customFormat="1" ht="15">
      <c r="A4" s="25"/>
      <c r="B4" s="46">
        <v>1</v>
      </c>
      <c r="C4" s="64" t="s">
        <v>1825</v>
      </c>
      <c r="D4" s="64" t="s">
        <v>1826</v>
      </c>
      <c r="E4" s="62" t="s">
        <v>285</v>
      </c>
      <c r="F4" s="62">
        <v>50</v>
      </c>
      <c r="G4" s="66" t="s">
        <v>330</v>
      </c>
      <c r="H4" s="142" t="s">
        <v>302</v>
      </c>
      <c r="I4" s="66" t="s">
        <v>287</v>
      </c>
    </row>
    <row r="5" spans="1:9" s="24" customFormat="1" ht="15">
      <c r="A5" s="25"/>
      <c r="B5" s="46">
        <v>2</v>
      </c>
      <c r="C5" s="50" t="s">
        <v>303</v>
      </c>
      <c r="D5" s="50" t="s">
        <v>304</v>
      </c>
      <c r="E5" s="51" t="s">
        <v>452</v>
      </c>
      <c r="F5" s="51">
        <v>20</v>
      </c>
      <c r="G5" s="66" t="s">
        <v>331</v>
      </c>
      <c r="H5" s="142"/>
      <c r="I5" s="66" t="s">
        <v>287</v>
      </c>
    </row>
    <row r="6" spans="1:9" s="95" customFormat="1" ht="15.75">
      <c r="A6" s="93"/>
      <c r="B6" s="46">
        <v>3</v>
      </c>
      <c r="C6" s="64" t="s">
        <v>637</v>
      </c>
      <c r="D6" s="64" t="s">
        <v>364</v>
      </c>
      <c r="E6" s="51" t="s">
        <v>452</v>
      </c>
      <c r="F6" s="51">
        <v>20</v>
      </c>
      <c r="G6" s="91" t="s">
        <v>331</v>
      </c>
      <c r="H6" s="142"/>
      <c r="I6" s="66" t="s">
        <v>287</v>
      </c>
    </row>
    <row r="7" spans="1:9" s="24" customFormat="1" ht="75">
      <c r="A7" s="25"/>
      <c r="B7" s="46">
        <v>4</v>
      </c>
      <c r="C7" s="80" t="s">
        <v>2300</v>
      </c>
      <c r="D7" s="80" t="s">
        <v>1742</v>
      </c>
      <c r="E7" s="81" t="s">
        <v>285</v>
      </c>
      <c r="F7" s="81">
        <v>1000</v>
      </c>
      <c r="G7" s="91" t="s">
        <v>2301</v>
      </c>
      <c r="H7" s="28"/>
      <c r="I7" s="66" t="s">
        <v>287</v>
      </c>
    </row>
    <row r="8" spans="1:9" s="24" customFormat="1" ht="15.75">
      <c r="A8" s="25"/>
      <c r="B8" s="46">
        <v>5</v>
      </c>
      <c r="C8" s="80" t="s">
        <v>2302</v>
      </c>
      <c r="D8" s="26" t="s">
        <v>1611</v>
      </c>
      <c r="E8" s="27" t="s">
        <v>285</v>
      </c>
      <c r="F8" s="27">
        <v>500</v>
      </c>
      <c r="G8" s="89"/>
      <c r="H8" s="89"/>
      <c r="I8" s="66" t="s">
        <v>639</v>
      </c>
    </row>
    <row r="9" spans="1:9" s="24" customFormat="1" ht="15.75">
      <c r="A9" s="25"/>
      <c r="B9" s="46">
        <v>6</v>
      </c>
      <c r="C9" s="50" t="s">
        <v>1621</v>
      </c>
      <c r="D9" s="50" t="s">
        <v>1622</v>
      </c>
      <c r="E9" s="51" t="s">
        <v>285</v>
      </c>
      <c r="F9" s="51">
        <v>50</v>
      </c>
      <c r="G9" s="89" t="s">
        <v>2282</v>
      </c>
      <c r="H9" s="89"/>
      <c r="I9" s="66" t="s">
        <v>287</v>
      </c>
    </row>
    <row r="10" spans="1:9" ht="15.75">
      <c r="A10" s="1"/>
      <c r="B10" s="2"/>
      <c r="C10" s="3"/>
      <c r="D10" s="3"/>
      <c r="E10" s="3"/>
      <c r="F10" s="3"/>
      <c r="G10" s="3"/>
      <c r="H10" s="3"/>
      <c r="I10" s="3"/>
    </row>
    <row r="11" spans="1:9" ht="24">
      <c r="A11" s="1"/>
      <c r="B11" s="204" t="s">
        <v>291</v>
      </c>
      <c r="C11" s="205"/>
      <c r="D11" s="205"/>
      <c r="E11" s="206"/>
      <c r="F11" s="204"/>
      <c r="G11" s="205"/>
      <c r="H11" s="205"/>
      <c r="I11" s="206"/>
    </row>
    <row r="12" spans="1:9" s="8" customFormat="1" ht="15">
      <c r="A12" s="6"/>
      <c r="B12" s="7" t="s">
        <v>276</v>
      </c>
      <c r="C12" s="56" t="s">
        <v>277</v>
      </c>
      <c r="D12" s="56" t="s">
        <v>278</v>
      </c>
      <c r="E12" s="57" t="s">
        <v>279</v>
      </c>
      <c r="F12" s="57" t="s">
        <v>280</v>
      </c>
      <c r="G12" s="56" t="s">
        <v>11</v>
      </c>
      <c r="H12" s="56" t="s">
        <v>292</v>
      </c>
      <c r="I12" s="56" t="s">
        <v>293</v>
      </c>
    </row>
    <row r="13" spans="1:9" s="24" customFormat="1" ht="15.75">
      <c r="A13" s="25"/>
      <c r="B13" s="46">
        <v>1</v>
      </c>
      <c r="C13" s="86" t="s">
        <v>1834</v>
      </c>
      <c r="D13" s="86" t="s">
        <v>1835</v>
      </c>
      <c r="E13" s="87"/>
      <c r="F13" s="87"/>
      <c r="G13" s="85" t="s">
        <v>1836</v>
      </c>
      <c r="H13" s="28"/>
      <c r="I13" s="86"/>
    </row>
    <row r="14" spans="1:9" s="24" customFormat="1" ht="15.75">
      <c r="A14" s="25"/>
      <c r="B14" s="46">
        <v>2</v>
      </c>
      <c r="C14" s="86" t="s">
        <v>1837</v>
      </c>
      <c r="D14" s="86" t="s">
        <v>1838</v>
      </c>
      <c r="E14" s="87"/>
      <c r="F14" s="87"/>
      <c r="G14" s="85" t="s">
        <v>1836</v>
      </c>
      <c r="H14" s="28"/>
      <c r="I14" s="86"/>
    </row>
  </sheetData>
  <mergeCells count="6">
    <mergeCell ref="B11:E11"/>
    <mergeCell ref="F11:I11"/>
    <mergeCell ref="B1:E1"/>
    <mergeCell ref="F1:I1"/>
    <mergeCell ref="B2:E2"/>
    <mergeCell ref="F2:I2"/>
  </mergeCells>
  <phoneticPr fontId="5" type="noConversion"/>
  <pageMargins left="0.7" right="0.7" top="0.75" bottom="0.75" header="0.3" footer="0.3"/>
  <pageSetup paperSize="9" orientation="portrait" horizontalDpi="0" verticalDpi="0"/>
</worksheet>
</file>

<file path=xl/worksheets/sheet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22C6206-1C51-4E26-A98F-8B217DAEAD98}">
  <sheetPr codeName="工作表75"/>
  <dimension ref="A1:I12"/>
  <sheetViews>
    <sheetView workbookViewId="0"/>
  </sheetViews>
  <sheetFormatPr defaultColWidth="6.625" defaultRowHeight="13.5"/>
  <cols>
    <col min="1" max="1" width="3.125" style="4" bestFit="1" customWidth="1"/>
    <col min="2" max="2" width="5.5" style="8" customWidth="1"/>
    <col min="3" max="3" width="35.5" style="4" customWidth="1"/>
    <col min="4" max="4" width="31.125" style="4" customWidth="1"/>
    <col min="5" max="5" width="11.125" style="4" bestFit="1" customWidth="1"/>
    <col min="6" max="6" width="12.625" style="4" customWidth="1"/>
    <col min="7" max="7" width="58" style="4" customWidth="1"/>
    <col min="8" max="8" width="34.125" style="4" customWidth="1"/>
    <col min="9" max="9" width="21.625" style="4" customWidth="1"/>
    <col min="10" max="16384" width="6.625" style="4"/>
  </cols>
  <sheetData>
    <row r="1" spans="1:9" ht="24">
      <c r="A1" s="1" t="e">
        <f ca="1">HYPERLINK("#'介面'!E"&amp;MATCH(VALUE(RIGHT(CELL("filename"),LEN(CELL("filename"))-FIND("]",CELL("filename")))),介面!D:D,"0"),"←")</f>
        <v>#VALUE!</v>
      </c>
      <c r="B1" s="207" t="s">
        <v>219</v>
      </c>
      <c r="C1" s="208"/>
      <c r="D1" s="208"/>
      <c r="E1" s="209"/>
      <c r="F1" s="207" t="s">
        <v>220</v>
      </c>
      <c r="G1" s="208"/>
      <c r="H1" s="208"/>
      <c r="I1" s="208"/>
    </row>
    <row r="2" spans="1:9" ht="24">
      <c r="A2" s="1"/>
      <c r="B2" s="210" t="s">
        <v>275</v>
      </c>
      <c r="C2" s="211"/>
      <c r="D2" s="211"/>
      <c r="E2" s="212"/>
      <c r="F2" s="210"/>
      <c r="G2" s="211"/>
      <c r="H2" s="211"/>
      <c r="I2" s="212"/>
    </row>
    <row r="3" spans="1:9" s="8" customFormat="1" ht="15">
      <c r="A3" s="6"/>
      <c r="B3" s="7" t="s">
        <v>276</v>
      </c>
      <c r="C3" s="56" t="s">
        <v>277</v>
      </c>
      <c r="D3" s="56" t="s">
        <v>278</v>
      </c>
      <c r="E3" s="57" t="s">
        <v>279</v>
      </c>
      <c r="F3" s="57" t="s">
        <v>280</v>
      </c>
      <c r="G3" s="56" t="s">
        <v>281</v>
      </c>
      <c r="H3" s="141" t="s">
        <v>11</v>
      </c>
      <c r="I3" s="56" t="s">
        <v>282</v>
      </c>
    </row>
    <row r="4" spans="1:9" s="24" customFormat="1" ht="15">
      <c r="A4" s="25"/>
      <c r="B4" s="46">
        <v>1</v>
      </c>
      <c r="C4" s="64" t="s">
        <v>1825</v>
      </c>
      <c r="D4" s="64" t="s">
        <v>1826</v>
      </c>
      <c r="E4" s="62" t="s">
        <v>285</v>
      </c>
      <c r="F4" s="62">
        <v>50</v>
      </c>
      <c r="G4" s="66" t="s">
        <v>330</v>
      </c>
      <c r="H4" s="142" t="s">
        <v>302</v>
      </c>
      <c r="I4" s="66" t="s">
        <v>287</v>
      </c>
    </row>
    <row r="5" spans="1:9" s="24" customFormat="1" ht="15">
      <c r="A5" s="25"/>
      <c r="B5" s="46">
        <v>2</v>
      </c>
      <c r="C5" s="50" t="s">
        <v>303</v>
      </c>
      <c r="D5" s="50" t="s">
        <v>304</v>
      </c>
      <c r="E5" s="51" t="s">
        <v>452</v>
      </c>
      <c r="F5" s="51">
        <v>20</v>
      </c>
      <c r="G5" s="66" t="s">
        <v>331</v>
      </c>
      <c r="H5" s="142"/>
      <c r="I5" s="66" t="s">
        <v>287</v>
      </c>
    </row>
    <row r="6" spans="1:9" s="95" customFormat="1" ht="15.75">
      <c r="A6" s="93"/>
      <c r="B6" s="46">
        <v>3</v>
      </c>
      <c r="C6" s="64" t="s">
        <v>637</v>
      </c>
      <c r="D6" s="64" t="s">
        <v>364</v>
      </c>
      <c r="E6" s="51" t="s">
        <v>452</v>
      </c>
      <c r="F6" s="51">
        <v>20</v>
      </c>
      <c r="G6" s="91" t="s">
        <v>331</v>
      </c>
      <c r="H6" s="142"/>
      <c r="I6" s="66" t="s">
        <v>287</v>
      </c>
    </row>
    <row r="7" spans="1:9" s="24" customFormat="1" ht="15.75">
      <c r="A7" s="25"/>
      <c r="B7" s="46">
        <v>4</v>
      </c>
      <c r="C7" s="26" t="s">
        <v>1621</v>
      </c>
      <c r="D7" s="26" t="s">
        <v>1622</v>
      </c>
      <c r="E7" s="27" t="s">
        <v>285</v>
      </c>
      <c r="F7" s="27">
        <v>50</v>
      </c>
      <c r="G7" s="89" t="s">
        <v>2303</v>
      </c>
      <c r="H7" s="142"/>
      <c r="I7" s="66" t="s">
        <v>287</v>
      </c>
    </row>
    <row r="8" spans="1:9" ht="15.75">
      <c r="A8" s="1"/>
      <c r="B8" s="2"/>
      <c r="C8" s="3"/>
      <c r="D8" s="3"/>
      <c r="E8" s="3"/>
      <c r="F8" s="3"/>
      <c r="G8" s="3"/>
      <c r="H8" s="3"/>
      <c r="I8" s="3"/>
    </row>
    <row r="9" spans="1:9" ht="24">
      <c r="A9" s="1"/>
      <c r="B9" s="204" t="s">
        <v>291</v>
      </c>
      <c r="C9" s="205"/>
      <c r="D9" s="205"/>
      <c r="E9" s="206"/>
      <c r="F9" s="204"/>
      <c r="G9" s="205"/>
      <c r="H9" s="205"/>
      <c r="I9" s="206"/>
    </row>
    <row r="10" spans="1:9" s="8" customFormat="1" ht="15">
      <c r="A10" s="6"/>
      <c r="B10" s="7" t="s">
        <v>276</v>
      </c>
      <c r="C10" s="56" t="s">
        <v>277</v>
      </c>
      <c r="D10" s="56" t="s">
        <v>278</v>
      </c>
      <c r="E10" s="57" t="s">
        <v>279</v>
      </c>
      <c r="F10" s="57" t="s">
        <v>280</v>
      </c>
      <c r="G10" s="56" t="s">
        <v>11</v>
      </c>
      <c r="H10" s="56" t="s">
        <v>292</v>
      </c>
      <c r="I10" s="56" t="s">
        <v>293</v>
      </c>
    </row>
    <row r="11" spans="1:9" s="24" customFormat="1" ht="15.75">
      <c r="A11" s="25"/>
      <c r="B11" s="46">
        <v>1</v>
      </c>
      <c r="C11" s="86" t="s">
        <v>1834</v>
      </c>
      <c r="D11" s="86" t="s">
        <v>1835</v>
      </c>
      <c r="E11" s="87"/>
      <c r="F11" s="87"/>
      <c r="G11" s="85" t="s">
        <v>1836</v>
      </c>
      <c r="H11" s="28"/>
      <c r="I11" s="86"/>
    </row>
    <row r="12" spans="1:9" s="24" customFormat="1" ht="15.75">
      <c r="A12" s="25"/>
      <c r="B12" s="46">
        <v>2</v>
      </c>
      <c r="C12" s="86" t="s">
        <v>1837</v>
      </c>
      <c r="D12" s="86" t="s">
        <v>1838</v>
      </c>
      <c r="E12" s="87"/>
      <c r="F12" s="87"/>
      <c r="G12" s="85" t="s">
        <v>1836</v>
      </c>
      <c r="H12" s="28"/>
      <c r="I12" s="86"/>
    </row>
  </sheetData>
  <mergeCells count="6">
    <mergeCell ref="B9:E9"/>
    <mergeCell ref="F9:I9"/>
    <mergeCell ref="B1:E1"/>
    <mergeCell ref="F1:I1"/>
    <mergeCell ref="B2:E2"/>
    <mergeCell ref="F2:I2"/>
  </mergeCells>
  <phoneticPr fontId="5" type="noConversion"/>
  <pageMargins left="0.7" right="0.7" top="0.75" bottom="0.75" header="0.3" footer="0.3"/>
  <pageSetup paperSize="9" orientation="portrait" horizontalDpi="0" verticalDpi="0"/>
</worksheet>
</file>

<file path=xl/worksheets/sheet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126A720-4D52-4772-A1D5-FBF06B19A50D}">
  <sheetPr codeName="工作表76"/>
  <dimension ref="A1:I12"/>
  <sheetViews>
    <sheetView workbookViewId="0"/>
  </sheetViews>
  <sheetFormatPr defaultColWidth="6.625" defaultRowHeight="13.5"/>
  <cols>
    <col min="1" max="1" width="3.125" style="4" bestFit="1" customWidth="1"/>
    <col min="2" max="2" width="5.5" style="8" customWidth="1"/>
    <col min="3" max="3" width="35.5" style="4" customWidth="1"/>
    <col min="4" max="4" width="31.125" style="4" customWidth="1"/>
    <col min="5" max="5" width="11.125" style="4" bestFit="1" customWidth="1"/>
    <col min="6" max="6" width="12.625" style="4" customWidth="1"/>
    <col min="7" max="7" width="58" style="4" customWidth="1"/>
    <col min="8" max="8" width="34.125" style="4" customWidth="1"/>
    <col min="9" max="9" width="21.625" style="4" customWidth="1"/>
    <col min="10" max="16384" width="6.625" style="4"/>
  </cols>
  <sheetData>
    <row r="1" spans="1:9" ht="24">
      <c r="A1" s="1" t="e">
        <f ca="1">HYPERLINK("#'介面'!E"&amp;MATCH(VALUE(RIGHT(CELL("filename"),LEN(CELL("filename"))-FIND("]",CELL("filename")))),介面!D:D,"0"),"←")</f>
        <v>#VALUE!</v>
      </c>
      <c r="B1" s="207" t="s">
        <v>221</v>
      </c>
      <c r="C1" s="208"/>
      <c r="D1" s="208"/>
      <c r="E1" s="209"/>
      <c r="F1" s="207" t="s">
        <v>222</v>
      </c>
      <c r="G1" s="208"/>
      <c r="H1" s="208"/>
      <c r="I1" s="208"/>
    </row>
    <row r="2" spans="1:9" ht="24">
      <c r="A2" s="1"/>
      <c r="B2" s="210" t="s">
        <v>275</v>
      </c>
      <c r="C2" s="211"/>
      <c r="D2" s="211"/>
      <c r="E2" s="212"/>
      <c r="F2" s="210"/>
      <c r="G2" s="211"/>
      <c r="H2" s="211"/>
      <c r="I2" s="212"/>
    </row>
    <row r="3" spans="1:9" s="8" customFormat="1" ht="15">
      <c r="A3" s="6"/>
      <c r="B3" s="7" t="s">
        <v>276</v>
      </c>
      <c r="C3" s="56" t="s">
        <v>277</v>
      </c>
      <c r="D3" s="56" t="s">
        <v>278</v>
      </c>
      <c r="E3" s="57" t="s">
        <v>279</v>
      </c>
      <c r="F3" s="57" t="s">
        <v>280</v>
      </c>
      <c r="G3" s="56" t="s">
        <v>281</v>
      </c>
      <c r="H3" s="141" t="s">
        <v>11</v>
      </c>
      <c r="I3" s="56" t="s">
        <v>282</v>
      </c>
    </row>
    <row r="4" spans="1:9" s="24" customFormat="1" ht="15">
      <c r="A4" s="25"/>
      <c r="B4" s="46">
        <v>1</v>
      </c>
      <c r="C4" s="64" t="s">
        <v>1825</v>
      </c>
      <c r="D4" s="64" t="s">
        <v>1826</v>
      </c>
      <c r="E4" s="62" t="s">
        <v>285</v>
      </c>
      <c r="F4" s="62">
        <v>50</v>
      </c>
      <c r="G4" s="66" t="s">
        <v>330</v>
      </c>
      <c r="H4" s="142" t="s">
        <v>302</v>
      </c>
      <c r="I4" s="66" t="s">
        <v>287</v>
      </c>
    </row>
    <row r="5" spans="1:9" s="24" customFormat="1" ht="15">
      <c r="A5" s="25"/>
      <c r="B5" s="46">
        <v>2</v>
      </c>
      <c r="C5" s="50" t="s">
        <v>303</v>
      </c>
      <c r="D5" s="50" t="s">
        <v>304</v>
      </c>
      <c r="E5" s="51" t="s">
        <v>452</v>
      </c>
      <c r="F5" s="51">
        <v>20</v>
      </c>
      <c r="G5" s="66" t="s">
        <v>331</v>
      </c>
      <c r="H5" s="142"/>
      <c r="I5" s="66" t="s">
        <v>287</v>
      </c>
    </row>
    <row r="6" spans="1:9" s="95" customFormat="1" ht="15.75">
      <c r="A6" s="93"/>
      <c r="B6" s="46">
        <v>3</v>
      </c>
      <c r="C6" s="64" t="s">
        <v>637</v>
      </c>
      <c r="D6" s="64" t="s">
        <v>364</v>
      </c>
      <c r="E6" s="51" t="s">
        <v>452</v>
      </c>
      <c r="F6" s="51">
        <v>20</v>
      </c>
      <c r="G6" s="91" t="s">
        <v>331</v>
      </c>
      <c r="H6" s="142"/>
      <c r="I6" s="66" t="s">
        <v>287</v>
      </c>
    </row>
    <row r="7" spans="1:9" s="24" customFormat="1" ht="15.75">
      <c r="A7" s="25"/>
      <c r="B7" s="46">
        <v>4</v>
      </c>
      <c r="C7" s="26" t="s">
        <v>1621</v>
      </c>
      <c r="D7" s="26" t="s">
        <v>1622</v>
      </c>
      <c r="E7" s="27" t="s">
        <v>285</v>
      </c>
      <c r="F7" s="27">
        <v>50</v>
      </c>
      <c r="G7" s="89" t="s">
        <v>2303</v>
      </c>
      <c r="H7" s="142"/>
      <c r="I7" s="66" t="s">
        <v>287</v>
      </c>
    </row>
    <row r="8" spans="1:9" ht="15.75">
      <c r="A8" s="1"/>
      <c r="B8" s="2"/>
      <c r="C8" s="3"/>
      <c r="D8" s="3"/>
      <c r="E8" s="3"/>
      <c r="F8" s="3"/>
      <c r="G8" s="3"/>
      <c r="H8" s="3"/>
      <c r="I8" s="3"/>
    </row>
    <row r="9" spans="1:9" ht="24">
      <c r="A9" s="1"/>
      <c r="B9" s="204" t="s">
        <v>291</v>
      </c>
      <c r="C9" s="205"/>
      <c r="D9" s="205"/>
      <c r="E9" s="206"/>
      <c r="F9" s="204"/>
      <c r="G9" s="205"/>
      <c r="H9" s="205"/>
      <c r="I9" s="206"/>
    </row>
    <row r="10" spans="1:9" s="8" customFormat="1" ht="15">
      <c r="A10" s="6"/>
      <c r="B10" s="7" t="s">
        <v>276</v>
      </c>
      <c r="C10" s="56" t="s">
        <v>277</v>
      </c>
      <c r="D10" s="56" t="s">
        <v>278</v>
      </c>
      <c r="E10" s="57" t="s">
        <v>279</v>
      </c>
      <c r="F10" s="57" t="s">
        <v>280</v>
      </c>
      <c r="G10" s="56" t="s">
        <v>11</v>
      </c>
      <c r="H10" s="56" t="s">
        <v>292</v>
      </c>
      <c r="I10" s="56" t="s">
        <v>293</v>
      </c>
    </row>
    <row r="11" spans="1:9" s="24" customFormat="1" ht="15.75">
      <c r="A11" s="25"/>
      <c r="B11" s="46">
        <v>1</v>
      </c>
      <c r="C11" s="86" t="s">
        <v>1834</v>
      </c>
      <c r="D11" s="86" t="s">
        <v>1835</v>
      </c>
      <c r="E11" s="87"/>
      <c r="F11" s="87"/>
      <c r="G11" s="85" t="s">
        <v>1836</v>
      </c>
      <c r="H11" s="28"/>
      <c r="I11" s="86"/>
    </row>
    <row r="12" spans="1:9" s="24" customFormat="1" ht="15.75">
      <c r="A12" s="25"/>
      <c r="B12" s="46">
        <v>2</v>
      </c>
      <c r="C12" s="86" t="s">
        <v>1837</v>
      </c>
      <c r="D12" s="86" t="s">
        <v>1838</v>
      </c>
      <c r="E12" s="87"/>
      <c r="F12" s="87"/>
      <c r="G12" s="85" t="s">
        <v>1836</v>
      </c>
      <c r="H12" s="28"/>
      <c r="I12" s="86"/>
    </row>
  </sheetData>
  <mergeCells count="6">
    <mergeCell ref="B9:E9"/>
    <mergeCell ref="F9:I9"/>
    <mergeCell ref="B1:E1"/>
    <mergeCell ref="F1:I1"/>
    <mergeCell ref="B2:E2"/>
    <mergeCell ref="F2:I2"/>
  </mergeCells>
  <phoneticPr fontId="5" type="noConversion"/>
  <pageMargins left="0.7" right="0.7" top="0.75" bottom="0.75" header="0.3" footer="0.3"/>
  <pageSetup paperSize="9" orientation="portrait" horizontalDpi="0" verticalDpi="0"/>
</worksheet>
</file>

<file path=xl/worksheets/sheet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BED168E-1293-439E-B66A-6C26333FC5C1}">
  <sheetPr codeName="工作表87"/>
  <dimension ref="A1:I15"/>
  <sheetViews>
    <sheetView workbookViewId="0"/>
  </sheetViews>
  <sheetFormatPr defaultColWidth="6.625" defaultRowHeight="13.5"/>
  <cols>
    <col min="1" max="1" width="3.125" style="4" bestFit="1" customWidth="1"/>
    <col min="2" max="2" width="5.5" style="8" customWidth="1"/>
    <col min="3" max="3" width="35.5" style="4" customWidth="1"/>
    <col min="4" max="4" width="31.125" style="4" customWidth="1"/>
    <col min="5" max="5" width="11.125" style="4" bestFit="1" customWidth="1"/>
    <col min="6" max="6" width="12.625" style="4" customWidth="1"/>
    <col min="7" max="7" width="58" style="4" customWidth="1"/>
    <col min="8" max="8" width="34.125" style="4" customWidth="1"/>
    <col min="9" max="9" width="21.625" style="4" customWidth="1"/>
    <col min="10" max="16384" width="6.625" style="4"/>
  </cols>
  <sheetData>
    <row r="1" spans="1:9" ht="24">
      <c r="A1" s="1" t="e">
        <f ca="1">HYPERLINK("#'介面'!E"&amp;MATCH(VALUE(RIGHT(CELL("filename"),LEN(CELL("filename"))-FIND("]",CELL("filename")))),介面!D:D,"0"),"←")</f>
        <v>#VALUE!</v>
      </c>
      <c r="B1" s="207" t="s">
        <v>224</v>
      </c>
      <c r="C1" s="208"/>
      <c r="D1" s="208"/>
      <c r="E1" s="209"/>
      <c r="F1" s="207" t="s">
        <v>225</v>
      </c>
      <c r="G1" s="208"/>
      <c r="H1" s="208"/>
      <c r="I1" s="208"/>
    </row>
    <row r="2" spans="1:9" ht="24">
      <c r="A2" s="1"/>
      <c r="B2" s="210" t="s">
        <v>275</v>
      </c>
      <c r="C2" s="211"/>
      <c r="D2" s="211"/>
      <c r="E2" s="212"/>
      <c r="F2" s="210"/>
      <c r="G2" s="211"/>
      <c r="H2" s="211"/>
      <c r="I2" s="212"/>
    </row>
    <row r="3" spans="1:9" s="8" customFormat="1" ht="15">
      <c r="A3" s="6"/>
      <c r="B3" s="7" t="s">
        <v>276</v>
      </c>
      <c r="C3" s="56" t="s">
        <v>277</v>
      </c>
      <c r="D3" s="56" t="s">
        <v>278</v>
      </c>
      <c r="E3" s="57" t="s">
        <v>279</v>
      </c>
      <c r="F3" s="57" t="s">
        <v>280</v>
      </c>
      <c r="G3" s="56" t="s">
        <v>281</v>
      </c>
      <c r="H3" s="141" t="s">
        <v>11</v>
      </c>
      <c r="I3" s="56" t="s">
        <v>282</v>
      </c>
    </row>
    <row r="4" spans="1:9" s="24" customFormat="1" ht="15">
      <c r="A4" s="25"/>
      <c r="B4" s="170">
        <v>1</v>
      </c>
      <c r="C4" s="64" t="s">
        <v>1825</v>
      </c>
      <c r="D4" s="64" t="s">
        <v>1826</v>
      </c>
      <c r="E4" s="62" t="s">
        <v>285</v>
      </c>
      <c r="F4" s="62">
        <v>50</v>
      </c>
      <c r="G4" s="66" t="s">
        <v>330</v>
      </c>
      <c r="H4" s="66" t="s">
        <v>302</v>
      </c>
      <c r="I4" s="66" t="s">
        <v>287</v>
      </c>
    </row>
    <row r="5" spans="1:9" s="24" customFormat="1" ht="15">
      <c r="A5" s="25"/>
      <c r="B5" s="170">
        <v>2</v>
      </c>
      <c r="C5" s="50" t="s">
        <v>303</v>
      </c>
      <c r="D5" s="50" t="s">
        <v>304</v>
      </c>
      <c r="E5" s="51" t="s">
        <v>452</v>
      </c>
      <c r="F5" s="51">
        <v>20</v>
      </c>
      <c r="G5" s="66" t="s">
        <v>331</v>
      </c>
      <c r="H5" s="66"/>
      <c r="I5" s="66" t="s">
        <v>287</v>
      </c>
    </row>
    <row r="6" spans="1:9" s="95" customFormat="1" ht="15.75">
      <c r="A6" s="93"/>
      <c r="B6" s="170">
        <v>3</v>
      </c>
      <c r="C6" s="64" t="s">
        <v>637</v>
      </c>
      <c r="D6" s="64" t="s">
        <v>364</v>
      </c>
      <c r="E6" s="51" t="s">
        <v>452</v>
      </c>
      <c r="F6" s="51">
        <v>20</v>
      </c>
      <c r="G6" s="63" t="s">
        <v>331</v>
      </c>
      <c r="H6" s="66"/>
      <c r="I6" s="66" t="s">
        <v>287</v>
      </c>
    </row>
    <row r="7" spans="1:9" s="95" customFormat="1" ht="15.75">
      <c r="A7" s="93"/>
      <c r="B7" s="170">
        <v>4</v>
      </c>
      <c r="C7" s="86" t="s">
        <v>2304</v>
      </c>
      <c r="D7" s="86" t="s">
        <v>1707</v>
      </c>
      <c r="E7" s="87" t="s">
        <v>285</v>
      </c>
      <c r="F7" s="87">
        <v>1000</v>
      </c>
      <c r="G7" s="89" t="s">
        <v>2305</v>
      </c>
      <c r="H7" s="66" t="s">
        <v>2306</v>
      </c>
      <c r="I7" s="66" t="s">
        <v>287</v>
      </c>
    </row>
    <row r="8" spans="1:9" s="95" customFormat="1" ht="15.75">
      <c r="A8" s="93"/>
      <c r="B8" s="170">
        <v>5</v>
      </c>
      <c r="C8" s="64" t="s">
        <v>2307</v>
      </c>
      <c r="D8" s="64" t="s">
        <v>1818</v>
      </c>
      <c r="E8" s="51" t="s">
        <v>452</v>
      </c>
      <c r="F8" s="51">
        <v>20</v>
      </c>
      <c r="G8" s="63" t="s">
        <v>2308</v>
      </c>
      <c r="H8" s="66" t="s">
        <v>2309</v>
      </c>
      <c r="I8" s="66" t="s">
        <v>287</v>
      </c>
    </row>
    <row r="9" spans="1:9" s="95" customFormat="1" ht="15.75">
      <c r="A9" s="93"/>
      <c r="B9" s="170">
        <v>6</v>
      </c>
      <c r="C9" s="64" t="s">
        <v>1780</v>
      </c>
      <c r="D9" s="64" t="s">
        <v>1781</v>
      </c>
      <c r="E9" s="87" t="s">
        <v>285</v>
      </c>
      <c r="F9" s="87">
        <v>100</v>
      </c>
      <c r="G9" s="63" t="s">
        <v>2310</v>
      </c>
      <c r="H9" s="66"/>
      <c r="I9" s="66" t="s">
        <v>639</v>
      </c>
    </row>
    <row r="10" spans="1:9" s="24" customFormat="1" ht="15.75">
      <c r="A10" s="25"/>
      <c r="B10" s="46">
        <v>7</v>
      </c>
      <c r="C10" s="26" t="s">
        <v>1621</v>
      </c>
      <c r="D10" s="26" t="s">
        <v>1622</v>
      </c>
      <c r="E10" s="27" t="s">
        <v>285</v>
      </c>
      <c r="F10" s="27">
        <v>50</v>
      </c>
      <c r="G10" s="89" t="s">
        <v>2303</v>
      </c>
      <c r="H10" s="142"/>
      <c r="I10" s="66" t="s">
        <v>287</v>
      </c>
    </row>
    <row r="11" spans="1:9" ht="15.75">
      <c r="A11" s="1"/>
      <c r="B11" s="2"/>
      <c r="C11" s="3"/>
      <c r="D11" s="3"/>
      <c r="E11" s="3"/>
      <c r="F11" s="3"/>
      <c r="G11" s="3"/>
      <c r="H11" s="3"/>
      <c r="I11" s="3"/>
    </row>
    <row r="12" spans="1:9" ht="24">
      <c r="A12" s="1"/>
      <c r="B12" s="204" t="s">
        <v>291</v>
      </c>
      <c r="C12" s="205"/>
      <c r="D12" s="205"/>
      <c r="E12" s="206"/>
      <c r="F12" s="204"/>
      <c r="G12" s="205"/>
      <c r="H12" s="205"/>
      <c r="I12" s="206"/>
    </row>
    <row r="13" spans="1:9" s="8" customFormat="1" ht="15">
      <c r="A13" s="6"/>
      <c r="B13" s="7" t="s">
        <v>276</v>
      </c>
      <c r="C13" s="56" t="s">
        <v>277</v>
      </c>
      <c r="D13" s="56" t="s">
        <v>278</v>
      </c>
      <c r="E13" s="57" t="s">
        <v>279</v>
      </c>
      <c r="F13" s="57" t="s">
        <v>280</v>
      </c>
      <c r="G13" s="56" t="s">
        <v>11</v>
      </c>
      <c r="H13" s="56" t="s">
        <v>292</v>
      </c>
      <c r="I13" s="56" t="s">
        <v>293</v>
      </c>
    </row>
    <row r="14" spans="1:9" s="24" customFormat="1" ht="15.75">
      <c r="A14" s="25"/>
      <c r="B14" s="46">
        <v>1</v>
      </c>
      <c r="C14" s="86" t="s">
        <v>1834</v>
      </c>
      <c r="D14" s="86" t="s">
        <v>1835</v>
      </c>
      <c r="E14" s="87"/>
      <c r="F14" s="87"/>
      <c r="G14" s="85" t="s">
        <v>1836</v>
      </c>
      <c r="H14" s="28"/>
      <c r="I14" s="86"/>
    </row>
    <row r="15" spans="1:9" s="24" customFormat="1" ht="15.75">
      <c r="A15" s="25"/>
      <c r="B15" s="46">
        <v>2</v>
      </c>
      <c r="C15" s="86" t="s">
        <v>1837</v>
      </c>
      <c r="D15" s="86" t="s">
        <v>1838</v>
      </c>
      <c r="E15" s="87"/>
      <c r="F15" s="87"/>
      <c r="G15" s="85" t="s">
        <v>1836</v>
      </c>
      <c r="H15" s="28"/>
      <c r="I15" s="86"/>
    </row>
  </sheetData>
  <mergeCells count="6">
    <mergeCell ref="B1:E1"/>
    <mergeCell ref="F1:I1"/>
    <mergeCell ref="B2:E2"/>
    <mergeCell ref="F2:I2"/>
    <mergeCell ref="B12:E12"/>
    <mergeCell ref="F12:I12"/>
  </mergeCells>
  <phoneticPr fontId="5" type="noConversion"/>
  <pageMargins left="0.7" right="0.7" top="0.75" bottom="0.75" header="0.3" footer="0.3"/>
  <pageSetup paperSize="9" orientation="portrait" horizontalDpi="0" verticalDpi="0"/>
</worksheet>
</file>

<file path=xl/worksheets/sheet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413E0E1-3541-4F58-AD29-1C00328841F9}">
  <sheetPr codeName="工作表88"/>
  <dimension ref="A1:I15"/>
  <sheetViews>
    <sheetView workbookViewId="0">
      <selection activeCell="A10" sqref="A10:IV10"/>
    </sheetView>
  </sheetViews>
  <sheetFormatPr defaultColWidth="6.625" defaultRowHeight="13.5"/>
  <cols>
    <col min="1" max="1" width="3.125" style="4" bestFit="1" customWidth="1"/>
    <col min="2" max="2" width="5.5" style="8" customWidth="1"/>
    <col min="3" max="3" width="35.5" style="4" customWidth="1"/>
    <col min="4" max="4" width="31.125" style="4" customWidth="1"/>
    <col min="5" max="5" width="14.125" style="4" customWidth="1"/>
    <col min="6" max="6" width="12.625" style="4" customWidth="1"/>
    <col min="7" max="7" width="58" style="4" customWidth="1"/>
    <col min="8" max="8" width="34.125" style="4" customWidth="1"/>
    <col min="9" max="9" width="21.625" style="4" customWidth="1"/>
    <col min="10" max="16384" width="6.625" style="4"/>
  </cols>
  <sheetData>
    <row r="1" spans="1:9" ht="24">
      <c r="A1" s="1" t="e">
        <f ca="1">HYPERLINK("#'介面'!E"&amp;MATCH(VALUE(RIGHT(CELL("filename"),LEN(CELL("filename"))-FIND("]",CELL("filename")))),介面!D:D,"0"),"←")</f>
        <v>#VALUE!</v>
      </c>
      <c r="B1" s="207" t="s">
        <v>227</v>
      </c>
      <c r="C1" s="208"/>
      <c r="D1" s="208"/>
      <c r="E1" s="209"/>
      <c r="F1" s="207" t="s">
        <v>228</v>
      </c>
      <c r="G1" s="208"/>
      <c r="H1" s="208"/>
      <c r="I1" s="208"/>
    </row>
    <row r="2" spans="1:9" ht="24">
      <c r="A2" s="1"/>
      <c r="B2" s="210" t="s">
        <v>275</v>
      </c>
      <c r="C2" s="211"/>
      <c r="D2" s="211"/>
      <c r="E2" s="212"/>
      <c r="F2" s="210"/>
      <c r="G2" s="211"/>
      <c r="H2" s="211"/>
      <c r="I2" s="212"/>
    </row>
    <row r="3" spans="1:9" s="8" customFormat="1" ht="15">
      <c r="A3" s="6"/>
      <c r="B3" s="7" t="s">
        <v>276</v>
      </c>
      <c r="C3" s="56" t="s">
        <v>277</v>
      </c>
      <c r="D3" s="56" t="s">
        <v>278</v>
      </c>
      <c r="E3" s="57" t="s">
        <v>279</v>
      </c>
      <c r="F3" s="57" t="s">
        <v>280</v>
      </c>
      <c r="G3" s="56" t="s">
        <v>281</v>
      </c>
      <c r="H3" s="141" t="s">
        <v>11</v>
      </c>
      <c r="I3" s="56" t="s">
        <v>282</v>
      </c>
    </row>
    <row r="4" spans="1:9" s="24" customFormat="1" ht="15">
      <c r="A4" s="25"/>
      <c r="B4" s="46">
        <v>1</v>
      </c>
      <c r="C4" s="64" t="s">
        <v>1825</v>
      </c>
      <c r="D4" s="64" t="s">
        <v>1826</v>
      </c>
      <c r="E4" s="62" t="s">
        <v>285</v>
      </c>
      <c r="F4" s="62">
        <v>50</v>
      </c>
      <c r="G4" s="66" t="s">
        <v>330</v>
      </c>
      <c r="H4" s="142" t="s">
        <v>302</v>
      </c>
      <c r="I4" s="64" t="s">
        <v>287</v>
      </c>
    </row>
    <row r="5" spans="1:9" s="24" customFormat="1" ht="15">
      <c r="A5" s="25"/>
      <c r="B5" s="46">
        <v>2</v>
      </c>
      <c r="C5" s="50" t="s">
        <v>303</v>
      </c>
      <c r="D5" s="50" t="s">
        <v>304</v>
      </c>
      <c r="E5" s="51" t="s">
        <v>452</v>
      </c>
      <c r="F5" s="51">
        <v>20</v>
      </c>
      <c r="G5" s="66" t="s">
        <v>331</v>
      </c>
      <c r="H5" s="142"/>
      <c r="I5" s="50" t="s">
        <v>287</v>
      </c>
    </row>
    <row r="6" spans="1:9" s="95" customFormat="1" ht="15.75">
      <c r="A6" s="93"/>
      <c r="B6" s="46">
        <v>3</v>
      </c>
      <c r="C6" s="26" t="s">
        <v>2311</v>
      </c>
      <c r="D6" s="26" t="s">
        <v>2312</v>
      </c>
      <c r="E6" s="27" t="s">
        <v>285</v>
      </c>
      <c r="F6" s="27">
        <v>50</v>
      </c>
      <c r="G6" s="171" t="s">
        <v>2313</v>
      </c>
      <c r="H6" s="27"/>
      <c r="I6" s="26" t="s">
        <v>287</v>
      </c>
    </row>
    <row r="7" spans="1:9" s="24" customFormat="1" ht="48" customHeight="1">
      <c r="B7" s="46">
        <v>4</v>
      </c>
      <c r="C7" s="80" t="s">
        <v>2314</v>
      </c>
      <c r="D7" s="132" t="s">
        <v>2315</v>
      </c>
      <c r="E7" s="87" t="s">
        <v>979</v>
      </c>
      <c r="F7" s="81"/>
      <c r="G7" s="85" t="s">
        <v>2316</v>
      </c>
      <c r="H7" s="142"/>
      <c r="I7" s="80" t="s">
        <v>287</v>
      </c>
    </row>
    <row r="8" spans="1:9" s="24" customFormat="1" ht="48" customHeight="1">
      <c r="B8" s="46">
        <v>5</v>
      </c>
      <c r="C8" s="80" t="s">
        <v>1615</v>
      </c>
      <c r="D8" s="132" t="s">
        <v>1616</v>
      </c>
      <c r="E8" s="87" t="s">
        <v>979</v>
      </c>
      <c r="F8" s="81"/>
      <c r="G8" s="85" t="s">
        <v>2277</v>
      </c>
      <c r="H8" s="142"/>
      <c r="I8" s="80" t="s">
        <v>639</v>
      </c>
    </row>
    <row r="9" spans="1:9" s="24" customFormat="1" ht="15.75">
      <c r="A9" s="25"/>
      <c r="B9" s="46">
        <v>6</v>
      </c>
      <c r="C9" s="50" t="s">
        <v>1621</v>
      </c>
      <c r="D9" s="50" t="s">
        <v>1622</v>
      </c>
      <c r="E9" s="51" t="s">
        <v>285</v>
      </c>
      <c r="F9" s="51">
        <v>50</v>
      </c>
      <c r="G9" s="89" t="s">
        <v>2282</v>
      </c>
      <c r="H9" s="142"/>
      <c r="I9" s="50" t="s">
        <v>287</v>
      </c>
    </row>
    <row r="10" spans="1:9" ht="15.75">
      <c r="A10" s="1"/>
      <c r="B10" s="2"/>
      <c r="C10" s="3"/>
      <c r="D10" s="3"/>
      <c r="E10" s="3"/>
      <c r="F10" s="3"/>
      <c r="G10" s="3"/>
      <c r="H10" s="3"/>
      <c r="I10" s="3"/>
    </row>
    <row r="11" spans="1:9" ht="24">
      <c r="A11" s="1"/>
      <c r="B11" s="204" t="s">
        <v>291</v>
      </c>
      <c r="C11" s="205"/>
      <c r="D11" s="205"/>
      <c r="E11" s="206"/>
      <c r="F11" s="204"/>
      <c r="G11" s="205"/>
      <c r="H11" s="205"/>
      <c r="I11" s="206"/>
    </row>
    <row r="12" spans="1:9" s="8" customFormat="1" ht="15">
      <c r="A12" s="6"/>
      <c r="B12" s="7" t="s">
        <v>276</v>
      </c>
      <c r="C12" s="56" t="s">
        <v>277</v>
      </c>
      <c r="D12" s="56" t="s">
        <v>278</v>
      </c>
      <c r="E12" s="57" t="s">
        <v>279</v>
      </c>
      <c r="F12" s="57" t="s">
        <v>280</v>
      </c>
      <c r="G12" s="56" t="s">
        <v>11</v>
      </c>
      <c r="H12" s="56" t="s">
        <v>292</v>
      </c>
      <c r="I12" s="56" t="s">
        <v>293</v>
      </c>
    </row>
    <row r="13" spans="1:9" s="24" customFormat="1" ht="15.75">
      <c r="A13" s="25"/>
      <c r="B13" s="46">
        <v>1</v>
      </c>
      <c r="C13" s="86" t="s">
        <v>1834</v>
      </c>
      <c r="D13" s="86" t="s">
        <v>1835</v>
      </c>
      <c r="E13" s="87"/>
      <c r="F13" s="87"/>
      <c r="G13" s="85" t="s">
        <v>1836</v>
      </c>
      <c r="H13" s="28"/>
      <c r="I13" s="86"/>
    </row>
    <row r="14" spans="1:9" s="24" customFormat="1" ht="15.75">
      <c r="A14" s="25"/>
      <c r="B14" s="46">
        <v>2</v>
      </c>
      <c r="C14" s="86" t="s">
        <v>1837</v>
      </c>
      <c r="D14" s="86" t="s">
        <v>1838</v>
      </c>
      <c r="E14" s="87"/>
      <c r="F14" s="87"/>
      <c r="G14" s="85" t="s">
        <v>1836</v>
      </c>
      <c r="H14" s="28"/>
      <c r="I14" s="86"/>
    </row>
    <row r="15" spans="1:9" ht="15">
      <c r="B15" s="45"/>
    </row>
  </sheetData>
  <mergeCells count="6">
    <mergeCell ref="B1:E1"/>
    <mergeCell ref="F1:I1"/>
    <mergeCell ref="B2:E2"/>
    <mergeCell ref="F2:I2"/>
    <mergeCell ref="B11:E11"/>
    <mergeCell ref="F11:I11"/>
  </mergeCells>
  <phoneticPr fontId="5" type="noConversion"/>
  <pageMargins left="0.7" right="0.7" top="0.75" bottom="0.75" header="0.3" footer="0.3"/>
  <pageSetup paperSize="9" orientation="portrait" horizontalDpi="0" verticalDpi="0"/>
</worksheet>
</file>

<file path=xl/worksheets/sheet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6A323F3-2866-4367-B761-931962330C37}">
  <sheetPr codeName="工作表89"/>
  <dimension ref="A1:I13"/>
  <sheetViews>
    <sheetView workbookViewId="0"/>
  </sheetViews>
  <sheetFormatPr defaultColWidth="6.625" defaultRowHeight="13.5"/>
  <cols>
    <col min="1" max="1" width="3.125" style="4" bestFit="1" customWidth="1"/>
    <col min="2" max="2" width="5.5" style="8" customWidth="1"/>
    <col min="3" max="3" width="35.5" style="4" customWidth="1"/>
    <col min="4" max="4" width="31.125" style="4" customWidth="1"/>
    <col min="5" max="5" width="14.125" style="4" customWidth="1"/>
    <col min="6" max="6" width="12.625" style="4" customWidth="1"/>
    <col min="7" max="7" width="58" style="4" customWidth="1"/>
    <col min="8" max="8" width="34.125" style="4" customWidth="1"/>
    <col min="9" max="9" width="21.625" style="4" customWidth="1"/>
    <col min="10" max="16384" width="6.625" style="4"/>
  </cols>
  <sheetData>
    <row r="1" spans="1:9" ht="24">
      <c r="A1" s="1" t="e">
        <f ca="1">HYPERLINK("#'介面'!E"&amp;MATCH(VALUE(RIGHT(CELL("filename"),LEN(CELL("filename"))-FIND("]",CELL("filename")))),介面!D:D,"0"),"←")</f>
        <v>#VALUE!</v>
      </c>
      <c r="B1" s="207" t="s">
        <v>229</v>
      </c>
      <c r="C1" s="208"/>
      <c r="D1" s="208"/>
      <c r="E1" s="209"/>
      <c r="F1" s="207" t="s">
        <v>230</v>
      </c>
      <c r="G1" s="208"/>
      <c r="H1" s="208"/>
      <c r="I1" s="208"/>
    </row>
    <row r="2" spans="1:9" ht="24">
      <c r="A2" s="1"/>
      <c r="B2" s="210" t="s">
        <v>275</v>
      </c>
      <c r="C2" s="211"/>
      <c r="D2" s="211"/>
      <c r="E2" s="212"/>
      <c r="F2" s="210"/>
      <c r="G2" s="211"/>
      <c r="H2" s="211"/>
      <c r="I2" s="212"/>
    </row>
    <row r="3" spans="1:9" s="8" customFormat="1" ht="15">
      <c r="A3" s="6"/>
      <c r="B3" s="7" t="s">
        <v>276</v>
      </c>
      <c r="C3" s="56" t="s">
        <v>277</v>
      </c>
      <c r="D3" s="56" t="s">
        <v>278</v>
      </c>
      <c r="E3" s="57" t="s">
        <v>279</v>
      </c>
      <c r="F3" s="57" t="s">
        <v>280</v>
      </c>
      <c r="G3" s="56" t="s">
        <v>281</v>
      </c>
      <c r="H3" s="141" t="s">
        <v>11</v>
      </c>
      <c r="I3" s="56" t="s">
        <v>282</v>
      </c>
    </row>
    <row r="4" spans="1:9" s="24" customFormat="1" ht="15">
      <c r="A4" s="25"/>
      <c r="B4" s="46">
        <v>1</v>
      </c>
      <c r="C4" s="64" t="s">
        <v>1825</v>
      </c>
      <c r="D4" s="64" t="s">
        <v>1826</v>
      </c>
      <c r="E4" s="62" t="s">
        <v>285</v>
      </c>
      <c r="F4" s="62">
        <v>50</v>
      </c>
      <c r="G4" s="66" t="s">
        <v>330</v>
      </c>
      <c r="H4" s="142" t="s">
        <v>302</v>
      </c>
      <c r="I4" s="64" t="s">
        <v>287</v>
      </c>
    </row>
    <row r="5" spans="1:9" s="24" customFormat="1" ht="15">
      <c r="A5" s="25"/>
      <c r="B5" s="46">
        <v>2</v>
      </c>
      <c r="C5" s="50" t="s">
        <v>303</v>
      </c>
      <c r="D5" s="50" t="s">
        <v>304</v>
      </c>
      <c r="E5" s="51" t="s">
        <v>452</v>
      </c>
      <c r="F5" s="51">
        <v>20</v>
      </c>
      <c r="G5" s="66" t="s">
        <v>331</v>
      </c>
      <c r="H5" s="142"/>
      <c r="I5" s="50" t="s">
        <v>287</v>
      </c>
    </row>
    <row r="6" spans="1:9" s="95" customFormat="1" ht="15.75">
      <c r="A6" s="93"/>
      <c r="B6" s="46">
        <v>3</v>
      </c>
      <c r="C6" s="26" t="s">
        <v>2311</v>
      </c>
      <c r="D6" s="26" t="s">
        <v>2312</v>
      </c>
      <c r="E6" s="27" t="s">
        <v>285</v>
      </c>
      <c r="F6" s="27">
        <v>50</v>
      </c>
      <c r="G6" s="171" t="s">
        <v>2317</v>
      </c>
      <c r="H6" s="27"/>
      <c r="I6" s="26" t="s">
        <v>287</v>
      </c>
    </row>
    <row r="7" spans="1:9" s="24" customFormat="1" ht="15.75">
      <c r="A7" s="25"/>
      <c r="B7" s="46">
        <v>6</v>
      </c>
      <c r="C7" s="50" t="s">
        <v>1621</v>
      </c>
      <c r="D7" s="50" t="s">
        <v>1622</v>
      </c>
      <c r="E7" s="51" t="s">
        <v>285</v>
      </c>
      <c r="F7" s="51">
        <v>50</v>
      </c>
      <c r="G7" s="89" t="s">
        <v>2282</v>
      </c>
      <c r="H7" s="142"/>
      <c r="I7" s="50" t="s">
        <v>287</v>
      </c>
    </row>
    <row r="8" spans="1:9" ht="15.75">
      <c r="A8" s="1"/>
      <c r="B8" s="2"/>
      <c r="C8" s="3"/>
      <c r="D8" s="3"/>
      <c r="E8" s="3"/>
      <c r="F8" s="3"/>
      <c r="G8" s="3"/>
      <c r="H8" s="3"/>
      <c r="I8" s="3"/>
    </row>
    <row r="9" spans="1:9" ht="24">
      <c r="A9" s="1"/>
      <c r="B9" s="204" t="s">
        <v>291</v>
      </c>
      <c r="C9" s="205"/>
      <c r="D9" s="205"/>
      <c r="E9" s="206"/>
      <c r="F9" s="204"/>
      <c r="G9" s="205"/>
      <c r="H9" s="205"/>
      <c r="I9" s="206"/>
    </row>
    <row r="10" spans="1:9" s="8" customFormat="1" ht="15">
      <c r="A10" s="6"/>
      <c r="B10" s="7" t="s">
        <v>276</v>
      </c>
      <c r="C10" s="56" t="s">
        <v>277</v>
      </c>
      <c r="D10" s="56" t="s">
        <v>278</v>
      </c>
      <c r="E10" s="57" t="s">
        <v>279</v>
      </c>
      <c r="F10" s="57" t="s">
        <v>280</v>
      </c>
      <c r="G10" s="56" t="s">
        <v>11</v>
      </c>
      <c r="H10" s="56" t="s">
        <v>292</v>
      </c>
      <c r="I10" s="56" t="s">
        <v>293</v>
      </c>
    </row>
    <row r="11" spans="1:9" s="24" customFormat="1" ht="15.75">
      <c r="A11" s="25"/>
      <c r="B11" s="46">
        <v>1</v>
      </c>
      <c r="C11" s="86" t="s">
        <v>1834</v>
      </c>
      <c r="D11" s="86" t="s">
        <v>1835</v>
      </c>
      <c r="E11" s="87"/>
      <c r="F11" s="87"/>
      <c r="G11" s="85" t="s">
        <v>1836</v>
      </c>
      <c r="H11" s="28"/>
      <c r="I11" s="86"/>
    </row>
    <row r="12" spans="1:9" s="24" customFormat="1" ht="15.75">
      <c r="A12" s="25"/>
      <c r="B12" s="46">
        <v>2</v>
      </c>
      <c r="C12" s="86" t="s">
        <v>1837</v>
      </c>
      <c r="D12" s="86" t="s">
        <v>1838</v>
      </c>
      <c r="E12" s="87"/>
      <c r="F12" s="87"/>
      <c r="G12" s="85" t="s">
        <v>1836</v>
      </c>
      <c r="H12" s="28"/>
      <c r="I12" s="86"/>
    </row>
    <row r="13" spans="1:9" ht="15">
      <c r="B13" s="45"/>
    </row>
  </sheetData>
  <mergeCells count="6">
    <mergeCell ref="B1:E1"/>
    <mergeCell ref="F1:I1"/>
    <mergeCell ref="B2:E2"/>
    <mergeCell ref="F2:I2"/>
    <mergeCell ref="B9:E9"/>
    <mergeCell ref="F9:I9"/>
  </mergeCells>
  <phoneticPr fontId="5" type="noConversion"/>
  <pageMargins left="0.7" right="0.7" top="0.75" bottom="0.75" header="0.3" footer="0.3"/>
  <pageSetup paperSize="9" orientation="portrait" horizontalDpi="0" verticalDpi="0"/>
</worksheet>
</file>

<file path=xl/worksheets/sheet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6E849BB-9D95-4812-9AA0-86BE4EA42BEB}">
  <sheetPr codeName="工作表90"/>
  <dimension ref="A1:I13"/>
  <sheetViews>
    <sheetView workbookViewId="0"/>
  </sheetViews>
  <sheetFormatPr defaultColWidth="6.625" defaultRowHeight="13.5"/>
  <cols>
    <col min="1" max="1" width="3.125" style="4" bestFit="1" customWidth="1"/>
    <col min="2" max="2" width="5.5" style="8" customWidth="1"/>
    <col min="3" max="3" width="35.5" style="4" customWidth="1"/>
    <col min="4" max="4" width="31.125" style="4" customWidth="1"/>
    <col min="5" max="5" width="14.125" style="4" customWidth="1"/>
    <col min="6" max="6" width="12.625" style="4" customWidth="1"/>
    <col min="7" max="7" width="58" style="4" customWidth="1"/>
    <col min="8" max="8" width="34.125" style="4" customWidth="1"/>
    <col min="9" max="9" width="21.625" style="4" customWidth="1"/>
    <col min="10" max="16384" width="6.625" style="4"/>
  </cols>
  <sheetData>
    <row r="1" spans="1:9" ht="24">
      <c r="A1" s="1" t="e">
        <f ca="1">HYPERLINK("#'介面'!E"&amp;MATCH(VALUE(RIGHT(CELL("filename"),LEN(CELL("filename"))-FIND("]",CELL("filename")))),介面!D:D,"0"),"←")</f>
        <v>#VALUE!</v>
      </c>
      <c r="B1" s="207" t="s">
        <v>231</v>
      </c>
      <c r="C1" s="208"/>
      <c r="D1" s="208"/>
      <c r="E1" s="209"/>
      <c r="F1" s="207" t="s">
        <v>232</v>
      </c>
      <c r="G1" s="208"/>
      <c r="H1" s="208"/>
      <c r="I1" s="208"/>
    </row>
    <row r="2" spans="1:9" ht="24">
      <c r="A2" s="1"/>
      <c r="B2" s="210" t="s">
        <v>275</v>
      </c>
      <c r="C2" s="211"/>
      <c r="D2" s="211"/>
      <c r="E2" s="212"/>
      <c r="F2" s="210"/>
      <c r="G2" s="211"/>
      <c r="H2" s="211"/>
      <c r="I2" s="212"/>
    </row>
    <row r="3" spans="1:9" s="8" customFormat="1" ht="15">
      <c r="A3" s="6"/>
      <c r="B3" s="7" t="s">
        <v>276</v>
      </c>
      <c r="C3" s="56" t="s">
        <v>277</v>
      </c>
      <c r="D3" s="56" t="s">
        <v>278</v>
      </c>
      <c r="E3" s="57" t="s">
        <v>279</v>
      </c>
      <c r="F3" s="57" t="s">
        <v>280</v>
      </c>
      <c r="G3" s="56" t="s">
        <v>281</v>
      </c>
      <c r="H3" s="141" t="s">
        <v>11</v>
      </c>
      <c r="I3" s="56" t="s">
        <v>282</v>
      </c>
    </row>
    <row r="4" spans="1:9" s="24" customFormat="1" ht="15">
      <c r="A4" s="25"/>
      <c r="B4" s="46">
        <v>1</v>
      </c>
      <c r="C4" s="64" t="s">
        <v>1825</v>
      </c>
      <c r="D4" s="64" t="s">
        <v>1826</v>
      </c>
      <c r="E4" s="62" t="s">
        <v>285</v>
      </c>
      <c r="F4" s="62">
        <v>50</v>
      </c>
      <c r="G4" s="66" t="s">
        <v>330</v>
      </c>
      <c r="H4" s="142" t="s">
        <v>302</v>
      </c>
      <c r="I4" s="64" t="s">
        <v>287</v>
      </c>
    </row>
    <row r="5" spans="1:9" s="24" customFormat="1" ht="15">
      <c r="A5" s="25"/>
      <c r="B5" s="46">
        <v>2</v>
      </c>
      <c r="C5" s="50" t="s">
        <v>303</v>
      </c>
      <c r="D5" s="50" t="s">
        <v>304</v>
      </c>
      <c r="E5" s="51" t="s">
        <v>452</v>
      </c>
      <c r="F5" s="51">
        <v>20</v>
      </c>
      <c r="G5" s="66" t="s">
        <v>331</v>
      </c>
      <c r="H5" s="142"/>
      <c r="I5" s="50" t="s">
        <v>287</v>
      </c>
    </row>
    <row r="6" spans="1:9" s="95" customFormat="1" ht="15.75">
      <c r="A6" s="93"/>
      <c r="B6" s="46">
        <v>3</v>
      </c>
      <c r="C6" s="26" t="s">
        <v>2311</v>
      </c>
      <c r="D6" s="26" t="s">
        <v>2312</v>
      </c>
      <c r="E6" s="27" t="s">
        <v>285</v>
      </c>
      <c r="F6" s="27">
        <v>50</v>
      </c>
      <c r="G6" s="171" t="s">
        <v>2318</v>
      </c>
      <c r="H6" s="27"/>
      <c r="I6" s="26" t="s">
        <v>287</v>
      </c>
    </row>
    <row r="7" spans="1:9" s="24" customFormat="1" ht="15.75">
      <c r="A7" s="25"/>
      <c r="B7" s="46">
        <v>6</v>
      </c>
      <c r="C7" s="50" t="s">
        <v>1621</v>
      </c>
      <c r="D7" s="50" t="s">
        <v>1622</v>
      </c>
      <c r="E7" s="51" t="s">
        <v>285</v>
      </c>
      <c r="F7" s="51">
        <v>50</v>
      </c>
      <c r="G7" s="89" t="s">
        <v>2282</v>
      </c>
      <c r="H7" s="142"/>
      <c r="I7" s="50" t="s">
        <v>287</v>
      </c>
    </row>
    <row r="8" spans="1:9" ht="15.75">
      <c r="A8" s="1"/>
      <c r="B8" s="2"/>
      <c r="C8" s="3"/>
      <c r="D8" s="3"/>
      <c r="E8" s="3"/>
      <c r="F8" s="3"/>
      <c r="G8" s="3"/>
      <c r="H8" s="3"/>
      <c r="I8" s="3"/>
    </row>
    <row r="9" spans="1:9" ht="24">
      <c r="A9" s="1"/>
      <c r="B9" s="204" t="s">
        <v>291</v>
      </c>
      <c r="C9" s="205"/>
      <c r="D9" s="205"/>
      <c r="E9" s="206"/>
      <c r="F9" s="204"/>
      <c r="G9" s="205"/>
      <c r="H9" s="205"/>
      <c r="I9" s="206"/>
    </row>
    <row r="10" spans="1:9" s="8" customFormat="1" ht="15">
      <c r="A10" s="6"/>
      <c r="B10" s="7" t="s">
        <v>276</v>
      </c>
      <c r="C10" s="56" t="s">
        <v>277</v>
      </c>
      <c r="D10" s="56" t="s">
        <v>278</v>
      </c>
      <c r="E10" s="57" t="s">
        <v>279</v>
      </c>
      <c r="F10" s="57" t="s">
        <v>280</v>
      </c>
      <c r="G10" s="56" t="s">
        <v>11</v>
      </c>
      <c r="H10" s="56" t="s">
        <v>292</v>
      </c>
      <c r="I10" s="56" t="s">
        <v>293</v>
      </c>
    </row>
    <row r="11" spans="1:9" s="24" customFormat="1" ht="15.75">
      <c r="A11" s="25"/>
      <c r="B11" s="46">
        <v>1</v>
      </c>
      <c r="C11" s="86" t="s">
        <v>1834</v>
      </c>
      <c r="D11" s="86" t="s">
        <v>1835</v>
      </c>
      <c r="E11" s="87"/>
      <c r="F11" s="87"/>
      <c r="G11" s="85" t="s">
        <v>1836</v>
      </c>
      <c r="H11" s="28"/>
      <c r="I11" s="86"/>
    </row>
    <row r="12" spans="1:9" s="24" customFormat="1" ht="15.75">
      <c r="A12" s="25"/>
      <c r="B12" s="46">
        <v>2</v>
      </c>
      <c r="C12" s="86" t="s">
        <v>1837</v>
      </c>
      <c r="D12" s="86" t="s">
        <v>1838</v>
      </c>
      <c r="E12" s="87"/>
      <c r="F12" s="87"/>
      <c r="G12" s="85" t="s">
        <v>1836</v>
      </c>
      <c r="H12" s="28"/>
      <c r="I12" s="86"/>
    </row>
    <row r="13" spans="1:9" ht="15">
      <c r="B13" s="45"/>
    </row>
  </sheetData>
  <mergeCells count="6">
    <mergeCell ref="B1:E1"/>
    <mergeCell ref="F1:I1"/>
    <mergeCell ref="B2:E2"/>
    <mergeCell ref="F2:I2"/>
    <mergeCell ref="B9:E9"/>
    <mergeCell ref="F9:I9"/>
  </mergeCells>
  <phoneticPr fontId="5" type="noConversion"/>
  <pageMargins left="0.7" right="0.7" top="0.75" bottom="0.75" header="0.3" footer="0.3"/>
  <pageSetup paperSize="9" orientation="portrait" horizontalDpi="0" verticalDpi="0"/>
</worksheet>
</file>

<file path=xl/worksheets/sheet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062D3F8-8EC1-409C-BA49-C78E68516AD4}">
  <sheetPr codeName="工作表124"/>
  <dimension ref="A1:I29"/>
  <sheetViews>
    <sheetView workbookViewId="0"/>
  </sheetViews>
  <sheetFormatPr defaultColWidth="6.625" defaultRowHeight="13.5"/>
  <cols>
    <col min="1" max="1" width="3.125" style="4" bestFit="1" customWidth="1"/>
    <col min="2" max="2" width="5.5" style="8" customWidth="1"/>
    <col min="3" max="3" width="26.625" style="4" customWidth="1"/>
    <col min="4" max="4" width="31.125" style="4" customWidth="1"/>
    <col min="5" max="5" width="11.125" style="4" bestFit="1" customWidth="1"/>
    <col min="6" max="6" width="12.625" style="4" customWidth="1"/>
    <col min="7" max="7" width="58" style="4" customWidth="1"/>
    <col min="8" max="8" width="34.125" style="4" customWidth="1"/>
    <col min="9" max="9" width="21.625" style="4" customWidth="1"/>
    <col min="10" max="16384" width="6.625" style="4"/>
  </cols>
  <sheetData>
    <row r="1" spans="1:9" ht="24">
      <c r="A1" s="1" t="e">
        <f ca="1">HYPERLINK("#'介面'!E"&amp;MATCH(VALUE(RIGHT(CELL("filename"),LEN(CELL("filename"))-FIND("]",CELL("filename")))),介面!D:D,"0"),"←")</f>
        <v>#VALUE!</v>
      </c>
      <c r="B1" s="207" t="s">
        <v>233</v>
      </c>
      <c r="C1" s="208"/>
      <c r="D1" s="208"/>
      <c r="E1" s="209"/>
      <c r="F1" s="207" t="s">
        <v>234</v>
      </c>
      <c r="G1" s="208"/>
      <c r="H1" s="208"/>
      <c r="I1" s="208"/>
    </row>
    <row r="2" spans="1:9" ht="24">
      <c r="A2" s="1"/>
      <c r="B2" s="210" t="s">
        <v>275</v>
      </c>
      <c r="C2" s="211"/>
      <c r="D2" s="211"/>
      <c r="E2" s="212"/>
      <c r="F2" s="210"/>
      <c r="G2" s="211"/>
      <c r="H2" s="211"/>
      <c r="I2" s="212"/>
    </row>
    <row r="3" spans="1:9" s="8" customFormat="1" ht="15">
      <c r="A3" s="6"/>
      <c r="B3" s="7" t="s">
        <v>276</v>
      </c>
      <c r="C3" s="56" t="s">
        <v>277</v>
      </c>
      <c r="D3" s="56" t="s">
        <v>278</v>
      </c>
      <c r="E3" s="57" t="s">
        <v>279</v>
      </c>
      <c r="F3" s="57" t="s">
        <v>280</v>
      </c>
      <c r="G3" s="56" t="s">
        <v>281</v>
      </c>
      <c r="H3" s="141" t="s">
        <v>11</v>
      </c>
      <c r="I3" s="56" t="s">
        <v>282</v>
      </c>
    </row>
    <row r="4" spans="1:9" s="24" customFormat="1" ht="15">
      <c r="A4" s="25"/>
      <c r="B4" s="46">
        <v>1</v>
      </c>
      <c r="C4" s="64" t="s">
        <v>1825</v>
      </c>
      <c r="D4" s="64" t="s">
        <v>1826</v>
      </c>
      <c r="E4" s="62" t="s">
        <v>285</v>
      </c>
      <c r="F4" s="62">
        <v>50</v>
      </c>
      <c r="G4" s="66" t="s">
        <v>330</v>
      </c>
      <c r="H4" s="142" t="s">
        <v>302</v>
      </c>
      <c r="I4" s="66" t="s">
        <v>287</v>
      </c>
    </row>
    <row r="5" spans="1:9" s="24" customFormat="1" ht="15">
      <c r="A5" s="25"/>
      <c r="B5" s="46">
        <v>2</v>
      </c>
      <c r="C5" s="50" t="s">
        <v>303</v>
      </c>
      <c r="D5" s="50" t="s">
        <v>304</v>
      </c>
      <c r="E5" s="51" t="s">
        <v>452</v>
      </c>
      <c r="F5" s="51">
        <v>20</v>
      </c>
      <c r="G5" s="66" t="s">
        <v>331</v>
      </c>
      <c r="H5" s="142"/>
      <c r="I5" s="19" t="s">
        <v>287</v>
      </c>
    </row>
    <row r="6" spans="1:9" s="95" customFormat="1" ht="15.75">
      <c r="A6" s="93"/>
      <c r="B6" s="46">
        <v>3</v>
      </c>
      <c r="C6" s="64" t="s">
        <v>637</v>
      </c>
      <c r="D6" s="64" t="s">
        <v>364</v>
      </c>
      <c r="E6" s="51" t="s">
        <v>452</v>
      </c>
      <c r="F6" s="51">
        <v>20</v>
      </c>
      <c r="G6" s="91" t="s">
        <v>331</v>
      </c>
      <c r="H6" s="142"/>
      <c r="I6" s="19" t="s">
        <v>287</v>
      </c>
    </row>
    <row r="7" spans="1:9" ht="15.75">
      <c r="A7" s="1"/>
      <c r="B7" s="2"/>
      <c r="C7" s="3"/>
      <c r="D7" s="3"/>
      <c r="E7" s="3"/>
      <c r="F7" s="3"/>
      <c r="G7" s="3"/>
      <c r="H7" s="3"/>
      <c r="I7" s="3"/>
    </row>
    <row r="8" spans="1:9" ht="24">
      <c r="A8" s="1"/>
      <c r="B8" s="204" t="s">
        <v>291</v>
      </c>
      <c r="C8" s="205"/>
      <c r="D8" s="205"/>
      <c r="E8" s="206"/>
      <c r="F8" s="204"/>
      <c r="G8" s="205"/>
      <c r="H8" s="205"/>
      <c r="I8" s="206"/>
    </row>
    <row r="9" spans="1:9" s="8" customFormat="1" ht="15">
      <c r="A9" s="6"/>
      <c r="B9" s="7" t="s">
        <v>276</v>
      </c>
      <c r="C9" s="56" t="s">
        <v>277</v>
      </c>
      <c r="D9" s="56" t="s">
        <v>278</v>
      </c>
      <c r="E9" s="57" t="s">
        <v>279</v>
      </c>
      <c r="F9" s="57" t="s">
        <v>280</v>
      </c>
      <c r="G9" s="56" t="s">
        <v>11</v>
      </c>
      <c r="H9" s="56" t="s">
        <v>292</v>
      </c>
      <c r="I9" s="56" t="s">
        <v>293</v>
      </c>
    </row>
    <row r="10" spans="1:9" s="24" customFormat="1" ht="15">
      <c r="A10" s="25"/>
      <c r="B10" s="46">
        <v>1</v>
      </c>
      <c r="C10" s="64" t="s">
        <v>1556</v>
      </c>
      <c r="D10" s="64" t="s">
        <v>1557</v>
      </c>
      <c r="E10" s="62" t="s">
        <v>452</v>
      </c>
      <c r="F10" s="62">
        <v>20</v>
      </c>
      <c r="G10" s="66"/>
      <c r="H10" s="66"/>
      <c r="I10" s="66"/>
    </row>
    <row r="11" spans="1:9" s="24" customFormat="1" ht="15">
      <c r="A11" s="25"/>
      <c r="B11" s="46">
        <f>B10+1</f>
        <v>2</v>
      </c>
      <c r="C11" s="50" t="s">
        <v>453</v>
      </c>
      <c r="D11" s="50" t="s">
        <v>304</v>
      </c>
      <c r="E11" s="51" t="s">
        <v>452</v>
      </c>
      <c r="F11" s="51">
        <v>20</v>
      </c>
      <c r="G11" s="52"/>
      <c r="H11" s="19" t="s">
        <v>1924</v>
      </c>
      <c r="I11" s="19" t="s">
        <v>304</v>
      </c>
    </row>
    <row r="12" spans="1:9" s="24" customFormat="1" ht="15">
      <c r="A12" s="25"/>
      <c r="B12" s="46">
        <f t="shared" ref="B12:B26" si="0">B11+1</f>
        <v>3</v>
      </c>
      <c r="C12" s="64" t="s">
        <v>1559</v>
      </c>
      <c r="D12" s="64" t="s">
        <v>1560</v>
      </c>
      <c r="E12" s="68" t="s">
        <v>456</v>
      </c>
      <c r="F12" s="62">
        <v>20</v>
      </c>
      <c r="G12" s="66"/>
      <c r="H12" s="28"/>
      <c r="I12" s="66"/>
    </row>
    <row r="13" spans="1:9" s="24" customFormat="1" ht="15">
      <c r="A13" s="25"/>
      <c r="B13" s="46">
        <f t="shared" si="0"/>
        <v>4</v>
      </c>
      <c r="C13" s="64" t="s">
        <v>1562</v>
      </c>
      <c r="D13" s="64" t="s">
        <v>1563</v>
      </c>
      <c r="E13" s="68" t="s">
        <v>456</v>
      </c>
      <c r="F13" s="62">
        <v>100</v>
      </c>
      <c r="G13" s="66"/>
      <c r="H13" s="66"/>
      <c r="I13" s="66"/>
    </row>
    <row r="14" spans="1:9" s="24" customFormat="1" ht="15">
      <c r="A14" s="25"/>
      <c r="B14" s="46">
        <f t="shared" si="0"/>
        <v>5</v>
      </c>
      <c r="C14" s="64" t="s">
        <v>1564</v>
      </c>
      <c r="D14" s="64" t="s">
        <v>2185</v>
      </c>
      <c r="E14" s="68" t="s">
        <v>456</v>
      </c>
      <c r="F14" s="62">
        <v>1000</v>
      </c>
      <c r="G14" s="66"/>
      <c r="H14" s="66"/>
      <c r="I14" s="66"/>
    </row>
    <row r="15" spans="1:9" s="24" customFormat="1" ht="15">
      <c r="A15" s="25"/>
      <c r="B15" s="46">
        <f t="shared" si="0"/>
        <v>6</v>
      </c>
      <c r="C15" s="64" t="s">
        <v>2186</v>
      </c>
      <c r="D15" s="64" t="s">
        <v>2187</v>
      </c>
      <c r="E15" s="68" t="s">
        <v>285</v>
      </c>
      <c r="F15" s="62">
        <v>500</v>
      </c>
      <c r="G15" s="62"/>
      <c r="H15" s="62"/>
      <c r="I15" s="66"/>
    </row>
    <row r="16" spans="1:9" s="24" customFormat="1" ht="15">
      <c r="A16" s="25"/>
      <c r="B16" s="46">
        <f t="shared" si="0"/>
        <v>7</v>
      </c>
      <c r="C16" s="64" t="s">
        <v>2188</v>
      </c>
      <c r="D16" s="64" t="s">
        <v>2189</v>
      </c>
      <c r="E16" s="68" t="s">
        <v>409</v>
      </c>
      <c r="F16" s="62"/>
      <c r="G16" s="62"/>
      <c r="H16" s="62"/>
      <c r="I16" s="66"/>
    </row>
    <row r="17" spans="1:9" s="24" customFormat="1" ht="45">
      <c r="A17" s="25"/>
      <c r="B17" s="46">
        <f t="shared" si="0"/>
        <v>8</v>
      </c>
      <c r="C17" s="53" t="s">
        <v>1566</v>
      </c>
      <c r="D17" s="50" t="s">
        <v>1567</v>
      </c>
      <c r="E17" s="51" t="s">
        <v>285</v>
      </c>
      <c r="F17" s="51">
        <v>20</v>
      </c>
      <c r="G17" s="52" t="s">
        <v>1569</v>
      </c>
      <c r="H17" s="19"/>
      <c r="I17" s="50"/>
    </row>
    <row r="18" spans="1:9" ht="225">
      <c r="B18" s="46">
        <f t="shared" si="0"/>
        <v>9</v>
      </c>
      <c r="C18" s="26" t="s">
        <v>1577</v>
      </c>
      <c r="D18" s="26" t="s">
        <v>1578</v>
      </c>
      <c r="E18" s="27" t="s">
        <v>285</v>
      </c>
      <c r="F18" s="27">
        <v>20</v>
      </c>
      <c r="G18" s="29" t="s">
        <v>1579</v>
      </c>
      <c r="H18" s="28" t="s">
        <v>1580</v>
      </c>
      <c r="I18" s="26"/>
    </row>
    <row r="19" spans="1:9" ht="15">
      <c r="B19" s="46">
        <f t="shared" si="0"/>
        <v>10</v>
      </c>
      <c r="C19" s="64" t="s">
        <v>1570</v>
      </c>
      <c r="D19" s="64" t="s">
        <v>1571</v>
      </c>
      <c r="E19" s="62" t="s">
        <v>285</v>
      </c>
      <c r="F19" s="62">
        <v>6</v>
      </c>
      <c r="G19" s="52" t="s">
        <v>1572</v>
      </c>
      <c r="H19" s="28" t="s">
        <v>1573</v>
      </c>
      <c r="I19" s="64"/>
    </row>
    <row r="20" spans="1:9" ht="15">
      <c r="B20" s="46">
        <f t="shared" si="0"/>
        <v>11</v>
      </c>
      <c r="C20" s="64" t="s">
        <v>1574</v>
      </c>
      <c r="D20" s="64" t="s">
        <v>1575</v>
      </c>
      <c r="E20" s="62" t="s">
        <v>1576</v>
      </c>
      <c r="F20" s="62" t="s">
        <v>609</v>
      </c>
      <c r="G20" s="52"/>
      <c r="H20" s="66"/>
      <c r="I20" s="64"/>
    </row>
    <row r="21" spans="1:9" ht="15">
      <c r="B21" s="46">
        <f t="shared" si="0"/>
        <v>12</v>
      </c>
      <c r="C21" s="70" t="s">
        <v>2190</v>
      </c>
      <c r="D21" s="71" t="s">
        <v>2191</v>
      </c>
      <c r="E21" s="72" t="s">
        <v>326</v>
      </c>
      <c r="F21" s="72">
        <v>4</v>
      </c>
      <c r="G21" s="29" t="s">
        <v>2192</v>
      </c>
      <c r="H21" s="28"/>
      <c r="I21" s="73"/>
    </row>
    <row r="22" spans="1:9" ht="15">
      <c r="B22" s="46">
        <f t="shared" si="0"/>
        <v>13</v>
      </c>
      <c r="C22" s="70" t="s">
        <v>2193</v>
      </c>
      <c r="D22" s="71" t="s">
        <v>2194</v>
      </c>
      <c r="E22" s="72" t="s">
        <v>326</v>
      </c>
      <c r="F22" s="72">
        <v>4</v>
      </c>
      <c r="G22" s="29" t="s">
        <v>2192</v>
      </c>
      <c r="H22" s="28"/>
      <c r="I22" s="73"/>
    </row>
    <row r="23" spans="1:9" ht="15">
      <c r="B23" s="46">
        <f t="shared" si="0"/>
        <v>14</v>
      </c>
      <c r="C23" s="70" t="s">
        <v>2195</v>
      </c>
      <c r="D23" s="71" t="s">
        <v>2196</v>
      </c>
      <c r="E23" s="72" t="s">
        <v>326</v>
      </c>
      <c r="F23" s="72">
        <v>4</v>
      </c>
      <c r="G23" s="29" t="s">
        <v>2192</v>
      </c>
      <c r="H23" s="28"/>
      <c r="I23" s="73"/>
    </row>
    <row r="24" spans="1:9" ht="15">
      <c r="B24" s="46">
        <f t="shared" si="0"/>
        <v>15</v>
      </c>
      <c r="C24" s="70" t="s">
        <v>2197</v>
      </c>
      <c r="D24" s="71" t="s">
        <v>2198</v>
      </c>
      <c r="E24" s="72" t="s">
        <v>326</v>
      </c>
      <c r="F24" s="72">
        <v>4</v>
      </c>
      <c r="G24" s="29" t="s">
        <v>2199</v>
      </c>
      <c r="H24" s="28"/>
      <c r="I24" s="73"/>
    </row>
    <row r="25" spans="1:9" ht="15">
      <c r="B25" s="46">
        <f t="shared" si="0"/>
        <v>16</v>
      </c>
      <c r="C25" s="64" t="s">
        <v>311</v>
      </c>
      <c r="D25" s="64" t="s">
        <v>312</v>
      </c>
      <c r="E25" s="72" t="s">
        <v>313</v>
      </c>
      <c r="F25" s="72"/>
      <c r="G25" s="29"/>
      <c r="H25" s="66"/>
      <c r="I25" s="66"/>
    </row>
    <row r="26" spans="1:9" ht="15">
      <c r="B26" s="46">
        <f t="shared" si="0"/>
        <v>17</v>
      </c>
      <c r="C26" s="70" t="s">
        <v>324</v>
      </c>
      <c r="D26" s="71" t="s">
        <v>325</v>
      </c>
      <c r="E26" s="72" t="s">
        <v>326</v>
      </c>
      <c r="F26" s="72">
        <v>4</v>
      </c>
      <c r="G26" s="29" t="s">
        <v>327</v>
      </c>
      <c r="H26" s="28" t="s">
        <v>328</v>
      </c>
      <c r="I26" s="73"/>
    </row>
    <row r="27" spans="1:9" ht="15">
      <c r="B27" s="21" t="s">
        <v>2150</v>
      </c>
    </row>
    <row r="28" spans="1:9" ht="15">
      <c r="B28" s="45"/>
    </row>
    <row r="29" spans="1:9" ht="15">
      <c r="B29" s="45"/>
    </row>
  </sheetData>
  <mergeCells count="6">
    <mergeCell ref="B1:E1"/>
    <mergeCell ref="F1:I1"/>
    <mergeCell ref="B2:E2"/>
    <mergeCell ref="F2:I2"/>
    <mergeCell ref="B8:E8"/>
    <mergeCell ref="F8:I8"/>
  </mergeCells>
  <phoneticPr fontId="26" type="noConversion"/>
  <pageMargins left="0.7" right="0.7" top="0.75" bottom="0.75" header="0.3" footer="0.3"/>
  <pageSetup paperSize="9" orientation="portrait" horizontalDpi="0" verticalDpi="0"/>
</worksheet>
</file>

<file path=xl/worksheets/sheet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ACD4E6C-6C4E-4E3D-B5ED-18C92A9DAA0A}">
  <sheetPr codeName="工作表91"/>
  <dimension ref="A1:I15"/>
  <sheetViews>
    <sheetView workbookViewId="0">
      <selection activeCell="A10" sqref="A10:IV10"/>
    </sheetView>
  </sheetViews>
  <sheetFormatPr defaultColWidth="6.625" defaultRowHeight="13.5"/>
  <cols>
    <col min="1" max="1" width="3.125" style="4" bestFit="1" customWidth="1"/>
    <col min="2" max="2" width="5.5" style="8" customWidth="1"/>
    <col min="3" max="3" width="35.5" style="4" customWidth="1"/>
    <col min="4" max="4" width="31.125" style="4" customWidth="1"/>
    <col min="5" max="5" width="14.125" style="4" customWidth="1"/>
    <col min="6" max="6" width="12.625" style="4" customWidth="1"/>
    <col min="7" max="7" width="58" style="4" customWidth="1"/>
    <col min="8" max="8" width="34.125" style="4" customWidth="1"/>
    <col min="9" max="9" width="21.625" style="4" customWidth="1"/>
    <col min="10" max="16384" width="6.625" style="4"/>
  </cols>
  <sheetData>
    <row r="1" spans="1:9" ht="24">
      <c r="A1" s="1" t="e">
        <f ca="1">HYPERLINK("#'介面'!E"&amp;MATCH(VALUE(RIGHT(CELL("filename"),LEN(CELL("filename"))-FIND("]",CELL("filename")))),介面!D:D,"0"),"←")</f>
        <v>#VALUE!</v>
      </c>
      <c r="B1" s="207" t="s">
        <v>236</v>
      </c>
      <c r="C1" s="208"/>
      <c r="D1" s="208"/>
      <c r="E1" s="209"/>
      <c r="F1" s="207" t="s">
        <v>237</v>
      </c>
      <c r="G1" s="208"/>
      <c r="H1" s="208"/>
      <c r="I1" s="208"/>
    </row>
    <row r="2" spans="1:9" ht="24">
      <c r="A2" s="1"/>
      <c r="B2" s="210" t="s">
        <v>275</v>
      </c>
      <c r="C2" s="211"/>
      <c r="D2" s="211"/>
      <c r="E2" s="212"/>
      <c r="F2" s="210"/>
      <c r="G2" s="211"/>
      <c r="H2" s="211"/>
      <c r="I2" s="212"/>
    </row>
    <row r="3" spans="1:9" s="8" customFormat="1" ht="15">
      <c r="A3" s="6"/>
      <c r="B3" s="7" t="s">
        <v>276</v>
      </c>
      <c r="C3" s="56" t="s">
        <v>277</v>
      </c>
      <c r="D3" s="56" t="s">
        <v>278</v>
      </c>
      <c r="E3" s="57" t="s">
        <v>279</v>
      </c>
      <c r="F3" s="57" t="s">
        <v>280</v>
      </c>
      <c r="G3" s="56" t="s">
        <v>281</v>
      </c>
      <c r="H3" s="141" t="s">
        <v>11</v>
      </c>
      <c r="I3" s="56" t="s">
        <v>282</v>
      </c>
    </row>
    <row r="4" spans="1:9" s="24" customFormat="1" ht="15">
      <c r="A4" s="25"/>
      <c r="B4" s="46">
        <v>1</v>
      </c>
      <c r="C4" s="64" t="s">
        <v>1825</v>
      </c>
      <c r="D4" s="64" t="s">
        <v>1826</v>
      </c>
      <c r="E4" s="62" t="s">
        <v>285</v>
      </c>
      <c r="F4" s="62">
        <v>50</v>
      </c>
      <c r="G4" s="66" t="s">
        <v>330</v>
      </c>
      <c r="H4" s="142" t="s">
        <v>302</v>
      </c>
      <c r="I4" s="64" t="s">
        <v>287</v>
      </c>
    </row>
    <row r="5" spans="1:9" s="24" customFormat="1" ht="15">
      <c r="A5" s="25"/>
      <c r="B5" s="46">
        <v>2</v>
      </c>
      <c r="C5" s="50" t="s">
        <v>303</v>
      </c>
      <c r="D5" s="50" t="s">
        <v>304</v>
      </c>
      <c r="E5" s="51" t="s">
        <v>452</v>
      </c>
      <c r="F5" s="51">
        <v>20</v>
      </c>
      <c r="G5" s="66" t="s">
        <v>331</v>
      </c>
      <c r="H5" s="142"/>
      <c r="I5" s="50" t="s">
        <v>287</v>
      </c>
    </row>
    <row r="6" spans="1:9" s="95" customFormat="1" ht="15.75">
      <c r="A6" s="93"/>
      <c r="B6" s="46">
        <v>3</v>
      </c>
      <c r="C6" s="26" t="s">
        <v>2311</v>
      </c>
      <c r="D6" s="26" t="s">
        <v>2312</v>
      </c>
      <c r="E6" s="27" t="s">
        <v>285</v>
      </c>
      <c r="F6" s="27">
        <v>50</v>
      </c>
      <c r="G6" s="171" t="s">
        <v>2313</v>
      </c>
      <c r="H6" s="27"/>
      <c r="I6" s="26" t="s">
        <v>287</v>
      </c>
    </row>
    <row r="7" spans="1:9" s="24" customFormat="1" ht="48" customHeight="1">
      <c r="B7" s="46">
        <v>4</v>
      </c>
      <c r="C7" s="80" t="s">
        <v>2319</v>
      </c>
      <c r="D7" s="132" t="s">
        <v>2320</v>
      </c>
      <c r="E7" s="87" t="s">
        <v>979</v>
      </c>
      <c r="F7" s="81"/>
      <c r="G7" s="85" t="s">
        <v>2321</v>
      </c>
      <c r="H7" s="142"/>
      <c r="I7" s="80" t="s">
        <v>287</v>
      </c>
    </row>
    <row r="8" spans="1:9" s="24" customFormat="1" ht="48" customHeight="1">
      <c r="B8" s="46">
        <v>5</v>
      </c>
      <c r="C8" s="80" t="s">
        <v>1615</v>
      </c>
      <c r="D8" s="132" t="s">
        <v>1616</v>
      </c>
      <c r="E8" s="87" t="s">
        <v>979</v>
      </c>
      <c r="F8" s="81"/>
      <c r="G8" s="85" t="s">
        <v>2277</v>
      </c>
      <c r="H8" s="142"/>
      <c r="I8" s="80" t="s">
        <v>639</v>
      </c>
    </row>
    <row r="9" spans="1:9" s="24" customFormat="1" ht="15.75">
      <c r="A9" s="25"/>
      <c r="B9" s="46">
        <v>6</v>
      </c>
      <c r="C9" s="50" t="s">
        <v>1621</v>
      </c>
      <c r="D9" s="50" t="s">
        <v>1622</v>
      </c>
      <c r="E9" s="51" t="s">
        <v>285</v>
      </c>
      <c r="F9" s="51">
        <v>50</v>
      </c>
      <c r="G9" s="89" t="s">
        <v>2282</v>
      </c>
      <c r="H9" s="142"/>
      <c r="I9" s="50" t="s">
        <v>287</v>
      </c>
    </row>
    <row r="10" spans="1:9" ht="15.75">
      <c r="A10" s="1"/>
      <c r="B10" s="2"/>
      <c r="C10" s="3"/>
      <c r="D10" s="3"/>
      <c r="E10" s="3"/>
      <c r="F10" s="3"/>
      <c r="G10" s="3"/>
      <c r="H10" s="3"/>
      <c r="I10" s="3"/>
    </row>
    <row r="11" spans="1:9" ht="24">
      <c r="A11" s="1"/>
      <c r="B11" s="204" t="s">
        <v>291</v>
      </c>
      <c r="C11" s="205"/>
      <c r="D11" s="205"/>
      <c r="E11" s="206"/>
      <c r="F11" s="204"/>
      <c r="G11" s="205"/>
      <c r="H11" s="205"/>
      <c r="I11" s="206"/>
    </row>
    <row r="12" spans="1:9" s="8" customFormat="1" ht="15">
      <c r="A12" s="6"/>
      <c r="B12" s="7" t="s">
        <v>276</v>
      </c>
      <c r="C12" s="56" t="s">
        <v>277</v>
      </c>
      <c r="D12" s="56" t="s">
        <v>278</v>
      </c>
      <c r="E12" s="57" t="s">
        <v>279</v>
      </c>
      <c r="F12" s="57" t="s">
        <v>280</v>
      </c>
      <c r="G12" s="56" t="s">
        <v>11</v>
      </c>
      <c r="H12" s="56" t="s">
        <v>292</v>
      </c>
      <c r="I12" s="56" t="s">
        <v>293</v>
      </c>
    </row>
    <row r="13" spans="1:9" s="24" customFormat="1" ht="15.75">
      <c r="A13" s="25"/>
      <c r="B13" s="46">
        <v>1</v>
      </c>
      <c r="C13" s="86" t="s">
        <v>1834</v>
      </c>
      <c r="D13" s="86" t="s">
        <v>1835</v>
      </c>
      <c r="E13" s="87"/>
      <c r="F13" s="87"/>
      <c r="G13" s="85" t="s">
        <v>1836</v>
      </c>
      <c r="H13" s="28"/>
      <c r="I13" s="86"/>
    </row>
    <row r="14" spans="1:9" s="24" customFormat="1" ht="15.75">
      <c r="A14" s="25"/>
      <c r="B14" s="46">
        <v>2</v>
      </c>
      <c r="C14" s="86" t="s">
        <v>1837</v>
      </c>
      <c r="D14" s="86" t="s">
        <v>1838</v>
      </c>
      <c r="E14" s="87"/>
      <c r="F14" s="87"/>
      <c r="G14" s="85" t="s">
        <v>1836</v>
      </c>
      <c r="H14" s="28"/>
      <c r="I14" s="86"/>
    </row>
    <row r="15" spans="1:9" ht="15">
      <c r="B15" s="45"/>
    </row>
  </sheetData>
  <mergeCells count="6">
    <mergeCell ref="B1:E1"/>
    <mergeCell ref="F1:I1"/>
    <mergeCell ref="B2:E2"/>
    <mergeCell ref="F2:I2"/>
    <mergeCell ref="B11:E11"/>
    <mergeCell ref="F11:I11"/>
  </mergeCells>
  <phoneticPr fontId="5" type="noConversion"/>
  <pageMargins left="0.7" right="0.7" top="0.75" bottom="0.75" header="0.3" footer="0.3"/>
  <pageSetup paperSize="9" orientation="portrait" horizontalDpi="0" verticalDpi="0"/>
</worksheet>
</file>

<file path=xl/worksheets/sheet1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46024EA-1CDB-4FFE-A82B-33C5D817E42B}">
  <sheetPr codeName="工作表92"/>
  <dimension ref="A1:I13"/>
  <sheetViews>
    <sheetView workbookViewId="0"/>
  </sheetViews>
  <sheetFormatPr defaultColWidth="6.625" defaultRowHeight="13.5"/>
  <cols>
    <col min="1" max="1" width="3.125" style="4" bestFit="1" customWidth="1"/>
    <col min="2" max="2" width="5.5" style="8" customWidth="1"/>
    <col min="3" max="3" width="35.5" style="4" customWidth="1"/>
    <col min="4" max="4" width="31.125" style="4" customWidth="1"/>
    <col min="5" max="5" width="14.125" style="4" customWidth="1"/>
    <col min="6" max="6" width="12.625" style="4" customWidth="1"/>
    <col min="7" max="7" width="58" style="4" customWidth="1"/>
    <col min="8" max="8" width="34.125" style="4" customWidth="1"/>
    <col min="9" max="9" width="21.625" style="4" customWidth="1"/>
    <col min="10" max="16384" width="6.625" style="4"/>
  </cols>
  <sheetData>
    <row r="1" spans="1:9" ht="24">
      <c r="A1" s="1" t="e">
        <f ca="1">HYPERLINK("#'介面'!E"&amp;MATCH(VALUE(RIGHT(CELL("filename"),LEN(CELL("filename"))-FIND("]",CELL("filename")))),介面!D:D,"0"),"←")</f>
        <v>#VALUE!</v>
      </c>
      <c r="B1" s="207" t="s">
        <v>238</v>
      </c>
      <c r="C1" s="208"/>
      <c r="D1" s="208"/>
      <c r="E1" s="209"/>
      <c r="F1" s="207" t="s">
        <v>239</v>
      </c>
      <c r="G1" s="208"/>
      <c r="H1" s="208"/>
      <c r="I1" s="208"/>
    </row>
    <row r="2" spans="1:9" ht="24">
      <c r="A2" s="1"/>
      <c r="B2" s="210" t="s">
        <v>275</v>
      </c>
      <c r="C2" s="211"/>
      <c r="D2" s="211"/>
      <c r="E2" s="212"/>
      <c r="F2" s="210"/>
      <c r="G2" s="211"/>
      <c r="H2" s="211"/>
      <c r="I2" s="212"/>
    </row>
    <row r="3" spans="1:9" s="8" customFormat="1" ht="15">
      <c r="A3" s="6"/>
      <c r="B3" s="7" t="s">
        <v>276</v>
      </c>
      <c r="C3" s="56" t="s">
        <v>277</v>
      </c>
      <c r="D3" s="56" t="s">
        <v>278</v>
      </c>
      <c r="E3" s="57" t="s">
        <v>279</v>
      </c>
      <c r="F3" s="57" t="s">
        <v>280</v>
      </c>
      <c r="G3" s="56" t="s">
        <v>281</v>
      </c>
      <c r="H3" s="141" t="s">
        <v>11</v>
      </c>
      <c r="I3" s="56" t="s">
        <v>282</v>
      </c>
    </row>
    <row r="4" spans="1:9" s="24" customFormat="1" ht="15">
      <c r="A4" s="25"/>
      <c r="B4" s="46">
        <v>1</v>
      </c>
      <c r="C4" s="64" t="s">
        <v>1825</v>
      </c>
      <c r="D4" s="64" t="s">
        <v>1826</v>
      </c>
      <c r="E4" s="62" t="s">
        <v>285</v>
      </c>
      <c r="F4" s="62">
        <v>50</v>
      </c>
      <c r="G4" s="66" t="s">
        <v>330</v>
      </c>
      <c r="H4" s="142" t="s">
        <v>302</v>
      </c>
      <c r="I4" s="64" t="s">
        <v>287</v>
      </c>
    </row>
    <row r="5" spans="1:9" s="24" customFormat="1" ht="15">
      <c r="A5" s="25"/>
      <c r="B5" s="46">
        <v>2</v>
      </c>
      <c r="C5" s="50" t="s">
        <v>303</v>
      </c>
      <c r="D5" s="50" t="s">
        <v>304</v>
      </c>
      <c r="E5" s="51" t="s">
        <v>452</v>
      </c>
      <c r="F5" s="51">
        <v>20</v>
      </c>
      <c r="G5" s="66" t="s">
        <v>331</v>
      </c>
      <c r="H5" s="142"/>
      <c r="I5" s="50" t="s">
        <v>287</v>
      </c>
    </row>
    <row r="6" spans="1:9" s="95" customFormat="1" ht="15.75">
      <c r="A6" s="93"/>
      <c r="B6" s="46">
        <v>3</v>
      </c>
      <c r="C6" s="26" t="s">
        <v>2311</v>
      </c>
      <c r="D6" s="26" t="s">
        <v>2312</v>
      </c>
      <c r="E6" s="27" t="s">
        <v>285</v>
      </c>
      <c r="F6" s="27">
        <v>50</v>
      </c>
      <c r="G6" s="171" t="s">
        <v>2317</v>
      </c>
      <c r="H6" s="27"/>
      <c r="I6" s="26" t="s">
        <v>287</v>
      </c>
    </row>
    <row r="7" spans="1:9" s="24" customFormat="1" ht="15.75">
      <c r="A7" s="25"/>
      <c r="B7" s="46">
        <v>4</v>
      </c>
      <c r="C7" s="50" t="s">
        <v>1621</v>
      </c>
      <c r="D7" s="50" t="s">
        <v>1622</v>
      </c>
      <c r="E7" s="51" t="s">
        <v>285</v>
      </c>
      <c r="F7" s="51">
        <v>50</v>
      </c>
      <c r="G7" s="89" t="s">
        <v>2282</v>
      </c>
      <c r="H7" s="142"/>
      <c r="I7" s="50" t="s">
        <v>287</v>
      </c>
    </row>
    <row r="8" spans="1:9" ht="15.75">
      <c r="A8" s="1"/>
      <c r="B8" s="2"/>
      <c r="C8" s="3"/>
      <c r="D8" s="3"/>
      <c r="E8" s="3"/>
      <c r="F8" s="3"/>
      <c r="G8" s="3"/>
      <c r="H8" s="3"/>
      <c r="I8" s="3"/>
    </row>
    <row r="9" spans="1:9" ht="24">
      <c r="A9" s="1"/>
      <c r="B9" s="204" t="s">
        <v>291</v>
      </c>
      <c r="C9" s="205"/>
      <c r="D9" s="205"/>
      <c r="E9" s="206"/>
      <c r="F9" s="204"/>
      <c r="G9" s="205"/>
      <c r="H9" s="205"/>
      <c r="I9" s="206"/>
    </row>
    <row r="10" spans="1:9" s="8" customFormat="1" ht="15">
      <c r="A10" s="6"/>
      <c r="B10" s="7" t="s">
        <v>276</v>
      </c>
      <c r="C10" s="56" t="s">
        <v>277</v>
      </c>
      <c r="D10" s="56" t="s">
        <v>278</v>
      </c>
      <c r="E10" s="57" t="s">
        <v>279</v>
      </c>
      <c r="F10" s="57" t="s">
        <v>280</v>
      </c>
      <c r="G10" s="56" t="s">
        <v>11</v>
      </c>
      <c r="H10" s="56" t="s">
        <v>292</v>
      </c>
      <c r="I10" s="56" t="s">
        <v>293</v>
      </c>
    </row>
    <row r="11" spans="1:9" s="24" customFormat="1" ht="15.75">
      <c r="A11" s="25"/>
      <c r="B11" s="46">
        <v>1</v>
      </c>
      <c r="C11" s="86" t="s">
        <v>1834</v>
      </c>
      <c r="D11" s="86" t="s">
        <v>1835</v>
      </c>
      <c r="E11" s="87"/>
      <c r="F11" s="87"/>
      <c r="G11" s="85" t="s">
        <v>1836</v>
      </c>
      <c r="H11" s="28"/>
      <c r="I11" s="86"/>
    </row>
    <row r="12" spans="1:9" s="24" customFormat="1" ht="15.75">
      <c r="A12" s="25"/>
      <c r="B12" s="46">
        <v>2</v>
      </c>
      <c r="C12" s="86" t="s">
        <v>1837</v>
      </c>
      <c r="D12" s="86" t="s">
        <v>1838</v>
      </c>
      <c r="E12" s="87"/>
      <c r="F12" s="87"/>
      <c r="G12" s="85" t="s">
        <v>1836</v>
      </c>
      <c r="H12" s="28"/>
      <c r="I12" s="86"/>
    </row>
    <row r="13" spans="1:9" ht="15">
      <c r="B13" s="45"/>
    </row>
  </sheetData>
  <mergeCells count="6">
    <mergeCell ref="B1:E1"/>
    <mergeCell ref="F1:I1"/>
    <mergeCell ref="B2:E2"/>
    <mergeCell ref="F2:I2"/>
    <mergeCell ref="B9:E9"/>
    <mergeCell ref="F9:I9"/>
  </mergeCells>
  <phoneticPr fontId="5" type="noConversion"/>
  <pageMargins left="0.7" right="0.7" top="0.75" bottom="0.75" header="0.3" footer="0.3"/>
  <pageSetup paperSize="9" orientation="portrait" horizontalDpi="0" verticalDpi="0"/>
</worksheet>
</file>

<file path=xl/worksheets/sheet1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A6D6C27-045A-4922-AD08-86D96C8703CB}">
  <sheetPr codeName="工作表93"/>
  <dimension ref="A1:I13"/>
  <sheetViews>
    <sheetView workbookViewId="0"/>
  </sheetViews>
  <sheetFormatPr defaultColWidth="6.625" defaultRowHeight="13.5"/>
  <cols>
    <col min="1" max="1" width="3.125" style="4" bestFit="1" customWidth="1"/>
    <col min="2" max="2" width="5.5" style="8" customWidth="1"/>
    <col min="3" max="3" width="35.5" style="4" customWidth="1"/>
    <col min="4" max="4" width="31.125" style="4" customWidth="1"/>
    <col min="5" max="5" width="14.125" style="4" customWidth="1"/>
    <col min="6" max="6" width="12.625" style="4" customWidth="1"/>
    <col min="7" max="7" width="58" style="4" customWidth="1"/>
    <col min="8" max="8" width="34.125" style="4" customWidth="1"/>
    <col min="9" max="9" width="21.625" style="4" customWidth="1"/>
    <col min="10" max="16384" width="6.625" style="4"/>
  </cols>
  <sheetData>
    <row r="1" spans="1:9" ht="24">
      <c r="A1" s="1" t="e">
        <f ca="1">HYPERLINK("#'介面'!E"&amp;MATCH(VALUE(RIGHT(CELL("filename"),LEN(CELL("filename"))-FIND("]",CELL("filename")))),介面!D:D,"0"),"←")</f>
        <v>#VALUE!</v>
      </c>
      <c r="B1" s="207" t="s">
        <v>240</v>
      </c>
      <c r="C1" s="208"/>
      <c r="D1" s="208"/>
      <c r="E1" s="209"/>
      <c r="F1" s="207" t="s">
        <v>241</v>
      </c>
      <c r="G1" s="208"/>
      <c r="H1" s="208"/>
      <c r="I1" s="208"/>
    </row>
    <row r="2" spans="1:9" ht="24">
      <c r="A2" s="1"/>
      <c r="B2" s="210" t="s">
        <v>275</v>
      </c>
      <c r="C2" s="211"/>
      <c r="D2" s="211"/>
      <c r="E2" s="212"/>
      <c r="F2" s="210"/>
      <c r="G2" s="211"/>
      <c r="H2" s="211"/>
      <c r="I2" s="212"/>
    </row>
    <row r="3" spans="1:9" s="8" customFormat="1" ht="15">
      <c r="A3" s="6"/>
      <c r="B3" s="7" t="s">
        <v>276</v>
      </c>
      <c r="C3" s="56" t="s">
        <v>277</v>
      </c>
      <c r="D3" s="56" t="s">
        <v>278</v>
      </c>
      <c r="E3" s="57" t="s">
        <v>279</v>
      </c>
      <c r="F3" s="57" t="s">
        <v>280</v>
      </c>
      <c r="G3" s="56" t="s">
        <v>281</v>
      </c>
      <c r="H3" s="141" t="s">
        <v>11</v>
      </c>
      <c r="I3" s="56" t="s">
        <v>282</v>
      </c>
    </row>
    <row r="4" spans="1:9" s="24" customFormat="1" ht="15">
      <c r="A4" s="25"/>
      <c r="B4" s="46">
        <v>1</v>
      </c>
      <c r="C4" s="64" t="s">
        <v>1825</v>
      </c>
      <c r="D4" s="64" t="s">
        <v>1826</v>
      </c>
      <c r="E4" s="62" t="s">
        <v>285</v>
      </c>
      <c r="F4" s="62">
        <v>50</v>
      </c>
      <c r="G4" s="66" t="s">
        <v>330</v>
      </c>
      <c r="H4" s="142" t="s">
        <v>302</v>
      </c>
      <c r="I4" s="64" t="s">
        <v>287</v>
      </c>
    </row>
    <row r="5" spans="1:9" s="24" customFormat="1" ht="15">
      <c r="A5" s="25"/>
      <c r="B5" s="46">
        <v>2</v>
      </c>
      <c r="C5" s="50" t="s">
        <v>303</v>
      </c>
      <c r="D5" s="50" t="s">
        <v>304</v>
      </c>
      <c r="E5" s="51" t="s">
        <v>452</v>
      </c>
      <c r="F5" s="51">
        <v>20</v>
      </c>
      <c r="G5" s="66" t="s">
        <v>331</v>
      </c>
      <c r="H5" s="142"/>
      <c r="I5" s="50" t="s">
        <v>287</v>
      </c>
    </row>
    <row r="6" spans="1:9" s="95" customFormat="1" ht="15.75">
      <c r="A6" s="93"/>
      <c r="B6" s="46">
        <v>3</v>
      </c>
      <c r="C6" s="26" t="s">
        <v>2311</v>
      </c>
      <c r="D6" s="26" t="s">
        <v>2312</v>
      </c>
      <c r="E6" s="27" t="s">
        <v>285</v>
      </c>
      <c r="F6" s="27">
        <v>50</v>
      </c>
      <c r="G6" s="171" t="s">
        <v>2318</v>
      </c>
      <c r="H6" s="27"/>
      <c r="I6" s="26" t="s">
        <v>287</v>
      </c>
    </row>
    <row r="7" spans="1:9" s="24" customFormat="1" ht="15.75">
      <c r="A7" s="25"/>
      <c r="B7" s="46">
        <v>6</v>
      </c>
      <c r="C7" s="50" t="s">
        <v>1621</v>
      </c>
      <c r="D7" s="50" t="s">
        <v>1622</v>
      </c>
      <c r="E7" s="51" t="s">
        <v>285</v>
      </c>
      <c r="F7" s="51">
        <v>50</v>
      </c>
      <c r="G7" s="89" t="s">
        <v>2282</v>
      </c>
      <c r="H7" s="142"/>
      <c r="I7" s="50" t="s">
        <v>287</v>
      </c>
    </row>
    <row r="8" spans="1:9" ht="15.75">
      <c r="A8" s="1"/>
      <c r="B8" s="2"/>
      <c r="C8" s="3"/>
      <c r="D8" s="3"/>
      <c r="E8" s="3"/>
      <c r="F8" s="3"/>
      <c r="G8" s="3"/>
      <c r="H8" s="3"/>
      <c r="I8" s="3"/>
    </row>
    <row r="9" spans="1:9" ht="24">
      <c r="A9" s="1"/>
      <c r="B9" s="204" t="s">
        <v>291</v>
      </c>
      <c r="C9" s="205"/>
      <c r="D9" s="205"/>
      <c r="E9" s="206"/>
      <c r="F9" s="204"/>
      <c r="G9" s="205"/>
      <c r="H9" s="205"/>
      <c r="I9" s="206"/>
    </row>
    <row r="10" spans="1:9" s="8" customFormat="1" ht="15">
      <c r="A10" s="6"/>
      <c r="B10" s="7" t="s">
        <v>276</v>
      </c>
      <c r="C10" s="56" t="s">
        <v>277</v>
      </c>
      <c r="D10" s="56" t="s">
        <v>278</v>
      </c>
      <c r="E10" s="57" t="s">
        <v>279</v>
      </c>
      <c r="F10" s="57" t="s">
        <v>280</v>
      </c>
      <c r="G10" s="56" t="s">
        <v>11</v>
      </c>
      <c r="H10" s="56" t="s">
        <v>292</v>
      </c>
      <c r="I10" s="56" t="s">
        <v>293</v>
      </c>
    </row>
    <row r="11" spans="1:9" s="24" customFormat="1" ht="15.75">
      <c r="A11" s="25"/>
      <c r="B11" s="46">
        <v>1</v>
      </c>
      <c r="C11" s="86" t="s">
        <v>1834</v>
      </c>
      <c r="D11" s="86" t="s">
        <v>1835</v>
      </c>
      <c r="E11" s="87"/>
      <c r="F11" s="87"/>
      <c r="G11" s="85" t="s">
        <v>1836</v>
      </c>
      <c r="H11" s="28"/>
      <c r="I11" s="86"/>
    </row>
    <row r="12" spans="1:9" s="24" customFormat="1" ht="15.75">
      <c r="A12" s="25"/>
      <c r="B12" s="46">
        <v>2</v>
      </c>
      <c r="C12" s="86" t="s">
        <v>1837</v>
      </c>
      <c r="D12" s="86" t="s">
        <v>1838</v>
      </c>
      <c r="E12" s="87"/>
      <c r="F12" s="87"/>
      <c r="G12" s="85" t="s">
        <v>1836</v>
      </c>
      <c r="H12" s="28"/>
      <c r="I12" s="86"/>
    </row>
    <row r="13" spans="1:9" ht="15">
      <c r="B13" s="45"/>
    </row>
  </sheetData>
  <mergeCells count="6">
    <mergeCell ref="B1:E1"/>
    <mergeCell ref="F1:I1"/>
    <mergeCell ref="B2:E2"/>
    <mergeCell ref="F2:I2"/>
    <mergeCell ref="B9:E9"/>
    <mergeCell ref="F9:I9"/>
  </mergeCells>
  <phoneticPr fontId="5" type="noConversion"/>
  <pageMargins left="0.7" right="0.7" top="0.75" bottom="0.75" header="0.3" footer="0.3"/>
  <pageSetup paperSize="9" orientation="portrait" horizontalDpi="0" verticalDpi="0"/>
</worksheet>
</file>

<file path=xl/worksheets/sheet1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4E28E5D-FF3C-41FC-8350-D90F016D0560}">
  <sheetPr codeName="工作表98"/>
  <dimension ref="A1:I37"/>
  <sheetViews>
    <sheetView workbookViewId="0"/>
  </sheetViews>
  <sheetFormatPr defaultColWidth="6.625" defaultRowHeight="13.5"/>
  <cols>
    <col min="1" max="1" width="3.125" style="4" bestFit="1" customWidth="1"/>
    <col min="2" max="2" width="5.5" style="8" customWidth="1"/>
    <col min="3" max="3" width="26.5" style="4" customWidth="1"/>
    <col min="4" max="4" width="30.125" style="4" customWidth="1"/>
    <col min="5" max="5" width="11.125" style="4" bestFit="1" customWidth="1"/>
    <col min="6" max="6" width="10.375" style="4" customWidth="1"/>
    <col min="7" max="7" width="50.625" style="4" customWidth="1"/>
    <col min="8" max="8" width="45.625" style="4" customWidth="1"/>
    <col min="9" max="9" width="30.125" style="4" customWidth="1"/>
    <col min="10" max="16384" width="6.625" style="4"/>
  </cols>
  <sheetData>
    <row r="1" spans="1:9" ht="24">
      <c r="A1" s="1" t="e">
        <f ca="1">HYPERLINK("#'介面'!E"&amp;MATCH(VALUE(RIGHT(CELL("filename"),LEN(CELL("filename"))-FIND("]",CELL("filename")))),介面!D:D,"0"),"←")</f>
        <v>#VALUE!</v>
      </c>
      <c r="B1" s="207" t="s">
        <v>2322</v>
      </c>
      <c r="C1" s="208"/>
      <c r="D1" s="208"/>
      <c r="E1" s="209"/>
      <c r="F1" s="207" t="s">
        <v>2323</v>
      </c>
      <c r="G1" s="208"/>
      <c r="H1" s="208"/>
      <c r="I1" s="208"/>
    </row>
    <row r="2" spans="1:9" ht="24">
      <c r="A2" s="1"/>
      <c r="B2" s="210" t="s">
        <v>275</v>
      </c>
      <c r="C2" s="211"/>
      <c r="D2" s="211"/>
      <c r="E2" s="212"/>
      <c r="F2" s="210"/>
      <c r="G2" s="211"/>
      <c r="H2" s="211"/>
      <c r="I2" s="212"/>
    </row>
    <row r="3" spans="1:9" s="8" customFormat="1" ht="15">
      <c r="A3" s="6"/>
      <c r="B3" s="7" t="s">
        <v>276</v>
      </c>
      <c r="C3" s="56" t="s">
        <v>277</v>
      </c>
      <c r="D3" s="56" t="s">
        <v>278</v>
      </c>
      <c r="E3" s="57" t="s">
        <v>279</v>
      </c>
      <c r="F3" s="57" t="s">
        <v>280</v>
      </c>
      <c r="G3" s="56" t="s">
        <v>281</v>
      </c>
      <c r="H3" s="141" t="s">
        <v>11</v>
      </c>
      <c r="I3" s="56" t="s">
        <v>282</v>
      </c>
    </row>
    <row r="4" spans="1:9" s="24" customFormat="1" ht="15.75">
      <c r="A4" s="25"/>
      <c r="B4" s="46">
        <v>1</v>
      </c>
      <c r="C4" s="80" t="s">
        <v>297</v>
      </c>
      <c r="D4" s="80" t="s">
        <v>298</v>
      </c>
      <c r="E4" s="81" t="s">
        <v>285</v>
      </c>
      <c r="F4" s="81">
        <v>500</v>
      </c>
      <c r="G4" s="66" t="s">
        <v>330</v>
      </c>
      <c r="H4" s="142" t="s">
        <v>302</v>
      </c>
      <c r="I4" s="66" t="s">
        <v>287</v>
      </c>
    </row>
    <row r="5" spans="1:9" s="24" customFormat="1" ht="15">
      <c r="A5" s="25"/>
      <c r="B5" s="46">
        <v>2</v>
      </c>
      <c r="C5" s="50" t="s">
        <v>303</v>
      </c>
      <c r="D5" s="50" t="s">
        <v>304</v>
      </c>
      <c r="E5" s="51" t="s">
        <v>452</v>
      </c>
      <c r="F5" s="51">
        <v>20</v>
      </c>
      <c r="G5" s="66" t="s">
        <v>331</v>
      </c>
      <c r="H5" s="142"/>
      <c r="I5" s="66" t="s">
        <v>287</v>
      </c>
    </row>
    <row r="6" spans="1:9" s="95" customFormat="1" ht="15.75">
      <c r="A6" s="93"/>
      <c r="B6" s="46">
        <v>3</v>
      </c>
      <c r="C6" s="64" t="s">
        <v>637</v>
      </c>
      <c r="D6" s="64" t="s">
        <v>364</v>
      </c>
      <c r="E6" s="51" t="s">
        <v>452</v>
      </c>
      <c r="F6" s="51">
        <v>20</v>
      </c>
      <c r="G6" s="91" t="s">
        <v>331</v>
      </c>
      <c r="H6" s="142"/>
      <c r="I6" s="66" t="s">
        <v>287</v>
      </c>
    </row>
    <row r="7" spans="1:9" s="24" customFormat="1" ht="15.75">
      <c r="A7" s="25"/>
      <c r="B7" s="46">
        <v>4</v>
      </c>
      <c r="C7" s="80" t="s">
        <v>1673</v>
      </c>
      <c r="D7" s="80" t="s">
        <v>1674</v>
      </c>
      <c r="E7" s="81" t="s">
        <v>316</v>
      </c>
      <c r="F7" s="81"/>
      <c r="G7" s="91" t="s">
        <v>985</v>
      </c>
      <c r="H7" s="142"/>
      <c r="I7" s="66" t="s">
        <v>287</v>
      </c>
    </row>
    <row r="8" spans="1:9" s="24" customFormat="1" ht="15">
      <c r="A8" s="25"/>
      <c r="B8" s="152"/>
      <c r="C8" s="153"/>
      <c r="D8" s="154"/>
      <c r="E8" s="155"/>
      <c r="F8" s="156"/>
      <c r="G8" s="151"/>
      <c r="H8" s="151"/>
      <c r="I8" s="158"/>
    </row>
    <row r="9" spans="1:9" ht="24">
      <c r="A9" s="1"/>
      <c r="B9" s="227" t="s">
        <v>291</v>
      </c>
      <c r="C9" s="228"/>
      <c r="D9" s="228"/>
      <c r="E9" s="229"/>
      <c r="F9" s="227"/>
      <c r="G9" s="228"/>
      <c r="H9" s="228"/>
      <c r="I9" s="229"/>
    </row>
    <row r="10" spans="1:9" s="8" customFormat="1" ht="15">
      <c r="A10" s="6"/>
      <c r="B10" s="7" t="s">
        <v>276</v>
      </c>
      <c r="C10" s="56" t="s">
        <v>277</v>
      </c>
      <c r="D10" s="56" t="s">
        <v>278</v>
      </c>
      <c r="E10" s="57" t="s">
        <v>279</v>
      </c>
      <c r="F10" s="57" t="s">
        <v>280</v>
      </c>
      <c r="G10" s="56" t="s">
        <v>11</v>
      </c>
      <c r="H10" s="56" t="s">
        <v>292</v>
      </c>
      <c r="I10" s="56" t="s">
        <v>293</v>
      </c>
    </row>
    <row r="11" spans="1:9" ht="15">
      <c r="A11" s="5"/>
      <c r="B11" s="46">
        <v>1</v>
      </c>
      <c r="C11" s="50" t="s">
        <v>2324</v>
      </c>
      <c r="D11" s="50" t="s">
        <v>2325</v>
      </c>
      <c r="E11" s="51" t="s">
        <v>1576</v>
      </c>
      <c r="F11" s="51" t="s">
        <v>609</v>
      </c>
      <c r="G11" s="52"/>
      <c r="H11" s="19"/>
      <c r="I11" s="19"/>
    </row>
    <row r="12" spans="1:9" ht="16.5" customHeight="1"/>
    <row r="13" spans="1:9" ht="16.5" customHeight="1"/>
    <row r="14" spans="1:9" ht="16.5" customHeight="1"/>
    <row r="15" spans="1:9" ht="16.5" customHeight="1"/>
    <row r="16" spans="1:9" ht="16.5" customHeight="1"/>
    <row r="17" ht="16.5" customHeight="1"/>
    <row r="18" ht="16.5" customHeight="1"/>
    <row r="19" ht="16.5" customHeight="1"/>
    <row r="20" ht="16.5" customHeight="1"/>
    <row r="21" ht="16.5" customHeight="1"/>
    <row r="22" ht="16.5" customHeight="1"/>
    <row r="23" ht="16.5" customHeight="1"/>
    <row r="24" ht="16.5" customHeight="1"/>
    <row r="25" ht="16.5" customHeight="1"/>
    <row r="26" ht="16.5" customHeight="1"/>
    <row r="27" ht="16.5" customHeight="1"/>
    <row r="28" ht="16.5" customHeight="1"/>
    <row r="29" ht="16.5" customHeight="1"/>
    <row r="30" ht="16.5" customHeight="1"/>
    <row r="31" ht="16.5" customHeight="1"/>
    <row r="32" ht="16.5" customHeight="1"/>
    <row r="33" ht="16.5" customHeight="1"/>
    <row r="34" ht="16.5" customHeight="1"/>
    <row r="35" ht="16.5" customHeight="1"/>
    <row r="36" ht="16.5" customHeight="1"/>
    <row r="37" ht="16.5" customHeight="1"/>
  </sheetData>
  <mergeCells count="6">
    <mergeCell ref="B1:E1"/>
    <mergeCell ref="F1:I1"/>
    <mergeCell ref="B2:E2"/>
    <mergeCell ref="F2:I2"/>
    <mergeCell ref="B9:E9"/>
    <mergeCell ref="F9:I9"/>
  </mergeCells>
  <phoneticPr fontId="5" type="noConversion"/>
  <pageMargins left="0.7" right="0.7" top="0.75" bottom="0.75" header="0.3" footer="0.3"/>
  <pageSetup paperSize="9" orientation="portrait" horizontalDpi="0" verticalDpi="0"/>
</worksheet>
</file>

<file path=xl/worksheets/sheet1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CDC86F7-253B-4E4D-A31C-B215A6D9D8BB}">
  <sheetPr codeName="工作表96"/>
  <dimension ref="A1:I20"/>
  <sheetViews>
    <sheetView topLeftCell="A11" workbookViewId="0">
      <selection activeCell="H8" sqref="H8"/>
    </sheetView>
  </sheetViews>
  <sheetFormatPr defaultColWidth="6.625" defaultRowHeight="13.5"/>
  <cols>
    <col min="1" max="1" width="3.125" style="4" bestFit="1" customWidth="1"/>
    <col min="2" max="2" width="5.5" style="8" customWidth="1"/>
    <col min="3" max="3" width="35.5" style="4" customWidth="1"/>
    <col min="4" max="4" width="31.125" style="4" customWidth="1"/>
    <col min="5" max="5" width="11.125" style="4" bestFit="1" customWidth="1"/>
    <col min="6" max="6" width="12.625" style="4" customWidth="1"/>
    <col min="7" max="7" width="58" style="4" customWidth="1"/>
    <col min="8" max="8" width="34.125" style="4" customWidth="1"/>
    <col min="9" max="9" width="21.625" style="4" customWidth="1"/>
    <col min="10" max="16384" width="6.625" style="4"/>
  </cols>
  <sheetData>
    <row r="1" spans="1:9" ht="24">
      <c r="A1" s="1" t="e">
        <f ca="1">HYPERLINK("#'介面'!E"&amp;MATCH(VALUE(RIGHT(CELL("filename"),LEN(CELL("filename"))-FIND("]",CELL("filename")))),介面!D:D,"0"),"←")</f>
        <v>#VALUE!</v>
      </c>
      <c r="B1" s="207" t="s">
        <v>2326</v>
      </c>
      <c r="C1" s="208"/>
      <c r="D1" s="208"/>
      <c r="E1" s="209"/>
      <c r="F1" s="207" t="s">
        <v>2327</v>
      </c>
      <c r="G1" s="208"/>
      <c r="H1" s="208"/>
      <c r="I1" s="208"/>
    </row>
    <row r="2" spans="1:9" ht="24">
      <c r="A2" s="1"/>
      <c r="B2" s="210" t="s">
        <v>275</v>
      </c>
      <c r="C2" s="211"/>
      <c r="D2" s="211"/>
      <c r="E2" s="212"/>
      <c r="F2" s="210"/>
      <c r="G2" s="211"/>
      <c r="H2" s="211"/>
      <c r="I2" s="212"/>
    </row>
    <row r="3" spans="1:9" s="8" customFormat="1" ht="15">
      <c r="A3" s="6"/>
      <c r="B3" s="7" t="s">
        <v>276</v>
      </c>
      <c r="C3" s="56" t="s">
        <v>277</v>
      </c>
      <c r="D3" s="56" t="s">
        <v>278</v>
      </c>
      <c r="E3" s="57" t="s">
        <v>279</v>
      </c>
      <c r="F3" s="57" t="s">
        <v>280</v>
      </c>
      <c r="G3" s="56" t="s">
        <v>281</v>
      </c>
      <c r="H3" s="141" t="s">
        <v>11</v>
      </c>
      <c r="I3" s="56" t="s">
        <v>282</v>
      </c>
    </row>
    <row r="4" spans="1:9" s="24" customFormat="1" ht="15">
      <c r="A4" s="25"/>
      <c r="B4" s="46">
        <v>1</v>
      </c>
      <c r="C4" s="64" t="s">
        <v>1825</v>
      </c>
      <c r="D4" s="64" t="s">
        <v>1826</v>
      </c>
      <c r="E4" s="62" t="s">
        <v>285</v>
      </c>
      <c r="F4" s="62">
        <v>50</v>
      </c>
      <c r="G4" s="66" t="s">
        <v>330</v>
      </c>
      <c r="H4" s="142" t="s">
        <v>302</v>
      </c>
      <c r="I4" s="66" t="s">
        <v>287</v>
      </c>
    </row>
    <row r="5" spans="1:9" s="24" customFormat="1" ht="15">
      <c r="A5" s="25"/>
      <c r="B5" s="46">
        <v>2</v>
      </c>
      <c r="C5" s="50" t="s">
        <v>303</v>
      </c>
      <c r="D5" s="50" t="s">
        <v>304</v>
      </c>
      <c r="E5" s="51" t="s">
        <v>452</v>
      </c>
      <c r="F5" s="51">
        <v>20</v>
      </c>
      <c r="G5" s="66" t="s">
        <v>331</v>
      </c>
      <c r="H5" s="142"/>
      <c r="I5" s="66" t="s">
        <v>287</v>
      </c>
    </row>
    <row r="6" spans="1:9" s="95" customFormat="1" ht="15.75">
      <c r="A6" s="93"/>
      <c r="B6" s="46">
        <v>3</v>
      </c>
      <c r="C6" s="64" t="s">
        <v>637</v>
      </c>
      <c r="D6" s="64" t="s">
        <v>364</v>
      </c>
      <c r="E6" s="51" t="s">
        <v>452</v>
      </c>
      <c r="F6" s="51">
        <v>20</v>
      </c>
      <c r="G6" s="91" t="s">
        <v>331</v>
      </c>
      <c r="H6" s="142"/>
      <c r="I6" s="66" t="s">
        <v>287</v>
      </c>
    </row>
    <row r="7" spans="1:9" s="24" customFormat="1" ht="15.75">
      <c r="A7" s="25"/>
      <c r="B7" s="46">
        <v>4</v>
      </c>
      <c r="C7" s="80" t="s">
        <v>1673</v>
      </c>
      <c r="D7" s="80" t="s">
        <v>1674</v>
      </c>
      <c r="E7" s="81" t="s">
        <v>316</v>
      </c>
      <c r="F7" s="81"/>
      <c r="G7" s="91" t="s">
        <v>985</v>
      </c>
      <c r="H7" s="142"/>
      <c r="I7" s="66" t="s">
        <v>287</v>
      </c>
    </row>
    <row r="8" spans="1:9" s="24" customFormat="1" ht="15.75">
      <c r="B8" s="46">
        <v>5</v>
      </c>
      <c r="C8" s="80" t="s">
        <v>2328</v>
      </c>
      <c r="D8" s="26" t="s">
        <v>1939</v>
      </c>
      <c r="E8" s="51" t="s">
        <v>326</v>
      </c>
      <c r="F8" s="51">
        <v>4</v>
      </c>
      <c r="G8" s="91" t="s">
        <v>331</v>
      </c>
      <c r="H8" s="142" t="s">
        <v>2329</v>
      </c>
      <c r="I8" s="66" t="s">
        <v>287</v>
      </c>
    </row>
    <row r="9" spans="1:9" s="24" customFormat="1" ht="15.75">
      <c r="B9" s="46">
        <v>6</v>
      </c>
      <c r="C9" s="80" t="s">
        <v>2330</v>
      </c>
      <c r="D9" s="26" t="s">
        <v>1571</v>
      </c>
      <c r="E9" s="27" t="s">
        <v>285</v>
      </c>
      <c r="F9" s="27">
        <v>6</v>
      </c>
      <c r="G9" s="174" t="s">
        <v>2331</v>
      </c>
      <c r="H9" s="142" t="s">
        <v>1678</v>
      </c>
      <c r="I9" s="66"/>
    </row>
    <row r="10" spans="1:9" s="24" customFormat="1" ht="157.5">
      <c r="A10" s="25"/>
      <c r="B10" s="46">
        <v>7</v>
      </c>
      <c r="C10" s="26" t="s">
        <v>2332</v>
      </c>
      <c r="D10" s="26" t="s">
        <v>2333</v>
      </c>
      <c r="E10" s="27" t="s">
        <v>285</v>
      </c>
      <c r="F10" s="27">
        <v>1000</v>
      </c>
      <c r="G10" s="88" t="s">
        <v>2334</v>
      </c>
      <c r="H10" s="175" t="s">
        <v>2335</v>
      </c>
      <c r="I10" s="19" t="s">
        <v>287</v>
      </c>
    </row>
    <row r="11" spans="1:9" s="24" customFormat="1" ht="283.5">
      <c r="A11" s="25"/>
      <c r="B11" s="46">
        <v>8</v>
      </c>
      <c r="C11" s="26" t="s">
        <v>2336</v>
      </c>
      <c r="D11" s="26" t="s">
        <v>2337</v>
      </c>
      <c r="E11" s="27" t="s">
        <v>285</v>
      </c>
      <c r="F11" s="27">
        <v>1000</v>
      </c>
      <c r="G11" s="88" t="s">
        <v>2338</v>
      </c>
      <c r="H11" s="175" t="s">
        <v>2339</v>
      </c>
      <c r="I11" s="19" t="s">
        <v>287</v>
      </c>
    </row>
    <row r="12" spans="1:9" s="24" customFormat="1" ht="15">
      <c r="B12" s="46">
        <v>9</v>
      </c>
      <c r="C12" s="26" t="s">
        <v>11</v>
      </c>
      <c r="D12" s="26" t="s">
        <v>397</v>
      </c>
      <c r="E12" s="27" t="s">
        <v>285</v>
      </c>
      <c r="F12" s="27">
        <v>500</v>
      </c>
      <c r="G12" s="28"/>
      <c r="H12" s="142"/>
      <c r="I12" s="66" t="s">
        <v>639</v>
      </c>
    </row>
    <row r="13" spans="1:9" s="24" customFormat="1" ht="31.5">
      <c r="A13" s="25"/>
      <c r="B13" s="46">
        <v>10</v>
      </c>
      <c r="C13" s="86" t="s">
        <v>2289</v>
      </c>
      <c r="D13" s="86" t="s">
        <v>1668</v>
      </c>
      <c r="E13" s="87" t="s">
        <v>296</v>
      </c>
      <c r="F13" s="87">
        <v>20</v>
      </c>
      <c r="G13" s="88" t="s">
        <v>2290</v>
      </c>
      <c r="H13" s="142" t="s">
        <v>2278</v>
      </c>
      <c r="I13" s="66" t="s">
        <v>639</v>
      </c>
    </row>
    <row r="14" spans="1:9" ht="15.75">
      <c r="A14" s="1"/>
      <c r="B14" s="2"/>
      <c r="C14" s="3"/>
      <c r="D14" s="3"/>
      <c r="E14" s="3"/>
      <c r="F14" s="3"/>
      <c r="G14" s="3"/>
      <c r="H14" s="3"/>
      <c r="I14" s="3"/>
    </row>
    <row r="15" spans="1:9" ht="24">
      <c r="A15" s="1"/>
      <c r="B15" s="204" t="s">
        <v>291</v>
      </c>
      <c r="C15" s="205"/>
      <c r="D15" s="205"/>
      <c r="E15" s="206"/>
      <c r="F15" s="204"/>
      <c r="G15" s="205"/>
      <c r="H15" s="205"/>
      <c r="I15" s="206"/>
    </row>
    <row r="16" spans="1:9" s="8" customFormat="1" ht="15">
      <c r="A16" s="6"/>
      <c r="B16" s="7" t="s">
        <v>276</v>
      </c>
      <c r="C16" s="56" t="s">
        <v>277</v>
      </c>
      <c r="D16" s="56" t="s">
        <v>278</v>
      </c>
      <c r="E16" s="57" t="s">
        <v>279</v>
      </c>
      <c r="F16" s="57" t="s">
        <v>280</v>
      </c>
      <c r="G16" s="56" t="s">
        <v>11</v>
      </c>
      <c r="H16" s="56" t="s">
        <v>292</v>
      </c>
      <c r="I16" s="56" t="s">
        <v>293</v>
      </c>
    </row>
    <row r="17" spans="1:9" s="24" customFormat="1" ht="15.75">
      <c r="A17" s="25"/>
      <c r="B17" s="46">
        <v>1</v>
      </c>
      <c r="C17" s="86" t="s">
        <v>1834</v>
      </c>
      <c r="D17" s="86" t="s">
        <v>1835</v>
      </c>
      <c r="E17" s="87"/>
      <c r="F17" s="87"/>
      <c r="G17" s="85" t="s">
        <v>1836</v>
      </c>
      <c r="H17" s="28"/>
      <c r="I17" s="86"/>
    </row>
    <row r="18" spans="1:9" s="24" customFormat="1" ht="15.75">
      <c r="A18" s="25"/>
      <c r="B18" s="46">
        <v>2</v>
      </c>
      <c r="C18" s="86" t="s">
        <v>1837</v>
      </c>
      <c r="D18" s="86" t="s">
        <v>1838</v>
      </c>
      <c r="E18" s="87"/>
      <c r="F18" s="87"/>
      <c r="G18" s="85" t="s">
        <v>1836</v>
      </c>
      <c r="H18" s="28"/>
      <c r="I18" s="86"/>
    </row>
    <row r="19" spans="1:9" ht="15">
      <c r="B19" s="21"/>
    </row>
    <row r="20" spans="1:9" ht="15">
      <c r="B20" s="45"/>
    </row>
  </sheetData>
  <mergeCells count="6">
    <mergeCell ref="B1:E1"/>
    <mergeCell ref="F1:I1"/>
    <mergeCell ref="B2:E2"/>
    <mergeCell ref="F2:I2"/>
    <mergeCell ref="B15:E15"/>
    <mergeCell ref="F15:I15"/>
  </mergeCells>
  <phoneticPr fontId="5" type="noConversion"/>
  <pageMargins left="0.7" right="0.7" top="0.75" bottom="0.75" header="0.3" footer="0.3"/>
  <pageSetup paperSize="9" orientation="portrait" horizontalDpi="0" verticalDpi="0"/>
</worksheet>
</file>

<file path=xl/worksheets/sheet1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2F77A28-8AAC-4100-BA39-52BF84E5F863}">
  <sheetPr codeName="工作表97"/>
  <dimension ref="A1:I20"/>
  <sheetViews>
    <sheetView topLeftCell="A11" workbookViewId="0">
      <selection activeCell="E14" sqref="E14:G14"/>
    </sheetView>
  </sheetViews>
  <sheetFormatPr defaultColWidth="6.625" defaultRowHeight="13.5"/>
  <cols>
    <col min="1" max="1" width="3.125" style="4" bestFit="1" customWidth="1"/>
    <col min="2" max="2" width="5.5" style="8" customWidth="1"/>
    <col min="3" max="3" width="35.5" style="4" customWidth="1"/>
    <col min="4" max="4" width="31.125" style="4" customWidth="1"/>
    <col min="5" max="5" width="11.125" style="4" bestFit="1" customWidth="1"/>
    <col min="6" max="6" width="12.625" style="4" customWidth="1"/>
    <col min="7" max="7" width="58" style="4" customWidth="1"/>
    <col min="8" max="8" width="34.125" style="4" customWidth="1"/>
    <col min="9" max="9" width="21.625" style="4" customWidth="1"/>
    <col min="10" max="16384" width="6.625" style="4"/>
  </cols>
  <sheetData>
    <row r="1" spans="1:9" ht="24">
      <c r="A1" s="1" t="e">
        <f ca="1">HYPERLINK("#'介面'!E"&amp;MATCH(VALUE(RIGHT(CELL("filename"),LEN(CELL("filename"))-FIND("]",CELL("filename")))),介面!D:D,"0"),"←")</f>
        <v>#VALUE!</v>
      </c>
      <c r="B1" s="207" t="s">
        <v>2340</v>
      </c>
      <c r="C1" s="208"/>
      <c r="D1" s="208"/>
      <c r="E1" s="209"/>
      <c r="F1" s="207" t="s">
        <v>2341</v>
      </c>
      <c r="G1" s="208"/>
      <c r="H1" s="208"/>
      <c r="I1" s="208"/>
    </row>
    <row r="2" spans="1:9" ht="24">
      <c r="A2" s="1"/>
      <c r="B2" s="210" t="s">
        <v>275</v>
      </c>
      <c r="C2" s="211"/>
      <c r="D2" s="211"/>
      <c r="E2" s="212"/>
      <c r="F2" s="210"/>
      <c r="G2" s="211"/>
      <c r="H2" s="211"/>
      <c r="I2" s="212"/>
    </row>
    <row r="3" spans="1:9" s="8" customFormat="1" ht="15">
      <c r="A3" s="6"/>
      <c r="B3" s="7" t="s">
        <v>276</v>
      </c>
      <c r="C3" s="56" t="s">
        <v>277</v>
      </c>
      <c r="D3" s="56" t="s">
        <v>278</v>
      </c>
      <c r="E3" s="57" t="s">
        <v>279</v>
      </c>
      <c r="F3" s="57" t="s">
        <v>280</v>
      </c>
      <c r="G3" s="56" t="s">
        <v>281</v>
      </c>
      <c r="H3" s="141" t="s">
        <v>11</v>
      </c>
      <c r="I3" s="56" t="s">
        <v>282</v>
      </c>
    </row>
    <row r="4" spans="1:9" s="24" customFormat="1" ht="15">
      <c r="A4" s="25"/>
      <c r="B4" s="46">
        <v>1</v>
      </c>
      <c r="C4" s="64" t="s">
        <v>1825</v>
      </c>
      <c r="D4" s="64" t="s">
        <v>1826</v>
      </c>
      <c r="E4" s="62" t="s">
        <v>285</v>
      </c>
      <c r="F4" s="62">
        <v>50</v>
      </c>
      <c r="G4" s="66" t="s">
        <v>330</v>
      </c>
      <c r="H4" s="142" t="s">
        <v>302</v>
      </c>
      <c r="I4" s="66" t="s">
        <v>287</v>
      </c>
    </row>
    <row r="5" spans="1:9" s="24" customFormat="1" ht="15">
      <c r="A5" s="25"/>
      <c r="B5" s="46">
        <v>2</v>
      </c>
      <c r="C5" s="50" t="s">
        <v>303</v>
      </c>
      <c r="D5" s="50" t="s">
        <v>304</v>
      </c>
      <c r="E5" s="51" t="s">
        <v>452</v>
      </c>
      <c r="F5" s="51">
        <v>20</v>
      </c>
      <c r="G5" s="66" t="s">
        <v>331</v>
      </c>
      <c r="H5" s="142"/>
      <c r="I5" s="66" t="s">
        <v>287</v>
      </c>
    </row>
    <row r="6" spans="1:9" s="95" customFormat="1" ht="15.75">
      <c r="A6" s="93"/>
      <c r="B6" s="46">
        <v>3</v>
      </c>
      <c r="C6" s="64" t="s">
        <v>637</v>
      </c>
      <c r="D6" s="64" t="s">
        <v>364</v>
      </c>
      <c r="E6" s="51" t="s">
        <v>452</v>
      </c>
      <c r="F6" s="51">
        <v>20</v>
      </c>
      <c r="G6" s="91" t="s">
        <v>331</v>
      </c>
      <c r="H6" s="142"/>
      <c r="I6" s="66" t="s">
        <v>287</v>
      </c>
    </row>
    <row r="7" spans="1:9" s="24" customFormat="1" ht="15.75">
      <c r="A7" s="25"/>
      <c r="B7" s="46">
        <v>4</v>
      </c>
      <c r="C7" s="80" t="s">
        <v>1673</v>
      </c>
      <c r="D7" s="80" t="s">
        <v>1674</v>
      </c>
      <c r="E7" s="81" t="s">
        <v>316</v>
      </c>
      <c r="F7" s="81"/>
      <c r="G7" s="91" t="s">
        <v>985</v>
      </c>
      <c r="H7" s="142"/>
      <c r="I7" s="66" t="s">
        <v>287</v>
      </c>
    </row>
    <row r="8" spans="1:9" s="24" customFormat="1" ht="15.75">
      <c r="B8" s="46">
        <v>5</v>
      </c>
      <c r="C8" s="80" t="s">
        <v>2328</v>
      </c>
      <c r="D8" s="26" t="s">
        <v>1939</v>
      </c>
      <c r="E8" s="51" t="s">
        <v>326</v>
      </c>
      <c r="F8" s="51">
        <v>4</v>
      </c>
      <c r="G8" s="91" t="s">
        <v>331</v>
      </c>
      <c r="H8" s="142" t="s">
        <v>2329</v>
      </c>
      <c r="I8" s="66" t="s">
        <v>287</v>
      </c>
    </row>
    <row r="9" spans="1:9" s="24" customFormat="1" ht="15.75">
      <c r="B9" s="46">
        <v>6</v>
      </c>
      <c r="C9" s="80" t="s">
        <v>2330</v>
      </c>
      <c r="D9" s="26" t="s">
        <v>1571</v>
      </c>
      <c r="E9" s="27" t="s">
        <v>285</v>
      </c>
      <c r="F9" s="27">
        <v>6</v>
      </c>
      <c r="G9" s="174" t="s">
        <v>2331</v>
      </c>
      <c r="H9" s="142" t="s">
        <v>1678</v>
      </c>
      <c r="I9" s="66"/>
    </row>
    <row r="10" spans="1:9" s="24" customFormat="1" ht="157.5">
      <c r="A10" s="25"/>
      <c r="B10" s="46">
        <v>7</v>
      </c>
      <c r="C10" s="26" t="s">
        <v>2332</v>
      </c>
      <c r="D10" s="26" t="s">
        <v>2333</v>
      </c>
      <c r="E10" s="27" t="s">
        <v>285</v>
      </c>
      <c r="F10" s="27">
        <v>1000</v>
      </c>
      <c r="G10" s="88" t="s">
        <v>2334</v>
      </c>
      <c r="H10" s="175" t="s">
        <v>2335</v>
      </c>
      <c r="I10" s="19" t="s">
        <v>287</v>
      </c>
    </row>
    <row r="11" spans="1:9" s="24" customFormat="1" ht="283.5">
      <c r="A11" s="25"/>
      <c r="B11" s="46">
        <v>8</v>
      </c>
      <c r="C11" s="26" t="s">
        <v>2336</v>
      </c>
      <c r="D11" s="26" t="s">
        <v>2337</v>
      </c>
      <c r="E11" s="27" t="s">
        <v>285</v>
      </c>
      <c r="F11" s="27">
        <v>1000</v>
      </c>
      <c r="G11" s="88" t="s">
        <v>2338</v>
      </c>
      <c r="H11" s="175" t="s">
        <v>2339</v>
      </c>
      <c r="I11" s="19" t="s">
        <v>287</v>
      </c>
    </row>
    <row r="12" spans="1:9" s="24" customFormat="1" ht="15">
      <c r="B12" s="46">
        <v>9</v>
      </c>
      <c r="C12" s="26" t="s">
        <v>11</v>
      </c>
      <c r="D12" s="26" t="s">
        <v>397</v>
      </c>
      <c r="E12" s="27" t="s">
        <v>285</v>
      </c>
      <c r="F12" s="27">
        <v>500</v>
      </c>
      <c r="G12" s="28"/>
      <c r="H12" s="142"/>
      <c r="I12" s="66" t="s">
        <v>639</v>
      </c>
    </row>
    <row r="13" spans="1:9" s="24" customFormat="1" ht="15.75">
      <c r="A13" s="25"/>
      <c r="B13" s="46">
        <v>10</v>
      </c>
      <c r="C13" s="50" t="s">
        <v>1621</v>
      </c>
      <c r="D13" s="50" t="s">
        <v>1622</v>
      </c>
      <c r="E13" s="51" t="s">
        <v>285</v>
      </c>
      <c r="F13" s="51">
        <v>50</v>
      </c>
      <c r="G13" s="89" t="s">
        <v>2282</v>
      </c>
      <c r="H13" s="142"/>
      <c r="I13" s="66" t="s">
        <v>287</v>
      </c>
    </row>
    <row r="14" spans="1:9" s="24" customFormat="1" ht="15.75">
      <c r="A14" s="25"/>
      <c r="B14" s="46">
        <v>11</v>
      </c>
      <c r="C14" s="26" t="s">
        <v>1588</v>
      </c>
      <c r="D14" s="26" t="s">
        <v>1589</v>
      </c>
      <c r="E14" s="27" t="s">
        <v>326</v>
      </c>
      <c r="F14" s="27">
        <v>4</v>
      </c>
      <c r="G14" s="148" t="s">
        <v>1591</v>
      </c>
      <c r="H14" s="142"/>
      <c r="I14" s="66" t="s">
        <v>287</v>
      </c>
    </row>
    <row r="15" spans="1:9" ht="15.75">
      <c r="A15" s="1"/>
      <c r="B15" s="2"/>
      <c r="C15" s="3"/>
      <c r="D15" s="3"/>
      <c r="E15" s="3"/>
      <c r="F15" s="3"/>
      <c r="G15" s="3"/>
      <c r="H15" s="3"/>
      <c r="I15" s="3"/>
    </row>
    <row r="16" spans="1:9" ht="24">
      <c r="A16" s="1"/>
      <c r="B16" s="204" t="s">
        <v>291</v>
      </c>
      <c r="C16" s="205"/>
      <c r="D16" s="205"/>
      <c r="E16" s="206"/>
      <c r="F16" s="204"/>
      <c r="G16" s="205"/>
      <c r="H16" s="205"/>
      <c r="I16" s="206"/>
    </row>
    <row r="17" spans="1:9" s="8" customFormat="1" ht="15">
      <c r="A17" s="6"/>
      <c r="B17" s="7" t="s">
        <v>276</v>
      </c>
      <c r="C17" s="56" t="s">
        <v>277</v>
      </c>
      <c r="D17" s="56" t="s">
        <v>278</v>
      </c>
      <c r="E17" s="57" t="s">
        <v>279</v>
      </c>
      <c r="F17" s="57" t="s">
        <v>280</v>
      </c>
      <c r="G17" s="56" t="s">
        <v>11</v>
      </c>
      <c r="H17" s="56" t="s">
        <v>292</v>
      </c>
      <c r="I17" s="56" t="s">
        <v>293</v>
      </c>
    </row>
    <row r="18" spans="1:9" s="24" customFormat="1" ht="15.75">
      <c r="A18" s="25"/>
      <c r="B18" s="46">
        <v>1</v>
      </c>
      <c r="C18" s="86" t="s">
        <v>2297</v>
      </c>
      <c r="D18" s="86" t="s">
        <v>1668</v>
      </c>
      <c r="E18" s="87" t="s">
        <v>296</v>
      </c>
      <c r="F18" s="87">
        <v>20</v>
      </c>
      <c r="G18" s="85"/>
      <c r="H18" s="89" t="s">
        <v>119</v>
      </c>
      <c r="I18" s="86" t="s">
        <v>1668</v>
      </c>
    </row>
    <row r="19" spans="1:9" ht="15">
      <c r="B19" s="21"/>
    </row>
    <row r="20" spans="1:9" ht="15">
      <c r="B20" s="45"/>
    </row>
  </sheetData>
  <mergeCells count="6">
    <mergeCell ref="B1:E1"/>
    <mergeCell ref="F1:I1"/>
    <mergeCell ref="B2:E2"/>
    <mergeCell ref="F2:I2"/>
    <mergeCell ref="B16:E16"/>
    <mergeCell ref="F16:I16"/>
  </mergeCells>
  <phoneticPr fontId="5" type="noConversion"/>
  <pageMargins left="0.7" right="0.7" top="0.75" bottom="0.75" header="0.3" footer="0.3"/>
  <pageSetup paperSize="9" orientation="portrait" horizontalDpi="0" verticalDpi="0"/>
</worksheet>
</file>

<file path=xl/worksheets/sheet1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F7C348C-534F-4FB1-B1B7-EB30333C5D29}">
  <sheetPr codeName="工作表108"/>
  <dimension ref="A1:J39"/>
  <sheetViews>
    <sheetView workbookViewId="0"/>
  </sheetViews>
  <sheetFormatPr defaultColWidth="6.625" defaultRowHeight="13.5"/>
  <cols>
    <col min="1" max="1" width="3.125" style="4" bestFit="1" customWidth="1"/>
    <col min="2" max="2" width="5.5" style="8" customWidth="1"/>
    <col min="3" max="3" width="26.5" style="4" customWidth="1"/>
    <col min="4" max="4" width="30.125" style="4" customWidth="1"/>
    <col min="5" max="5" width="11.125" style="4" bestFit="1" customWidth="1"/>
    <col min="6" max="6" width="10.375" style="4" customWidth="1"/>
    <col min="7" max="7" width="50.625" style="4" customWidth="1"/>
    <col min="8" max="8" width="45.625" style="4" customWidth="1"/>
    <col min="9" max="9" width="30.125" style="4" customWidth="1"/>
    <col min="10" max="16384" width="6.625" style="4"/>
  </cols>
  <sheetData>
    <row r="1" spans="1:10" ht="24">
      <c r="A1" s="1" t="e">
        <f ca="1">HYPERLINK("#'介面'!E"&amp;MATCH(VALUE(RIGHT(CELL("filename"),LEN(CELL("filename"))-FIND("]",CELL("filename")))),介面!D:D,"0"),"←")</f>
        <v>#VALUE!</v>
      </c>
      <c r="B1" s="207" t="s">
        <v>2342</v>
      </c>
      <c r="C1" s="208"/>
      <c r="D1" s="208"/>
      <c r="E1" s="209"/>
      <c r="F1" s="207" t="s">
        <v>2343</v>
      </c>
      <c r="G1" s="208"/>
      <c r="H1" s="208"/>
      <c r="I1" s="208"/>
    </row>
    <row r="2" spans="1:10" ht="24">
      <c r="A2" s="1"/>
      <c r="B2" s="210" t="s">
        <v>275</v>
      </c>
      <c r="C2" s="211"/>
      <c r="D2" s="211"/>
      <c r="E2" s="212"/>
      <c r="F2" s="210"/>
      <c r="G2" s="211"/>
      <c r="H2" s="211"/>
      <c r="I2" s="212"/>
    </row>
    <row r="3" spans="1:10" s="8" customFormat="1" ht="15">
      <c r="A3" s="6"/>
      <c r="B3" s="7" t="s">
        <v>276</v>
      </c>
      <c r="C3" s="56" t="s">
        <v>277</v>
      </c>
      <c r="D3" s="56" t="s">
        <v>278</v>
      </c>
      <c r="E3" s="57" t="s">
        <v>279</v>
      </c>
      <c r="F3" s="57" t="s">
        <v>280</v>
      </c>
      <c r="G3" s="56" t="s">
        <v>281</v>
      </c>
      <c r="H3" s="141" t="s">
        <v>11</v>
      </c>
      <c r="I3" s="56" t="s">
        <v>282</v>
      </c>
    </row>
    <row r="4" spans="1:10" s="24" customFormat="1" ht="15">
      <c r="A4" s="25"/>
      <c r="B4" s="46">
        <v>1</v>
      </c>
      <c r="C4" s="64" t="s">
        <v>1825</v>
      </c>
      <c r="D4" s="64" t="s">
        <v>1826</v>
      </c>
      <c r="E4" s="62" t="s">
        <v>285</v>
      </c>
      <c r="F4" s="62">
        <v>50</v>
      </c>
      <c r="G4" s="66" t="s">
        <v>330</v>
      </c>
      <c r="H4" s="142" t="s">
        <v>302</v>
      </c>
      <c r="I4" s="66" t="s">
        <v>287</v>
      </c>
    </row>
    <row r="5" spans="1:10" s="24" customFormat="1" ht="15">
      <c r="A5" s="25"/>
      <c r="B5" s="46">
        <v>2</v>
      </c>
      <c r="C5" s="50" t="s">
        <v>303</v>
      </c>
      <c r="D5" s="50" t="s">
        <v>304</v>
      </c>
      <c r="E5" s="51" t="s">
        <v>452</v>
      </c>
      <c r="F5" s="51">
        <v>20</v>
      </c>
      <c r="G5" s="66" t="s">
        <v>331</v>
      </c>
      <c r="H5" s="142"/>
      <c r="I5" s="66" t="s">
        <v>287</v>
      </c>
    </row>
    <row r="6" spans="1:10" s="95" customFormat="1" ht="15.75">
      <c r="A6" s="93"/>
      <c r="B6" s="46">
        <v>3</v>
      </c>
      <c r="C6" s="80" t="s">
        <v>2344</v>
      </c>
      <c r="D6" s="80" t="s">
        <v>1196</v>
      </c>
      <c r="E6" s="81" t="s">
        <v>316</v>
      </c>
      <c r="F6" s="81"/>
      <c r="G6" s="91" t="s">
        <v>985</v>
      </c>
      <c r="H6" s="142"/>
      <c r="I6" s="19" t="s">
        <v>287</v>
      </c>
      <c r="J6" s="4"/>
    </row>
    <row r="7" spans="1:10" s="95" customFormat="1" ht="15.75">
      <c r="A7" s="93"/>
      <c r="B7" s="46">
        <v>4</v>
      </c>
      <c r="C7" s="80" t="s">
        <v>2345</v>
      </c>
      <c r="D7" s="80" t="s">
        <v>1198</v>
      </c>
      <c r="E7" s="81" t="s">
        <v>316</v>
      </c>
      <c r="F7" s="81"/>
      <c r="G7" s="91" t="s">
        <v>1829</v>
      </c>
      <c r="H7" s="142"/>
      <c r="I7" s="19" t="s">
        <v>287</v>
      </c>
      <c r="J7" s="4"/>
    </row>
    <row r="8" spans="1:10" s="24" customFormat="1" ht="15">
      <c r="A8" s="25"/>
      <c r="B8" s="46">
        <v>6</v>
      </c>
      <c r="C8" s="50" t="s">
        <v>1830</v>
      </c>
      <c r="D8" s="50" t="s">
        <v>1831</v>
      </c>
      <c r="E8" s="51" t="s">
        <v>1832</v>
      </c>
      <c r="F8" s="51"/>
      <c r="G8" s="66"/>
      <c r="H8" s="142" t="s">
        <v>2346</v>
      </c>
      <c r="I8" s="66" t="s">
        <v>287</v>
      </c>
    </row>
    <row r="9" spans="1:10" s="24" customFormat="1" ht="15">
      <c r="A9" s="25"/>
      <c r="B9" s="152"/>
      <c r="C9" s="153"/>
      <c r="D9" s="154"/>
      <c r="E9" s="155"/>
      <c r="F9" s="156"/>
      <c r="G9" s="151"/>
      <c r="H9" s="151"/>
      <c r="I9" s="158"/>
    </row>
    <row r="10" spans="1:10" ht="24">
      <c r="A10" s="1"/>
      <c r="B10" s="227" t="s">
        <v>291</v>
      </c>
      <c r="C10" s="228"/>
      <c r="D10" s="228"/>
      <c r="E10" s="229"/>
      <c r="F10" s="227"/>
      <c r="G10" s="228"/>
      <c r="H10" s="228"/>
      <c r="I10" s="229"/>
    </row>
    <row r="11" spans="1:10" s="8" customFormat="1" ht="15">
      <c r="A11" s="6"/>
      <c r="B11" s="7" t="s">
        <v>276</v>
      </c>
      <c r="C11" s="56" t="s">
        <v>277</v>
      </c>
      <c r="D11" s="56" t="s">
        <v>278</v>
      </c>
      <c r="E11" s="57" t="s">
        <v>279</v>
      </c>
      <c r="F11" s="57" t="s">
        <v>280</v>
      </c>
      <c r="G11" s="56" t="s">
        <v>11</v>
      </c>
      <c r="H11" s="56" t="s">
        <v>292</v>
      </c>
      <c r="I11" s="56" t="s">
        <v>293</v>
      </c>
    </row>
    <row r="12" spans="1:10" s="24" customFormat="1" ht="15.75">
      <c r="A12" s="25"/>
      <c r="B12" s="46">
        <v>1</v>
      </c>
      <c r="C12" s="86" t="s">
        <v>1834</v>
      </c>
      <c r="D12" s="86" t="s">
        <v>1835</v>
      </c>
      <c r="E12" s="87"/>
      <c r="F12" s="87"/>
      <c r="G12" s="85" t="s">
        <v>1836</v>
      </c>
      <c r="H12" s="28"/>
      <c r="I12" s="86"/>
    </row>
    <row r="13" spans="1:10" s="24" customFormat="1" ht="15.75">
      <c r="A13" s="25"/>
      <c r="B13" s="46">
        <v>2</v>
      </c>
      <c r="C13" s="86" t="s">
        <v>1837</v>
      </c>
      <c r="D13" s="86" t="s">
        <v>1838</v>
      </c>
      <c r="E13" s="87"/>
      <c r="F13" s="87"/>
      <c r="G13" s="85" t="s">
        <v>1836</v>
      </c>
      <c r="H13" s="28"/>
      <c r="I13" s="86"/>
    </row>
    <row r="14" spans="1:10" ht="16.5" customHeight="1"/>
    <row r="15" spans="1:10" ht="16.5" customHeight="1"/>
    <row r="16" spans="1:10" ht="16.5" customHeight="1"/>
    <row r="17" ht="16.5" customHeight="1"/>
    <row r="18" ht="16.5" customHeight="1"/>
    <row r="19" ht="16.5" customHeight="1"/>
    <row r="20" ht="16.5" customHeight="1"/>
    <row r="21" ht="16.5" customHeight="1"/>
    <row r="22" ht="16.5" customHeight="1"/>
    <row r="23" ht="16.5" customHeight="1"/>
    <row r="24" ht="16.5" customHeight="1"/>
    <row r="25" ht="16.5" customHeight="1"/>
    <row r="26" ht="16.5" customHeight="1"/>
    <row r="27" ht="16.5" customHeight="1"/>
    <row r="28" ht="16.5" customHeight="1"/>
    <row r="29" ht="16.5" customHeight="1"/>
    <row r="30" ht="16.5" customHeight="1"/>
    <row r="31" ht="16.5" customHeight="1"/>
    <row r="32" ht="16.5" customHeight="1"/>
    <row r="33" ht="16.5" customHeight="1"/>
    <row r="34" ht="16.5" customHeight="1"/>
    <row r="35" ht="16.5" customHeight="1"/>
    <row r="36" ht="16.5" customHeight="1"/>
    <row r="37" ht="16.5" customHeight="1"/>
    <row r="38" ht="16.5" customHeight="1"/>
    <row r="39" ht="16.5" customHeight="1"/>
  </sheetData>
  <mergeCells count="6">
    <mergeCell ref="B1:E1"/>
    <mergeCell ref="F1:I1"/>
    <mergeCell ref="B2:E2"/>
    <mergeCell ref="F2:I2"/>
    <mergeCell ref="B10:E10"/>
    <mergeCell ref="F10:I10"/>
  </mergeCells>
  <phoneticPr fontId="5" type="noConversion"/>
  <pageMargins left="0.7" right="0.7" top="0.75" bottom="0.75" header="0.3" footer="0.3"/>
  <pageSetup paperSize="9" orientation="portrait" horizontalDpi="0" verticalDpi="0"/>
</worksheet>
</file>

<file path=xl/worksheets/sheet1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BE3BE13-D154-4CBA-A6FA-C929F27B88A3}">
  <sheetPr codeName="工作表120"/>
  <dimension ref="A1:I290"/>
  <sheetViews>
    <sheetView workbookViewId="0"/>
  </sheetViews>
  <sheetFormatPr defaultColWidth="6.625" defaultRowHeight="13.5"/>
  <cols>
    <col min="1" max="1" width="3.125" style="4" bestFit="1" customWidth="1"/>
    <col min="2" max="2" width="5.5" style="8" customWidth="1"/>
    <col min="3" max="3" width="21" style="4" customWidth="1"/>
    <col min="4" max="4" width="26.125" style="4" customWidth="1"/>
    <col min="5" max="5" width="11.125" style="4" bestFit="1" customWidth="1"/>
    <col min="6" max="6" width="10.375" style="4" customWidth="1"/>
    <col min="7" max="7" width="28.625" style="4" customWidth="1"/>
    <col min="8" max="8" width="29.625" style="4" customWidth="1"/>
    <col min="9" max="9" width="17.625" style="4" customWidth="1"/>
    <col min="10" max="16384" width="6.625" style="4"/>
  </cols>
  <sheetData>
    <row r="1" spans="1:9" ht="24">
      <c r="A1" s="1" t="e">
        <f ca="1">HYPERLINK("#'介面'!E"&amp;MATCH(VALUE(RIGHT(CELL("filename"),LEN(CELL("filename"))-FIND("]",CELL("filename")))),介面!D:D,"0"),"←")</f>
        <v>#VALUE!</v>
      </c>
      <c r="B1" s="216" t="s">
        <v>243</v>
      </c>
      <c r="C1" s="217"/>
      <c r="D1" s="217"/>
      <c r="E1" s="218"/>
      <c r="F1" s="216" t="s">
        <v>244</v>
      </c>
      <c r="G1" s="217"/>
      <c r="H1" s="217"/>
      <c r="I1" s="217"/>
    </row>
    <row r="2" spans="1:9" ht="24">
      <c r="A2" s="1"/>
      <c r="B2" s="210" t="s">
        <v>275</v>
      </c>
      <c r="C2" s="211"/>
      <c r="D2" s="211"/>
      <c r="E2" s="212"/>
      <c r="F2" s="210"/>
      <c r="G2" s="211"/>
      <c r="H2" s="211"/>
      <c r="I2" s="212"/>
    </row>
    <row r="3" spans="1:9" s="8" customFormat="1" ht="15">
      <c r="A3" s="6"/>
      <c r="B3" s="7" t="s">
        <v>276</v>
      </c>
      <c r="C3" s="56" t="s">
        <v>277</v>
      </c>
      <c r="D3" s="56" t="s">
        <v>278</v>
      </c>
      <c r="E3" s="57" t="s">
        <v>279</v>
      </c>
      <c r="F3" s="57" t="s">
        <v>280</v>
      </c>
      <c r="G3" s="56" t="s">
        <v>281</v>
      </c>
      <c r="H3" s="141" t="s">
        <v>11</v>
      </c>
      <c r="I3" s="56" t="s">
        <v>282</v>
      </c>
    </row>
    <row r="4" spans="1:9" s="24" customFormat="1" ht="15.75">
      <c r="A4" s="25"/>
      <c r="B4" s="46">
        <v>1</v>
      </c>
      <c r="C4" s="80" t="s">
        <v>297</v>
      </c>
      <c r="D4" s="80" t="s">
        <v>298</v>
      </c>
      <c r="E4" s="81" t="s">
        <v>285</v>
      </c>
      <c r="F4" s="81">
        <v>500</v>
      </c>
      <c r="G4" s="66" t="s">
        <v>330</v>
      </c>
      <c r="H4" s="142" t="s">
        <v>302</v>
      </c>
      <c r="I4" s="66" t="s">
        <v>287</v>
      </c>
    </row>
    <row r="5" spans="1:9" s="24" customFormat="1" ht="15">
      <c r="A5" s="25"/>
      <c r="B5" s="46">
        <v>2</v>
      </c>
      <c r="C5" s="50" t="s">
        <v>303</v>
      </c>
      <c r="D5" s="76" t="s">
        <v>304</v>
      </c>
      <c r="E5" s="51" t="s">
        <v>296</v>
      </c>
      <c r="F5" s="51">
        <v>20</v>
      </c>
      <c r="G5" s="66" t="s">
        <v>331</v>
      </c>
      <c r="H5" s="142"/>
      <c r="I5" s="19" t="s">
        <v>287</v>
      </c>
    </row>
    <row r="6" spans="1:9" s="24" customFormat="1" ht="15">
      <c r="A6" s="25"/>
      <c r="B6" s="152"/>
      <c r="C6" s="153"/>
      <c r="D6" s="154"/>
      <c r="E6" s="155"/>
      <c r="F6" s="156"/>
      <c r="G6" s="151"/>
      <c r="H6" s="151"/>
      <c r="I6" s="157"/>
    </row>
    <row r="7" spans="1:9" ht="24">
      <c r="A7" s="1"/>
      <c r="B7" s="204" t="s">
        <v>291</v>
      </c>
      <c r="C7" s="205"/>
      <c r="D7" s="205"/>
      <c r="E7" s="206"/>
      <c r="F7" s="204"/>
      <c r="G7" s="205"/>
      <c r="H7" s="205"/>
      <c r="I7" s="206"/>
    </row>
    <row r="8" spans="1:9" s="8" customFormat="1" ht="15">
      <c r="A8" s="6"/>
      <c r="B8" s="7" t="s">
        <v>276</v>
      </c>
      <c r="C8" s="56" t="s">
        <v>277</v>
      </c>
      <c r="D8" s="56" t="s">
        <v>278</v>
      </c>
      <c r="E8" s="57" t="s">
        <v>279</v>
      </c>
      <c r="F8" s="57" t="s">
        <v>280</v>
      </c>
      <c r="G8" s="56" t="s">
        <v>11</v>
      </c>
      <c r="H8" s="56" t="s">
        <v>292</v>
      </c>
      <c r="I8" s="56" t="s">
        <v>293</v>
      </c>
    </row>
    <row r="9" spans="1:9" ht="15.75">
      <c r="A9" s="58"/>
      <c r="B9" s="94">
        <v>1</v>
      </c>
      <c r="C9" s="70" t="s">
        <v>2190</v>
      </c>
      <c r="D9" s="71" t="s">
        <v>2191</v>
      </c>
      <c r="E9" s="72" t="s">
        <v>326</v>
      </c>
      <c r="F9" s="72">
        <v>4</v>
      </c>
      <c r="G9" s="29" t="s">
        <v>2192</v>
      </c>
      <c r="H9" s="66"/>
      <c r="I9" s="82"/>
    </row>
    <row r="10" spans="1:9" ht="16.5" customHeight="1">
      <c r="B10" s="117"/>
    </row>
    <row r="11" spans="1:9" ht="16.5" customHeight="1">
      <c r="B11" s="20"/>
    </row>
    <row r="12" spans="1:9" ht="16.5" customHeight="1">
      <c r="B12" s="45"/>
    </row>
    <row r="13" spans="1:9" ht="16.5" customHeight="1"/>
    <row r="14" spans="1:9" ht="16.5" customHeight="1"/>
    <row r="15" spans="1:9" ht="16.5" customHeight="1"/>
    <row r="16" spans="1:9" ht="16.5" customHeight="1"/>
    <row r="17" ht="16.5" customHeight="1"/>
    <row r="18" ht="16.5" customHeight="1"/>
    <row r="19" ht="16.5" customHeight="1"/>
    <row r="20" ht="16.5" customHeight="1"/>
    <row r="21" ht="16.5" customHeight="1"/>
    <row r="22" ht="16.5" customHeight="1"/>
    <row r="23" ht="16.5" customHeight="1"/>
    <row r="24" ht="16.5" customHeight="1"/>
    <row r="25" ht="16.5" customHeight="1"/>
    <row r="26" ht="16.5" customHeight="1"/>
    <row r="27" ht="16.5" customHeight="1"/>
    <row r="28" ht="16.5" customHeight="1"/>
    <row r="29" ht="16.5" customHeight="1"/>
    <row r="30" ht="16.5" customHeight="1"/>
    <row r="31" ht="16.5" customHeight="1"/>
    <row r="32" ht="16.5" customHeight="1"/>
    <row r="33" ht="16.5" customHeight="1"/>
    <row r="34" ht="16.5" customHeight="1"/>
    <row r="35" ht="16.5" customHeight="1"/>
    <row r="36" ht="16.5" customHeight="1"/>
    <row r="37" ht="16.5" customHeight="1"/>
    <row r="38" ht="16.5" customHeight="1"/>
    <row r="39" ht="16.5" customHeight="1"/>
    <row r="40" ht="16.5" customHeight="1"/>
    <row r="41" ht="16.5" customHeight="1"/>
    <row r="42" ht="16.5" customHeight="1"/>
    <row r="43" ht="16.5" customHeight="1"/>
    <row r="44" ht="16.5" customHeight="1"/>
    <row r="45" ht="16.5" customHeight="1"/>
    <row r="46" ht="16.5" customHeight="1"/>
    <row r="47" ht="16.5" customHeight="1"/>
    <row r="48" ht="16.5" customHeight="1"/>
    <row r="49" ht="16.5" customHeight="1"/>
    <row r="50" ht="16.5" customHeight="1"/>
    <row r="51" ht="16.5" customHeight="1"/>
    <row r="52" ht="16.5" customHeight="1"/>
    <row r="53" ht="16.5" customHeight="1"/>
    <row r="54" ht="16.5" customHeight="1"/>
    <row r="55" ht="16.5" customHeight="1"/>
    <row r="56" ht="16.5" customHeight="1"/>
    <row r="57" ht="16.5" customHeight="1"/>
    <row r="58" ht="16.5" customHeight="1"/>
    <row r="59" ht="16.5" customHeight="1"/>
    <row r="60" ht="16.5" customHeight="1"/>
    <row r="61" ht="16.5" customHeight="1"/>
    <row r="62" ht="16.5" customHeight="1"/>
    <row r="63" ht="16.5" customHeight="1"/>
    <row r="64" ht="16.5" customHeight="1"/>
    <row r="65" ht="16.5" customHeight="1"/>
    <row r="66" ht="16.5" customHeight="1"/>
    <row r="67" ht="16.5" customHeight="1"/>
    <row r="68" ht="16.5" customHeight="1"/>
    <row r="69" ht="16.5" customHeight="1"/>
    <row r="70" ht="16.5" customHeight="1"/>
    <row r="71" ht="16.5" customHeight="1"/>
    <row r="72" ht="16.5" customHeight="1"/>
    <row r="73" ht="16.5" customHeight="1"/>
    <row r="74" ht="16.5" customHeight="1"/>
    <row r="75" ht="16.5" customHeight="1"/>
    <row r="76" ht="16.5" customHeight="1"/>
    <row r="77" ht="16.5" customHeight="1"/>
    <row r="78" ht="16.5" customHeight="1"/>
    <row r="79" ht="16.5" customHeight="1"/>
    <row r="80" ht="16.5" customHeight="1"/>
    <row r="81" ht="16.5" customHeight="1"/>
    <row r="82" ht="16.5" customHeight="1"/>
    <row r="83" ht="16.5" customHeight="1"/>
    <row r="84" ht="16.5" customHeight="1"/>
    <row r="85" ht="16.5" customHeight="1"/>
    <row r="86" ht="16.5" customHeight="1"/>
    <row r="87" ht="16.5" customHeight="1"/>
    <row r="88" ht="16.5" customHeight="1"/>
    <row r="89" ht="16.5" customHeight="1"/>
    <row r="90" ht="16.5" customHeight="1"/>
    <row r="91" ht="16.5" customHeight="1"/>
    <row r="92" ht="16.5" customHeight="1"/>
    <row r="93" ht="16.5" customHeight="1"/>
    <row r="94" ht="16.5" customHeight="1"/>
    <row r="95" ht="16.5" customHeight="1"/>
    <row r="96" ht="16.5" customHeight="1"/>
    <row r="97" ht="16.5" customHeight="1"/>
    <row r="98" ht="16.5" customHeight="1"/>
    <row r="99" ht="16.5" customHeight="1"/>
    <row r="100" ht="16.5" customHeight="1"/>
    <row r="101" ht="16.5" customHeight="1"/>
    <row r="102" ht="16.5" customHeight="1"/>
    <row r="103" ht="16.5" customHeight="1"/>
    <row r="104" ht="16.5" customHeight="1"/>
    <row r="105" ht="16.5" customHeight="1"/>
    <row r="106" ht="16.5" customHeight="1"/>
    <row r="107" ht="16.5" customHeight="1"/>
    <row r="108" ht="16.5" customHeight="1"/>
    <row r="109" ht="16.5" customHeight="1"/>
    <row r="110" ht="16.5" customHeight="1"/>
    <row r="111" ht="16.5" customHeight="1"/>
    <row r="112" ht="16.5" customHeight="1"/>
    <row r="113" ht="16.5" customHeight="1"/>
    <row r="114" ht="16.5" customHeight="1"/>
    <row r="115" ht="16.5" customHeight="1"/>
    <row r="116" ht="16.5" customHeight="1"/>
    <row r="117" ht="16.5" customHeight="1"/>
    <row r="118" ht="16.5" customHeight="1"/>
    <row r="119" ht="16.5" customHeight="1"/>
    <row r="120" ht="16.5" customHeight="1"/>
    <row r="121" ht="16.5" customHeight="1"/>
    <row r="122" ht="16.5" customHeight="1"/>
    <row r="123" ht="16.5" customHeight="1"/>
    <row r="124" ht="16.5" customHeight="1"/>
    <row r="125" ht="16.5" customHeight="1"/>
    <row r="126" ht="16.5" customHeight="1"/>
    <row r="127" ht="16.5" customHeight="1"/>
    <row r="128" ht="16.5" customHeight="1"/>
    <row r="129" ht="16.5" customHeight="1"/>
    <row r="130" ht="16.5" customHeight="1"/>
    <row r="131" ht="16.5" customHeight="1"/>
    <row r="132" ht="16.5" customHeight="1"/>
    <row r="133" ht="16.5" customHeight="1"/>
    <row r="134" ht="16.5" customHeight="1"/>
    <row r="135" ht="16.5" customHeight="1"/>
    <row r="136" ht="16.5" customHeight="1"/>
    <row r="137" ht="16.5" customHeight="1"/>
    <row r="138" ht="16.5" customHeight="1"/>
    <row r="139" ht="16.5" customHeight="1"/>
    <row r="140" ht="16.5" customHeight="1"/>
    <row r="141" ht="16.5" customHeight="1"/>
    <row r="142" ht="16.5" customHeight="1"/>
    <row r="143" ht="16.5" customHeight="1"/>
    <row r="144" ht="16.5" customHeight="1"/>
    <row r="145" ht="16.5" customHeight="1"/>
    <row r="146" ht="16.5" customHeight="1"/>
    <row r="147" ht="16.5" customHeight="1"/>
    <row r="148" ht="16.5" customHeight="1"/>
    <row r="149" ht="16.5" customHeight="1"/>
    <row r="150" ht="16.5" customHeight="1"/>
    <row r="151" ht="16.5" customHeight="1"/>
    <row r="152" ht="16.5" customHeight="1"/>
    <row r="153" ht="16.5" customHeight="1"/>
    <row r="154" ht="16.5" customHeight="1"/>
    <row r="155" ht="16.5" customHeight="1"/>
    <row r="156" ht="16.5" customHeight="1"/>
    <row r="157" ht="16.5" customHeight="1"/>
    <row r="158" ht="16.5" customHeight="1"/>
    <row r="159" ht="16.5" customHeight="1"/>
    <row r="160" ht="16.5" customHeight="1"/>
    <row r="161" ht="16.5" customHeight="1"/>
    <row r="162" ht="16.5" customHeight="1"/>
    <row r="163" ht="16.5" customHeight="1"/>
    <row r="164" ht="16.5" customHeight="1"/>
    <row r="165" ht="16.5" customHeight="1"/>
    <row r="166" ht="16.5" customHeight="1"/>
    <row r="167" ht="16.5" customHeight="1"/>
    <row r="168" ht="16.5" customHeight="1"/>
    <row r="169" ht="16.5" customHeight="1"/>
    <row r="170" ht="16.5" customHeight="1"/>
    <row r="171" ht="16.5" customHeight="1"/>
    <row r="172" ht="16.5" customHeight="1"/>
    <row r="173" ht="16.5" customHeight="1"/>
    <row r="174" ht="16.5" customHeight="1"/>
    <row r="175" ht="16.5" customHeight="1"/>
    <row r="176" ht="16.5" customHeight="1"/>
    <row r="177" ht="16.5" customHeight="1"/>
    <row r="178" ht="16.5" customHeight="1"/>
    <row r="179" ht="16.5" customHeight="1"/>
    <row r="180" ht="16.5" customHeight="1"/>
    <row r="181" ht="16.5" customHeight="1"/>
    <row r="182" ht="16.5" customHeight="1"/>
    <row r="183" ht="16.5" customHeight="1"/>
    <row r="184" ht="16.5" customHeight="1"/>
    <row r="185" ht="16.5" customHeight="1"/>
    <row r="186" ht="16.5" customHeight="1"/>
    <row r="187" ht="16.5" customHeight="1"/>
    <row r="188" ht="16.5" customHeight="1"/>
    <row r="189" ht="16.5" customHeight="1"/>
    <row r="190" ht="16.5" customHeight="1"/>
    <row r="191" ht="16.5" customHeight="1"/>
    <row r="192" ht="16.5" customHeight="1"/>
    <row r="193" ht="16.5" customHeight="1"/>
    <row r="194" ht="16.5" customHeight="1"/>
    <row r="195" ht="16.5" customHeight="1"/>
    <row r="196" ht="16.5" customHeight="1"/>
    <row r="197" ht="16.5" customHeight="1"/>
    <row r="198" ht="16.5" customHeight="1"/>
    <row r="199" ht="16.5" customHeight="1"/>
    <row r="200" ht="16.5" customHeight="1"/>
    <row r="201" ht="16.5" customHeight="1"/>
    <row r="202" ht="16.5" customHeight="1"/>
    <row r="203" ht="16.5" customHeight="1"/>
    <row r="204" ht="16.5" customHeight="1"/>
    <row r="205" ht="16.5" customHeight="1"/>
    <row r="206" ht="16.5" customHeight="1"/>
    <row r="207" ht="16.5" customHeight="1"/>
    <row r="208" ht="16.5" customHeight="1"/>
    <row r="209" ht="16.5" customHeight="1"/>
    <row r="210" ht="16.5" customHeight="1"/>
    <row r="211" ht="16.5" customHeight="1"/>
    <row r="212" ht="16.5" customHeight="1"/>
    <row r="213" ht="16.5" customHeight="1"/>
    <row r="214" ht="16.5" customHeight="1"/>
    <row r="215" ht="16.5" customHeight="1"/>
    <row r="216" ht="16.5" customHeight="1"/>
    <row r="217" ht="16.5" customHeight="1"/>
    <row r="218" ht="16.5" customHeight="1"/>
    <row r="219" ht="16.5" customHeight="1"/>
    <row r="220" ht="16.5" customHeight="1"/>
    <row r="221" ht="16.5" customHeight="1"/>
    <row r="222" ht="16.5" customHeight="1"/>
    <row r="223" ht="16.5" customHeight="1"/>
    <row r="224" ht="16.5" customHeight="1"/>
    <row r="225" ht="16.5" customHeight="1"/>
    <row r="226" ht="16.5" customHeight="1"/>
    <row r="227" ht="16.5" customHeight="1"/>
    <row r="228" ht="16.5" customHeight="1"/>
    <row r="229" ht="16.5" customHeight="1"/>
    <row r="230" ht="16.5" customHeight="1"/>
    <row r="231" ht="16.5" customHeight="1"/>
    <row r="232" ht="16.5" customHeight="1"/>
    <row r="233" ht="16.5" customHeight="1"/>
    <row r="234" ht="16.5" customHeight="1"/>
    <row r="235" ht="16.5" customHeight="1"/>
    <row r="236" ht="16.5" customHeight="1"/>
    <row r="237" ht="16.5" customHeight="1"/>
    <row r="238" ht="16.5" customHeight="1"/>
    <row r="239" ht="16.5" customHeight="1"/>
    <row r="240" ht="16.5" customHeight="1"/>
    <row r="241" ht="16.5" customHeight="1"/>
    <row r="242" ht="16.5" customHeight="1"/>
    <row r="243" ht="16.5" customHeight="1"/>
    <row r="244" ht="16.5" customHeight="1"/>
    <row r="245" ht="16.5" customHeight="1"/>
    <row r="246" ht="16.5" customHeight="1"/>
    <row r="247" ht="16.5" customHeight="1"/>
    <row r="248" ht="16.5" customHeight="1"/>
    <row r="249" ht="16.5" customHeight="1"/>
    <row r="250" ht="16.5" customHeight="1"/>
    <row r="251" ht="16.5" customHeight="1"/>
    <row r="252" ht="16.5" customHeight="1"/>
    <row r="253" ht="16.5" customHeight="1"/>
    <row r="254" ht="16.5" customHeight="1"/>
    <row r="255" ht="16.5" customHeight="1"/>
    <row r="256" ht="16.5" customHeight="1"/>
    <row r="257" ht="16.5" customHeight="1"/>
    <row r="258" ht="16.5" customHeight="1"/>
    <row r="259" ht="16.5" customHeight="1"/>
    <row r="260" ht="16.5" customHeight="1"/>
    <row r="261" ht="16.5" customHeight="1"/>
    <row r="262" ht="16.5" customHeight="1"/>
    <row r="263" ht="16.5" customHeight="1"/>
    <row r="264" ht="16.5" customHeight="1"/>
    <row r="265" ht="16.5" customHeight="1"/>
    <row r="266" ht="16.5" customHeight="1"/>
    <row r="267" ht="16.5" customHeight="1"/>
    <row r="268" ht="16.5" customHeight="1"/>
    <row r="269" ht="16.5" customHeight="1"/>
    <row r="270" ht="16.5" customHeight="1"/>
    <row r="271" ht="16.5" customHeight="1"/>
    <row r="272" ht="16.5" customHeight="1"/>
    <row r="273" ht="16.5" customHeight="1"/>
    <row r="274" ht="16.5" customHeight="1"/>
    <row r="275" ht="16.5" customHeight="1"/>
    <row r="276" ht="16.5" customHeight="1"/>
    <row r="277" ht="16.5" customHeight="1"/>
    <row r="278" ht="16.5" customHeight="1"/>
    <row r="279" ht="16.5" customHeight="1"/>
    <row r="280" ht="16.5" customHeight="1"/>
    <row r="281" ht="16.5" customHeight="1"/>
    <row r="282" ht="16.5" customHeight="1"/>
    <row r="283" ht="16.5" customHeight="1"/>
    <row r="284" ht="16.5" customHeight="1"/>
    <row r="285" ht="16.5" customHeight="1"/>
    <row r="286" ht="16.5" customHeight="1"/>
    <row r="287" ht="16.5" customHeight="1"/>
    <row r="288" ht="16.5" customHeight="1"/>
    <row r="289" ht="16.5" customHeight="1"/>
    <row r="290" ht="16.5" customHeight="1"/>
  </sheetData>
  <mergeCells count="6">
    <mergeCell ref="B1:E1"/>
    <mergeCell ref="F1:I1"/>
    <mergeCell ref="B2:E2"/>
    <mergeCell ref="F2:I2"/>
    <mergeCell ref="B7:E7"/>
    <mergeCell ref="F7:I7"/>
  </mergeCells>
  <phoneticPr fontId="5" type="noConversion"/>
  <pageMargins left="0.7" right="0.7" top="0.75" bottom="0.75" header="0.3" footer="0.3"/>
  <pageSetup paperSize="9" orientation="portrait" horizontalDpi="0" verticalDpi="0"/>
</worksheet>
</file>

<file path=xl/worksheets/sheet1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2930C9E-2646-4163-B900-352E8CFB6397}">
  <sheetPr codeName="工作表121"/>
  <dimension ref="A1:I294"/>
  <sheetViews>
    <sheetView zoomScaleNormal="100" workbookViewId="0"/>
  </sheetViews>
  <sheetFormatPr defaultColWidth="6.625" defaultRowHeight="13.5"/>
  <cols>
    <col min="1" max="1" width="3.125" style="4" bestFit="1" customWidth="1"/>
    <col min="2" max="2" width="5.5" style="8" customWidth="1"/>
    <col min="3" max="3" width="21" style="4" customWidth="1"/>
    <col min="4" max="4" width="26.125" style="4" customWidth="1"/>
    <col min="5" max="5" width="11.125" style="4" bestFit="1" customWidth="1"/>
    <col min="6" max="6" width="10.375" style="4" customWidth="1"/>
    <col min="7" max="7" width="40.5" style="4" bestFit="1" customWidth="1"/>
    <col min="8" max="8" width="29.625" style="4" customWidth="1"/>
    <col min="9" max="9" width="17.625" style="4" customWidth="1"/>
    <col min="10" max="16384" width="6.625" style="4"/>
  </cols>
  <sheetData>
    <row r="1" spans="1:9" ht="24">
      <c r="A1" s="1" t="e">
        <f ca="1">HYPERLINK("#'介面'!E"&amp;MATCH(VALUE(RIGHT(CELL("filename"),LEN(CELL("filename"))-FIND("]",CELL("filename")))),介面!D:D,"0"),"←")</f>
        <v>#VALUE!</v>
      </c>
      <c r="B1" s="216" t="s">
        <v>245</v>
      </c>
      <c r="C1" s="217"/>
      <c r="D1" s="217"/>
      <c r="E1" s="218"/>
      <c r="F1" s="216" t="s">
        <v>246</v>
      </c>
      <c r="G1" s="217"/>
      <c r="H1" s="217"/>
      <c r="I1" s="217"/>
    </row>
    <row r="2" spans="1:9" ht="24">
      <c r="A2" s="1"/>
      <c r="B2" s="210" t="s">
        <v>275</v>
      </c>
      <c r="C2" s="211"/>
      <c r="D2" s="211"/>
      <c r="E2" s="212"/>
      <c r="F2" s="210"/>
      <c r="G2" s="211"/>
      <c r="H2" s="211"/>
      <c r="I2" s="212"/>
    </row>
    <row r="3" spans="1:9" s="8" customFormat="1" ht="15">
      <c r="A3" s="6"/>
      <c r="B3" s="7" t="s">
        <v>276</v>
      </c>
      <c r="C3" s="56" t="s">
        <v>277</v>
      </c>
      <c r="D3" s="56" t="s">
        <v>278</v>
      </c>
      <c r="E3" s="57" t="s">
        <v>279</v>
      </c>
      <c r="F3" s="57" t="s">
        <v>280</v>
      </c>
      <c r="G3" s="56" t="s">
        <v>281</v>
      </c>
      <c r="H3" s="141" t="s">
        <v>11</v>
      </c>
      <c r="I3" s="56" t="s">
        <v>282</v>
      </c>
    </row>
    <row r="4" spans="1:9" s="24" customFormat="1" ht="15.75">
      <c r="A4" s="25"/>
      <c r="B4" s="46">
        <v>1</v>
      </c>
      <c r="C4" s="80" t="s">
        <v>297</v>
      </c>
      <c r="D4" s="80" t="s">
        <v>298</v>
      </c>
      <c r="E4" s="81" t="s">
        <v>285</v>
      </c>
      <c r="F4" s="81">
        <v>500</v>
      </c>
      <c r="G4" s="66" t="s">
        <v>330</v>
      </c>
      <c r="H4" s="142" t="s">
        <v>302</v>
      </c>
      <c r="I4" s="66" t="s">
        <v>287</v>
      </c>
    </row>
    <row r="5" spans="1:9" s="24" customFormat="1" ht="15">
      <c r="A5" s="25"/>
      <c r="B5" s="46">
        <v>2</v>
      </c>
      <c r="C5" s="50" t="s">
        <v>303</v>
      </c>
      <c r="D5" s="76" t="s">
        <v>304</v>
      </c>
      <c r="E5" s="51" t="s">
        <v>296</v>
      </c>
      <c r="F5" s="51">
        <v>20</v>
      </c>
      <c r="G5" s="66" t="s">
        <v>331</v>
      </c>
      <c r="H5" s="142"/>
      <c r="I5" s="19" t="s">
        <v>287</v>
      </c>
    </row>
    <row r="6" spans="1:9" s="95" customFormat="1" ht="15.75">
      <c r="A6" s="93"/>
      <c r="B6" s="46">
        <v>3</v>
      </c>
      <c r="C6" s="64" t="s">
        <v>637</v>
      </c>
      <c r="D6" s="64" t="s">
        <v>364</v>
      </c>
      <c r="E6" s="51" t="s">
        <v>452</v>
      </c>
      <c r="F6" s="51">
        <v>20</v>
      </c>
      <c r="G6" s="91" t="s">
        <v>331</v>
      </c>
      <c r="H6" s="142"/>
      <c r="I6" s="19" t="s">
        <v>287</v>
      </c>
    </row>
    <row r="7" spans="1:9" s="95" customFormat="1" ht="15.75">
      <c r="A7" s="93"/>
      <c r="B7" s="46">
        <v>4</v>
      </c>
      <c r="C7" s="232" t="s">
        <v>2347</v>
      </c>
      <c r="D7" s="186" t="s">
        <v>2348</v>
      </c>
      <c r="E7" s="187" t="s">
        <v>969</v>
      </c>
      <c r="F7" s="233"/>
      <c r="G7" s="66" t="s">
        <v>645</v>
      </c>
      <c r="H7" s="142"/>
      <c r="I7" s="19" t="s">
        <v>287</v>
      </c>
    </row>
    <row r="8" spans="1:9" s="95" customFormat="1" ht="15.75">
      <c r="A8" s="93"/>
      <c r="B8" s="46">
        <v>5</v>
      </c>
      <c r="C8" s="234" t="s">
        <v>2349</v>
      </c>
      <c r="D8" s="188" t="s">
        <v>2350</v>
      </c>
      <c r="E8" s="189" t="s">
        <v>969</v>
      </c>
      <c r="F8" s="235"/>
      <c r="G8" s="66" t="s">
        <v>648</v>
      </c>
      <c r="H8" s="142"/>
      <c r="I8" s="19" t="s">
        <v>287</v>
      </c>
    </row>
    <row r="9" spans="1:9" s="24" customFormat="1" ht="15">
      <c r="A9" s="25"/>
      <c r="B9" s="152"/>
      <c r="C9" s="153"/>
      <c r="D9" s="154"/>
      <c r="E9" s="155"/>
      <c r="F9" s="156"/>
      <c r="G9" s="151"/>
      <c r="H9" s="151"/>
      <c r="I9" s="157"/>
    </row>
    <row r="10" spans="1:9" ht="24">
      <c r="A10" s="1"/>
      <c r="B10" s="204" t="s">
        <v>291</v>
      </c>
      <c r="C10" s="205"/>
      <c r="D10" s="205"/>
      <c r="E10" s="206"/>
      <c r="F10" s="204"/>
      <c r="G10" s="205"/>
      <c r="H10" s="205"/>
      <c r="I10" s="206"/>
    </row>
    <row r="11" spans="1:9" s="8" customFormat="1" ht="15">
      <c r="A11" s="6"/>
      <c r="B11" s="7" t="s">
        <v>276</v>
      </c>
      <c r="C11" s="56" t="s">
        <v>277</v>
      </c>
      <c r="D11" s="56" t="s">
        <v>278</v>
      </c>
      <c r="E11" s="57" t="s">
        <v>279</v>
      </c>
      <c r="F11" s="57" t="s">
        <v>280</v>
      </c>
      <c r="G11" s="56" t="s">
        <v>11</v>
      </c>
      <c r="H11" s="56" t="s">
        <v>292</v>
      </c>
      <c r="I11" s="56" t="s">
        <v>293</v>
      </c>
    </row>
    <row r="12" spans="1:9" s="8" customFormat="1" ht="15.75">
      <c r="A12" s="6"/>
      <c r="B12" s="94">
        <v>1</v>
      </c>
      <c r="C12" s="80" t="s">
        <v>303</v>
      </c>
      <c r="D12" s="80" t="s">
        <v>304</v>
      </c>
      <c r="E12" s="81" t="s">
        <v>296</v>
      </c>
      <c r="F12" s="81">
        <v>20</v>
      </c>
      <c r="G12" s="85"/>
      <c r="H12" s="162" t="s">
        <v>41</v>
      </c>
      <c r="I12" s="162" t="s">
        <v>304</v>
      </c>
    </row>
    <row r="13" spans="1:9" s="8" customFormat="1" ht="15.75">
      <c r="A13" s="6"/>
      <c r="B13" s="94">
        <v>2</v>
      </c>
      <c r="C13" s="80" t="s">
        <v>637</v>
      </c>
      <c r="D13" s="80" t="s">
        <v>364</v>
      </c>
      <c r="E13" s="81" t="s">
        <v>296</v>
      </c>
      <c r="F13" s="81">
        <v>20</v>
      </c>
      <c r="G13" s="85"/>
      <c r="H13" s="28" t="s">
        <v>84</v>
      </c>
      <c r="I13" s="26" t="s">
        <v>364</v>
      </c>
    </row>
    <row r="14" spans="1:9" s="8" customFormat="1" ht="15.75">
      <c r="A14" s="6"/>
      <c r="B14" s="94">
        <v>3</v>
      </c>
      <c r="C14" s="80" t="s">
        <v>2351</v>
      </c>
      <c r="D14" s="80" t="s">
        <v>1601</v>
      </c>
      <c r="E14" s="81" t="s">
        <v>704</v>
      </c>
      <c r="F14" s="72" t="s">
        <v>609</v>
      </c>
      <c r="G14" s="85"/>
      <c r="H14" s="66"/>
      <c r="I14" s="82"/>
    </row>
    <row r="15" spans="1:9" s="8" customFormat="1" ht="15.75">
      <c r="A15" s="6"/>
      <c r="B15" s="94">
        <v>4</v>
      </c>
      <c r="C15" s="80" t="s">
        <v>2352</v>
      </c>
      <c r="D15" s="80" t="s">
        <v>1643</v>
      </c>
      <c r="E15" s="81" t="s">
        <v>418</v>
      </c>
      <c r="F15" s="81">
        <v>11</v>
      </c>
      <c r="G15" s="85"/>
      <c r="H15" s="66"/>
      <c r="I15" s="82"/>
    </row>
    <row r="16" spans="1:9" s="8" customFormat="1" ht="15.75">
      <c r="A16" s="6"/>
      <c r="B16" s="94">
        <v>5</v>
      </c>
      <c r="C16" s="80" t="s">
        <v>1603</v>
      </c>
      <c r="D16" s="80" t="s">
        <v>1604</v>
      </c>
      <c r="E16" s="81" t="s">
        <v>418</v>
      </c>
      <c r="F16" s="81">
        <v>11</v>
      </c>
      <c r="G16" s="85"/>
      <c r="H16" s="66"/>
      <c r="I16" s="82"/>
    </row>
    <row r="17" spans="1:9" ht="15.75">
      <c r="A17" s="58"/>
      <c r="B17" s="94">
        <v>6</v>
      </c>
      <c r="C17" s="80" t="s">
        <v>2353</v>
      </c>
      <c r="D17" s="80" t="s">
        <v>1571</v>
      </c>
      <c r="E17" s="81" t="s">
        <v>285</v>
      </c>
      <c r="F17" s="81">
        <v>20</v>
      </c>
      <c r="G17" s="85"/>
      <c r="H17" s="66"/>
      <c r="I17" s="82"/>
    </row>
    <row r="18" spans="1:9" ht="16.5" customHeight="1">
      <c r="B18" s="94">
        <v>7</v>
      </c>
      <c r="C18" s="80" t="s">
        <v>2354</v>
      </c>
      <c r="D18" s="80" t="s">
        <v>2355</v>
      </c>
      <c r="E18" s="81" t="s">
        <v>285</v>
      </c>
      <c r="F18" s="81">
        <v>50</v>
      </c>
      <c r="G18" s="85" t="s">
        <v>2356</v>
      </c>
      <c r="H18" s="66"/>
      <c r="I18" s="82"/>
    </row>
    <row r="19" spans="1:9" ht="72" customHeight="1">
      <c r="B19" s="94">
        <v>8</v>
      </c>
      <c r="C19" s="80" t="s">
        <v>2357</v>
      </c>
      <c r="D19" s="80" t="s">
        <v>2358</v>
      </c>
      <c r="E19" s="81" t="s">
        <v>285</v>
      </c>
      <c r="F19" s="81">
        <v>50</v>
      </c>
      <c r="G19" s="85" t="s">
        <v>2359</v>
      </c>
      <c r="H19" s="66"/>
      <c r="I19" s="82"/>
    </row>
    <row r="20" spans="1:9" ht="16.5" customHeight="1"/>
    <row r="21" spans="1:9" ht="16.5" customHeight="1"/>
    <row r="22" spans="1:9" ht="16.5" customHeight="1"/>
    <row r="23" spans="1:9" ht="16.5" customHeight="1"/>
    <row r="24" spans="1:9" ht="16.5" customHeight="1"/>
    <row r="25" spans="1:9" ht="16.5" customHeight="1"/>
    <row r="26" spans="1:9" ht="16.5" customHeight="1"/>
    <row r="27" spans="1:9" ht="16.5" customHeight="1"/>
    <row r="28" spans="1:9" ht="16.5" customHeight="1"/>
    <row r="29" spans="1:9" ht="16.5" customHeight="1"/>
    <row r="30" spans="1:9" ht="16.5" customHeight="1"/>
    <row r="31" spans="1:9" ht="16.5" customHeight="1"/>
    <row r="32" spans="1:9" ht="16.5" customHeight="1"/>
    <row r="33" ht="16.5" customHeight="1"/>
    <row r="34" ht="16.5" customHeight="1"/>
    <row r="35" ht="16.5" customHeight="1"/>
    <row r="36" ht="16.5" customHeight="1"/>
    <row r="37" ht="16.5" customHeight="1"/>
    <row r="38" ht="16.5" customHeight="1"/>
    <row r="39" ht="16.5" customHeight="1"/>
    <row r="40" ht="16.5" customHeight="1"/>
    <row r="41" ht="16.5" customHeight="1"/>
    <row r="42" ht="16.5" customHeight="1"/>
    <row r="43" ht="16.5" customHeight="1"/>
    <row r="44" ht="16.5" customHeight="1"/>
    <row r="45" ht="16.5" customHeight="1"/>
    <row r="46" ht="16.5" customHeight="1"/>
    <row r="47" ht="16.5" customHeight="1"/>
    <row r="48" ht="16.5" customHeight="1"/>
    <row r="49" ht="16.5" customHeight="1"/>
    <row r="50" ht="16.5" customHeight="1"/>
    <row r="51" ht="16.5" customHeight="1"/>
    <row r="52" ht="16.5" customHeight="1"/>
    <row r="53" ht="16.5" customHeight="1"/>
    <row r="54" ht="16.5" customHeight="1"/>
    <row r="55" ht="16.5" customHeight="1"/>
    <row r="56" ht="16.5" customHeight="1"/>
    <row r="57" ht="16.5" customHeight="1"/>
    <row r="58" ht="16.5" customHeight="1"/>
    <row r="59" ht="16.5" customHeight="1"/>
    <row r="60" ht="16.5" customHeight="1"/>
    <row r="61" ht="16.5" customHeight="1"/>
    <row r="62" ht="16.5" customHeight="1"/>
    <row r="63" ht="16.5" customHeight="1"/>
    <row r="64" ht="16.5" customHeight="1"/>
    <row r="65" ht="16.5" customHeight="1"/>
    <row r="66" ht="16.5" customHeight="1"/>
    <row r="67" ht="16.5" customHeight="1"/>
    <row r="68" ht="16.5" customHeight="1"/>
    <row r="69" ht="16.5" customHeight="1"/>
    <row r="70" ht="16.5" customHeight="1"/>
    <row r="71" ht="16.5" customHeight="1"/>
    <row r="72" ht="16.5" customHeight="1"/>
    <row r="73" ht="16.5" customHeight="1"/>
    <row r="74" ht="16.5" customHeight="1"/>
    <row r="75" ht="16.5" customHeight="1"/>
    <row r="76" ht="16.5" customHeight="1"/>
    <row r="77" ht="16.5" customHeight="1"/>
    <row r="78" ht="16.5" customHeight="1"/>
    <row r="79" ht="16.5" customHeight="1"/>
    <row r="80" ht="16.5" customHeight="1"/>
    <row r="81" ht="16.5" customHeight="1"/>
    <row r="82" ht="16.5" customHeight="1"/>
    <row r="83" ht="16.5" customHeight="1"/>
    <row r="84" ht="16.5" customHeight="1"/>
    <row r="85" ht="16.5" customHeight="1"/>
    <row r="86" ht="16.5" customHeight="1"/>
    <row r="87" ht="16.5" customHeight="1"/>
    <row r="88" ht="16.5" customHeight="1"/>
    <row r="89" ht="16.5" customHeight="1"/>
    <row r="90" ht="16.5" customHeight="1"/>
    <row r="91" ht="16.5" customHeight="1"/>
    <row r="92" ht="16.5" customHeight="1"/>
    <row r="93" ht="16.5" customHeight="1"/>
    <row r="94" ht="16.5" customHeight="1"/>
    <row r="95" ht="16.5" customHeight="1"/>
    <row r="96" ht="16.5" customHeight="1"/>
    <row r="97" ht="16.5" customHeight="1"/>
    <row r="98" ht="16.5" customHeight="1"/>
    <row r="99" ht="16.5" customHeight="1"/>
    <row r="100" ht="16.5" customHeight="1"/>
    <row r="101" ht="16.5" customHeight="1"/>
    <row r="102" ht="16.5" customHeight="1"/>
    <row r="103" ht="16.5" customHeight="1"/>
    <row r="104" ht="16.5" customHeight="1"/>
    <row r="105" ht="16.5" customHeight="1"/>
    <row r="106" ht="16.5" customHeight="1"/>
    <row r="107" ht="16.5" customHeight="1"/>
    <row r="108" ht="16.5" customHeight="1"/>
    <row r="109" ht="16.5" customHeight="1"/>
    <row r="110" ht="16.5" customHeight="1"/>
    <row r="111" ht="16.5" customHeight="1"/>
    <row r="112" ht="16.5" customHeight="1"/>
    <row r="113" ht="16.5" customHeight="1"/>
    <row r="114" ht="16.5" customHeight="1"/>
    <row r="115" ht="16.5" customHeight="1"/>
    <row r="116" ht="16.5" customHeight="1"/>
    <row r="117" ht="16.5" customHeight="1"/>
    <row r="118" ht="16.5" customHeight="1"/>
    <row r="119" ht="16.5" customHeight="1"/>
    <row r="120" ht="16.5" customHeight="1"/>
    <row r="121" ht="16.5" customHeight="1"/>
    <row r="122" ht="16.5" customHeight="1"/>
    <row r="123" ht="16.5" customHeight="1"/>
    <row r="124" ht="16.5" customHeight="1"/>
    <row r="125" ht="16.5" customHeight="1"/>
    <row r="126" ht="16.5" customHeight="1"/>
    <row r="127" ht="16.5" customHeight="1"/>
    <row r="128" ht="16.5" customHeight="1"/>
    <row r="129" ht="16.5" customHeight="1"/>
    <row r="130" ht="16.5" customHeight="1"/>
    <row r="131" ht="16.5" customHeight="1"/>
    <row r="132" ht="16.5" customHeight="1"/>
    <row r="133" ht="16.5" customHeight="1"/>
    <row r="134" ht="16.5" customHeight="1"/>
    <row r="135" ht="16.5" customHeight="1"/>
    <row r="136" ht="16.5" customHeight="1"/>
    <row r="137" ht="16.5" customHeight="1"/>
    <row r="138" ht="16.5" customHeight="1"/>
    <row r="139" ht="16.5" customHeight="1"/>
    <row r="140" ht="16.5" customHeight="1"/>
    <row r="141" ht="16.5" customHeight="1"/>
    <row r="142" ht="16.5" customHeight="1"/>
    <row r="143" ht="16.5" customHeight="1"/>
    <row r="144" ht="16.5" customHeight="1"/>
    <row r="145" ht="16.5" customHeight="1"/>
    <row r="146" ht="16.5" customHeight="1"/>
    <row r="147" ht="16.5" customHeight="1"/>
    <row r="148" ht="16.5" customHeight="1"/>
    <row r="149" ht="16.5" customHeight="1"/>
    <row r="150" ht="16.5" customHeight="1"/>
    <row r="151" ht="16.5" customHeight="1"/>
    <row r="152" ht="16.5" customHeight="1"/>
    <row r="153" ht="16.5" customHeight="1"/>
    <row r="154" ht="16.5" customHeight="1"/>
    <row r="155" ht="16.5" customHeight="1"/>
    <row r="156" ht="16.5" customHeight="1"/>
    <row r="157" ht="16.5" customHeight="1"/>
    <row r="158" ht="16.5" customHeight="1"/>
    <row r="159" ht="16.5" customHeight="1"/>
    <row r="160" ht="16.5" customHeight="1"/>
    <row r="161" ht="16.5" customHeight="1"/>
    <row r="162" ht="16.5" customHeight="1"/>
    <row r="163" ht="16.5" customHeight="1"/>
    <row r="164" ht="16.5" customHeight="1"/>
    <row r="165" ht="16.5" customHeight="1"/>
    <row r="166" ht="16.5" customHeight="1"/>
    <row r="167" ht="16.5" customHeight="1"/>
    <row r="168" ht="16.5" customHeight="1"/>
    <row r="169" ht="16.5" customHeight="1"/>
    <row r="170" ht="16.5" customHeight="1"/>
    <row r="171" ht="16.5" customHeight="1"/>
    <row r="172" ht="16.5" customHeight="1"/>
    <row r="173" ht="16.5" customHeight="1"/>
    <row r="174" ht="16.5" customHeight="1"/>
    <row r="175" ht="16.5" customHeight="1"/>
    <row r="176" ht="16.5" customHeight="1"/>
    <row r="177" ht="16.5" customHeight="1"/>
    <row r="178" ht="16.5" customHeight="1"/>
    <row r="179" ht="16.5" customHeight="1"/>
    <row r="180" ht="16.5" customHeight="1"/>
    <row r="181" ht="16.5" customHeight="1"/>
    <row r="182" ht="16.5" customHeight="1"/>
    <row r="183" ht="16.5" customHeight="1"/>
    <row r="184" ht="16.5" customHeight="1"/>
    <row r="185" ht="16.5" customHeight="1"/>
    <row r="186" ht="16.5" customHeight="1"/>
    <row r="187" ht="16.5" customHeight="1"/>
    <row r="188" ht="16.5" customHeight="1"/>
    <row r="189" ht="16.5" customHeight="1"/>
    <row r="190" ht="16.5" customHeight="1"/>
    <row r="191" ht="16.5" customHeight="1"/>
    <row r="192" ht="16.5" customHeight="1"/>
    <row r="193" ht="16.5" customHeight="1"/>
    <row r="194" ht="16.5" customHeight="1"/>
    <row r="195" ht="16.5" customHeight="1"/>
    <row r="196" ht="16.5" customHeight="1"/>
    <row r="197" ht="16.5" customHeight="1"/>
    <row r="198" ht="16.5" customHeight="1"/>
    <row r="199" ht="16.5" customHeight="1"/>
    <row r="200" ht="16.5" customHeight="1"/>
    <row r="201" ht="16.5" customHeight="1"/>
    <row r="202" ht="16.5" customHeight="1"/>
    <row r="203" ht="16.5" customHeight="1"/>
    <row r="204" ht="16.5" customHeight="1"/>
    <row r="205" ht="16.5" customHeight="1"/>
    <row r="206" ht="16.5" customHeight="1"/>
    <row r="207" ht="16.5" customHeight="1"/>
    <row r="208" ht="16.5" customHeight="1"/>
    <row r="209" ht="16.5" customHeight="1"/>
    <row r="210" ht="16.5" customHeight="1"/>
    <row r="211" ht="16.5" customHeight="1"/>
    <row r="212" ht="16.5" customHeight="1"/>
    <row r="213" ht="16.5" customHeight="1"/>
    <row r="214" ht="16.5" customHeight="1"/>
    <row r="215" ht="16.5" customHeight="1"/>
    <row r="216" ht="16.5" customHeight="1"/>
    <row r="217" ht="16.5" customHeight="1"/>
    <row r="218" ht="16.5" customHeight="1"/>
    <row r="219" ht="16.5" customHeight="1"/>
    <row r="220" ht="16.5" customHeight="1"/>
    <row r="221" ht="16.5" customHeight="1"/>
    <row r="222" ht="16.5" customHeight="1"/>
    <row r="223" ht="16.5" customHeight="1"/>
    <row r="224" ht="16.5" customHeight="1"/>
    <row r="225" ht="16.5" customHeight="1"/>
    <row r="226" ht="16.5" customHeight="1"/>
    <row r="227" ht="16.5" customHeight="1"/>
    <row r="228" ht="16.5" customHeight="1"/>
    <row r="229" ht="16.5" customHeight="1"/>
    <row r="230" ht="16.5" customHeight="1"/>
    <row r="231" ht="16.5" customHeight="1"/>
    <row r="232" ht="16.5" customHeight="1"/>
    <row r="233" ht="16.5" customHeight="1"/>
    <row r="234" ht="16.5" customHeight="1"/>
    <row r="235" ht="16.5" customHeight="1"/>
    <row r="236" ht="16.5" customHeight="1"/>
    <row r="237" ht="16.5" customHeight="1"/>
    <row r="238" ht="16.5" customHeight="1"/>
    <row r="239" ht="16.5" customHeight="1"/>
    <row r="240" ht="16.5" customHeight="1"/>
    <row r="241" ht="16.5" customHeight="1"/>
    <row r="242" ht="16.5" customHeight="1"/>
    <row r="243" ht="16.5" customHeight="1"/>
    <row r="244" ht="16.5" customHeight="1"/>
    <row r="245" ht="16.5" customHeight="1"/>
    <row r="246" ht="16.5" customHeight="1"/>
    <row r="247" ht="16.5" customHeight="1"/>
    <row r="248" ht="16.5" customHeight="1"/>
    <row r="249" ht="16.5" customHeight="1"/>
    <row r="250" ht="16.5" customHeight="1"/>
    <row r="251" ht="16.5" customHeight="1"/>
    <row r="252" ht="16.5" customHeight="1"/>
    <row r="253" ht="16.5" customHeight="1"/>
    <row r="254" ht="16.5" customHeight="1"/>
    <row r="255" ht="16.5" customHeight="1"/>
    <row r="256" ht="16.5" customHeight="1"/>
    <row r="257" ht="16.5" customHeight="1"/>
    <row r="258" ht="16.5" customHeight="1"/>
    <row r="259" ht="16.5" customHeight="1"/>
    <row r="260" ht="16.5" customHeight="1"/>
    <row r="261" ht="16.5" customHeight="1"/>
    <row r="262" ht="16.5" customHeight="1"/>
    <row r="263" ht="16.5" customHeight="1"/>
    <row r="264" ht="16.5" customHeight="1"/>
    <row r="265" ht="16.5" customHeight="1"/>
    <row r="266" ht="16.5" customHeight="1"/>
    <row r="267" ht="16.5" customHeight="1"/>
    <row r="268" ht="16.5" customHeight="1"/>
    <row r="269" ht="16.5" customHeight="1"/>
    <row r="270" ht="16.5" customHeight="1"/>
    <row r="271" ht="16.5" customHeight="1"/>
    <row r="272" ht="16.5" customHeight="1"/>
    <row r="273" ht="16.5" customHeight="1"/>
    <row r="274" ht="16.5" customHeight="1"/>
    <row r="275" ht="16.5" customHeight="1"/>
    <row r="276" ht="16.5" customHeight="1"/>
    <row r="277" ht="16.5" customHeight="1"/>
    <row r="278" ht="16.5" customHeight="1"/>
    <row r="279" ht="16.5" customHeight="1"/>
    <row r="280" ht="16.5" customHeight="1"/>
    <row r="281" ht="16.5" customHeight="1"/>
    <row r="282" ht="16.5" customHeight="1"/>
    <row r="283" ht="16.5" customHeight="1"/>
    <row r="284" ht="16.5" customHeight="1"/>
    <row r="285" ht="16.5" customHeight="1"/>
    <row r="286" ht="16.5" customHeight="1"/>
    <row r="287" ht="16.5" customHeight="1"/>
    <row r="288" ht="16.5" customHeight="1"/>
    <row r="289" ht="16.5" customHeight="1"/>
    <row r="290" ht="16.5" customHeight="1"/>
    <row r="291" ht="16.5" customHeight="1"/>
    <row r="292" ht="16.5" customHeight="1"/>
    <row r="293" ht="16.5" customHeight="1"/>
    <row r="294" ht="16.5" customHeight="1"/>
  </sheetData>
  <mergeCells count="6">
    <mergeCell ref="B1:E1"/>
    <mergeCell ref="F1:I1"/>
    <mergeCell ref="B2:E2"/>
    <mergeCell ref="F2:I2"/>
    <mergeCell ref="B10:E10"/>
    <mergeCell ref="F10:I10"/>
  </mergeCells>
  <phoneticPr fontId="5" type="noConversion"/>
  <pageMargins left="0.7" right="0.7" top="0.75" bottom="0.75" header="0.3" footer="0.3"/>
  <pageSetup paperSize="9" orientation="portrait" horizontalDpi="0" verticalDpi="0"/>
</worksheet>
</file>

<file path=xl/worksheets/sheet1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6DDB9E2-6EAB-4510-B9F1-5BADEEE87AE8}">
  <sheetPr codeName="工作表125"/>
  <dimension ref="A1:I303"/>
  <sheetViews>
    <sheetView tabSelected="1" zoomScaleNormal="100" workbookViewId="0">
      <selection activeCell="A22" sqref="A22:IV23"/>
    </sheetView>
  </sheetViews>
  <sheetFormatPr defaultColWidth="6.625" defaultRowHeight="13.5"/>
  <cols>
    <col min="1" max="1" width="3.125" style="4" bestFit="1" customWidth="1"/>
    <col min="2" max="2" width="5.5" style="8" customWidth="1"/>
    <col min="3" max="3" width="21" style="4" customWidth="1"/>
    <col min="4" max="4" width="26.125" style="4" customWidth="1"/>
    <col min="5" max="5" width="14.625" style="4" customWidth="1"/>
    <col min="6" max="6" width="10.375" style="4" customWidth="1"/>
    <col min="7" max="7" width="40.5" style="4" bestFit="1" customWidth="1"/>
    <col min="8" max="8" width="34.375" style="4" bestFit="1" customWidth="1"/>
    <col min="9" max="9" width="17.625" style="4" customWidth="1"/>
    <col min="10" max="16384" width="6.625" style="4"/>
  </cols>
  <sheetData>
    <row r="1" spans="1:9" ht="24">
      <c r="A1" s="1" t="e">
        <f ca="1">HYPERLINK("#'介面'!E"&amp;MATCH(VALUE(RIGHT(CELL("filename"),LEN(CELL("filename"))-FIND("]",CELL("filename")))),介面!D:D,"0"),"←")</f>
        <v>#VALUE!</v>
      </c>
      <c r="B1" s="216" t="s">
        <v>247</v>
      </c>
      <c r="C1" s="217"/>
      <c r="D1" s="217"/>
      <c r="E1" s="218"/>
      <c r="F1" s="216" t="s">
        <v>248</v>
      </c>
      <c r="G1" s="217"/>
      <c r="H1" s="217"/>
      <c r="I1" s="217"/>
    </row>
    <row r="2" spans="1:9" ht="24">
      <c r="A2" s="1"/>
      <c r="B2" s="210" t="s">
        <v>275</v>
      </c>
      <c r="C2" s="211"/>
      <c r="D2" s="211"/>
      <c r="E2" s="212"/>
      <c r="F2" s="210"/>
      <c r="G2" s="211"/>
      <c r="H2" s="211"/>
      <c r="I2" s="212"/>
    </row>
    <row r="3" spans="1:9" s="8" customFormat="1" ht="15">
      <c r="A3" s="6"/>
      <c r="B3" s="7" t="s">
        <v>276</v>
      </c>
      <c r="C3" s="56" t="s">
        <v>277</v>
      </c>
      <c r="D3" s="56" t="s">
        <v>278</v>
      </c>
      <c r="E3" s="57" t="s">
        <v>279</v>
      </c>
      <c r="F3" s="57" t="s">
        <v>280</v>
      </c>
      <c r="G3" s="56" t="s">
        <v>281</v>
      </c>
      <c r="H3" s="141" t="s">
        <v>11</v>
      </c>
      <c r="I3" s="56" t="s">
        <v>282</v>
      </c>
    </row>
    <row r="4" spans="1:9" s="24" customFormat="1" ht="15.75">
      <c r="A4" s="25"/>
      <c r="B4" s="46">
        <v>1</v>
      </c>
      <c r="C4" s="80" t="s">
        <v>297</v>
      </c>
      <c r="D4" s="80" t="s">
        <v>298</v>
      </c>
      <c r="E4" s="81" t="s">
        <v>285</v>
      </c>
      <c r="F4" s="81">
        <v>500</v>
      </c>
      <c r="G4" s="66" t="s">
        <v>330</v>
      </c>
      <c r="H4" s="142" t="s">
        <v>302</v>
      </c>
      <c r="I4" s="66" t="s">
        <v>287</v>
      </c>
    </row>
    <row r="5" spans="1:9" s="24" customFormat="1" ht="15">
      <c r="A5" s="25"/>
      <c r="B5" s="46">
        <v>2</v>
      </c>
      <c r="C5" s="50" t="s">
        <v>303</v>
      </c>
      <c r="D5" s="50" t="s">
        <v>304</v>
      </c>
      <c r="E5" s="51" t="s">
        <v>452</v>
      </c>
      <c r="F5" s="51">
        <v>20</v>
      </c>
      <c r="G5" s="66" t="s">
        <v>331</v>
      </c>
      <c r="H5" s="142"/>
      <c r="I5" s="66" t="s">
        <v>287</v>
      </c>
    </row>
    <row r="6" spans="1:9" s="95" customFormat="1" ht="15.75">
      <c r="A6" s="93"/>
      <c r="B6" s="46">
        <v>3</v>
      </c>
      <c r="C6" s="64" t="s">
        <v>637</v>
      </c>
      <c r="D6" s="64" t="s">
        <v>364</v>
      </c>
      <c r="E6" s="51" t="s">
        <v>452</v>
      </c>
      <c r="F6" s="51">
        <v>20</v>
      </c>
      <c r="G6" s="91" t="s">
        <v>331</v>
      </c>
      <c r="H6" s="142"/>
      <c r="I6" s="66" t="s">
        <v>287</v>
      </c>
    </row>
    <row r="7" spans="1:9" s="24" customFormat="1" ht="15">
      <c r="A7" s="25"/>
      <c r="B7" s="46">
        <v>4</v>
      </c>
      <c r="C7" s="50" t="s">
        <v>1862</v>
      </c>
      <c r="D7" s="50" t="s">
        <v>1863</v>
      </c>
      <c r="E7" s="51" t="s">
        <v>452</v>
      </c>
      <c r="F7" s="51">
        <v>20</v>
      </c>
      <c r="G7" s="91" t="s">
        <v>331</v>
      </c>
      <c r="H7" s="173"/>
      <c r="I7" s="19" t="s">
        <v>287</v>
      </c>
    </row>
    <row r="8" spans="1:9" s="24" customFormat="1" ht="15.75">
      <c r="B8" s="46">
        <v>5</v>
      </c>
      <c r="C8" s="80" t="s">
        <v>1864</v>
      </c>
      <c r="D8" s="80" t="s">
        <v>1865</v>
      </c>
      <c r="E8" s="51" t="s">
        <v>452</v>
      </c>
      <c r="F8" s="51">
        <v>20</v>
      </c>
      <c r="G8" s="91" t="s">
        <v>1590</v>
      </c>
      <c r="H8" s="142" t="s">
        <v>2360</v>
      </c>
      <c r="I8" s="66" t="s">
        <v>639</v>
      </c>
    </row>
    <row r="9" spans="1:9" s="24" customFormat="1" ht="63">
      <c r="B9" s="46">
        <v>6</v>
      </c>
      <c r="C9" s="80" t="s">
        <v>2361</v>
      </c>
      <c r="D9" s="80" t="s">
        <v>2362</v>
      </c>
      <c r="E9" s="81" t="s">
        <v>2363</v>
      </c>
      <c r="F9" s="81"/>
      <c r="G9" s="176" t="s">
        <v>2364</v>
      </c>
      <c r="H9" s="81"/>
      <c r="I9" s="190" t="s">
        <v>287</v>
      </c>
    </row>
    <row r="10" spans="1:9" s="24" customFormat="1" ht="15.75">
      <c r="A10" s="25"/>
      <c r="B10" s="46">
        <v>7</v>
      </c>
      <c r="C10" s="80" t="s">
        <v>1877</v>
      </c>
      <c r="D10" s="80" t="s">
        <v>1878</v>
      </c>
      <c r="E10" s="81" t="s">
        <v>285</v>
      </c>
      <c r="F10" s="81"/>
      <c r="G10" s="88" t="s">
        <v>2365</v>
      </c>
      <c r="H10" s="175"/>
      <c r="I10" s="66" t="s">
        <v>287</v>
      </c>
    </row>
    <row r="11" spans="1:9" s="24" customFormat="1" ht="15.75">
      <c r="A11" s="25"/>
      <c r="B11" s="46">
        <v>8</v>
      </c>
      <c r="C11" s="80" t="s">
        <v>1881</v>
      </c>
      <c r="D11" s="80" t="s">
        <v>1882</v>
      </c>
      <c r="E11" s="81" t="s">
        <v>285</v>
      </c>
      <c r="F11" s="81"/>
      <c r="G11" s="88" t="s">
        <v>2366</v>
      </c>
      <c r="H11" s="175"/>
      <c r="I11" s="66" t="s">
        <v>287</v>
      </c>
    </row>
    <row r="12" spans="1:9" s="24" customFormat="1" ht="16.350000000000001" customHeight="1">
      <c r="B12" s="46">
        <v>9</v>
      </c>
      <c r="C12" s="80" t="s">
        <v>2367</v>
      </c>
      <c r="D12" s="132" t="s">
        <v>1876</v>
      </c>
      <c r="E12" s="51" t="s">
        <v>452</v>
      </c>
      <c r="F12" s="51">
        <v>20</v>
      </c>
      <c r="G12" s="91" t="s">
        <v>331</v>
      </c>
      <c r="H12" s="142" t="s">
        <v>2368</v>
      </c>
      <c r="I12" s="66" t="s">
        <v>639</v>
      </c>
    </row>
    <row r="13" spans="1:9" s="24" customFormat="1" ht="15.75">
      <c r="A13" s="25"/>
      <c r="B13" s="46">
        <v>10</v>
      </c>
      <c r="C13" s="80" t="s">
        <v>1884</v>
      </c>
      <c r="D13" s="132" t="s">
        <v>1611</v>
      </c>
      <c r="E13" s="81" t="s">
        <v>285</v>
      </c>
      <c r="F13" s="81">
        <v>300</v>
      </c>
      <c r="G13" s="88" t="s">
        <v>2369</v>
      </c>
      <c r="H13" s="142" t="s">
        <v>2368</v>
      </c>
      <c r="I13" s="66" t="s">
        <v>639</v>
      </c>
    </row>
    <row r="14" spans="1:9" s="24" customFormat="1" ht="48" customHeight="1">
      <c r="B14" s="46">
        <v>11</v>
      </c>
      <c r="C14" s="80" t="s">
        <v>1615</v>
      </c>
      <c r="D14" s="132" t="s">
        <v>1616</v>
      </c>
      <c r="E14" s="87" t="s">
        <v>979</v>
      </c>
      <c r="F14" s="81"/>
      <c r="G14" s="85" t="s">
        <v>2277</v>
      </c>
      <c r="H14" s="159"/>
      <c r="I14" s="19" t="s">
        <v>639</v>
      </c>
    </row>
    <row r="15" spans="1:9" s="24" customFormat="1" ht="15.75">
      <c r="B15" s="46">
        <v>12</v>
      </c>
      <c r="C15" s="80" t="s">
        <v>1871</v>
      </c>
      <c r="D15" s="80" t="s">
        <v>1872</v>
      </c>
      <c r="E15" s="81" t="s">
        <v>326</v>
      </c>
      <c r="F15" s="81">
        <v>4</v>
      </c>
      <c r="G15" s="28" t="s">
        <v>331</v>
      </c>
      <c r="H15" s="142" t="s">
        <v>2370</v>
      </c>
      <c r="I15" s="66" t="s">
        <v>287</v>
      </c>
    </row>
    <row r="16" spans="1:9" s="24" customFormat="1" ht="33" customHeight="1">
      <c r="B16" s="46">
        <v>13</v>
      </c>
      <c r="C16" s="80" t="s">
        <v>2371</v>
      </c>
      <c r="D16" s="132" t="s">
        <v>2372</v>
      </c>
      <c r="E16" s="87" t="s">
        <v>2373</v>
      </c>
      <c r="F16" s="81"/>
      <c r="G16" s="85" t="s">
        <v>2374</v>
      </c>
      <c r="H16" s="175" t="s">
        <v>2375</v>
      </c>
      <c r="I16" s="19" t="s">
        <v>639</v>
      </c>
    </row>
    <row r="17" spans="1:9" s="24" customFormat="1" ht="31.5">
      <c r="B17" s="46">
        <v>14</v>
      </c>
      <c r="C17" s="80" t="s">
        <v>2376</v>
      </c>
      <c r="D17" s="132" t="s">
        <v>2377</v>
      </c>
      <c r="E17" s="51" t="s">
        <v>452</v>
      </c>
      <c r="F17" s="236">
        <v>20</v>
      </c>
      <c r="G17" s="237" t="s">
        <v>2154</v>
      </c>
      <c r="H17" s="173" t="s">
        <v>2378</v>
      </c>
      <c r="I17" s="66" t="s">
        <v>639</v>
      </c>
    </row>
    <row r="18" spans="1:9" s="24" customFormat="1" ht="33" customHeight="1">
      <c r="B18" s="46">
        <v>15</v>
      </c>
      <c r="C18" s="80" t="s">
        <v>2379</v>
      </c>
      <c r="D18" s="80" t="s">
        <v>2380</v>
      </c>
      <c r="E18" s="81" t="s">
        <v>2363</v>
      </c>
      <c r="F18" s="81"/>
      <c r="G18" s="176" t="s">
        <v>2381</v>
      </c>
      <c r="H18" s="175" t="s">
        <v>2378</v>
      </c>
      <c r="I18" s="19" t="s">
        <v>639</v>
      </c>
    </row>
    <row r="19" spans="1:9" s="24" customFormat="1" ht="33" customHeight="1">
      <c r="B19" s="46">
        <v>16</v>
      </c>
      <c r="C19" s="80" t="s">
        <v>2382</v>
      </c>
      <c r="D19" s="80" t="s">
        <v>2383</v>
      </c>
      <c r="E19" s="81" t="s">
        <v>285</v>
      </c>
      <c r="F19" s="81">
        <v>300</v>
      </c>
      <c r="G19" s="88" t="s">
        <v>2369</v>
      </c>
      <c r="H19" s="175" t="s">
        <v>2378</v>
      </c>
      <c r="I19" s="19" t="s">
        <v>639</v>
      </c>
    </row>
    <row r="20" spans="1:9" s="24" customFormat="1" ht="48" customHeight="1">
      <c r="B20" s="46">
        <v>17</v>
      </c>
      <c r="C20" s="80" t="s">
        <v>2384</v>
      </c>
      <c r="D20" s="80" t="s">
        <v>2385</v>
      </c>
      <c r="E20" s="81" t="s">
        <v>326</v>
      </c>
      <c r="F20" s="81">
        <v>4</v>
      </c>
      <c r="G20" s="28" t="s">
        <v>2386</v>
      </c>
      <c r="H20" s="175" t="s">
        <v>2378</v>
      </c>
      <c r="I20" s="19" t="s">
        <v>639</v>
      </c>
    </row>
    <row r="21" spans="1:9" s="24" customFormat="1" ht="15.75">
      <c r="A21" s="25"/>
      <c r="B21" s="46">
        <v>18</v>
      </c>
      <c r="C21" s="86" t="s">
        <v>2387</v>
      </c>
      <c r="D21" s="86" t="s">
        <v>1858</v>
      </c>
      <c r="E21" s="87" t="s">
        <v>296</v>
      </c>
      <c r="F21" s="87">
        <v>20</v>
      </c>
      <c r="G21" s="89" t="s">
        <v>133</v>
      </c>
      <c r="H21" s="142" t="s">
        <v>2278</v>
      </c>
      <c r="I21" s="66" t="s">
        <v>639</v>
      </c>
    </row>
    <row r="22" spans="1:9" s="24" customFormat="1" ht="15.75">
      <c r="A22" s="25"/>
      <c r="B22" s="46">
        <v>19</v>
      </c>
      <c r="C22" s="50" t="s">
        <v>1621</v>
      </c>
      <c r="D22" s="50" t="s">
        <v>1622</v>
      </c>
      <c r="E22" s="51" t="s">
        <v>285</v>
      </c>
      <c r="F22" s="51">
        <v>50</v>
      </c>
      <c r="G22" s="89" t="s">
        <v>2282</v>
      </c>
      <c r="H22" s="142"/>
      <c r="I22" s="66" t="s">
        <v>287</v>
      </c>
    </row>
    <row r="23" spans="1:9" s="24" customFormat="1" ht="15.75">
      <c r="A23" s="25"/>
      <c r="B23" s="46">
        <v>20</v>
      </c>
      <c r="C23" s="26" t="s">
        <v>1588</v>
      </c>
      <c r="D23" s="26" t="s">
        <v>1589</v>
      </c>
      <c r="E23" s="27" t="s">
        <v>326</v>
      </c>
      <c r="F23" s="27">
        <v>4</v>
      </c>
      <c r="G23" s="89" t="s">
        <v>1591</v>
      </c>
      <c r="H23" s="142"/>
      <c r="I23" s="66" t="s">
        <v>287</v>
      </c>
    </row>
    <row r="24" spans="1:9" s="24" customFormat="1" ht="15">
      <c r="A24" s="25"/>
      <c r="B24" s="152"/>
      <c r="C24" s="153"/>
      <c r="D24" s="154"/>
      <c r="E24" s="155"/>
      <c r="F24" s="156"/>
      <c r="G24" s="151"/>
      <c r="H24" s="151"/>
      <c r="I24" s="157"/>
    </row>
    <row r="25" spans="1:9" ht="24">
      <c r="A25" s="1"/>
      <c r="B25" s="204" t="s">
        <v>291</v>
      </c>
      <c r="C25" s="205"/>
      <c r="D25" s="205"/>
      <c r="E25" s="206"/>
      <c r="F25" s="204"/>
      <c r="G25" s="205"/>
      <c r="H25" s="205"/>
      <c r="I25" s="206"/>
    </row>
    <row r="26" spans="1:9" s="8" customFormat="1" ht="15">
      <c r="A26" s="6"/>
      <c r="B26" s="7" t="s">
        <v>276</v>
      </c>
      <c r="C26" s="56" t="s">
        <v>277</v>
      </c>
      <c r="D26" s="56" t="s">
        <v>278</v>
      </c>
      <c r="E26" s="57" t="s">
        <v>279</v>
      </c>
      <c r="F26" s="57" t="s">
        <v>280</v>
      </c>
      <c r="G26" s="56" t="s">
        <v>11</v>
      </c>
      <c r="H26" s="56" t="s">
        <v>292</v>
      </c>
      <c r="I26" s="56" t="s">
        <v>293</v>
      </c>
    </row>
    <row r="27" spans="1:9" s="24" customFormat="1" ht="15.75">
      <c r="A27" s="25"/>
      <c r="B27" s="46">
        <v>1</v>
      </c>
      <c r="C27" s="86" t="s">
        <v>1834</v>
      </c>
      <c r="D27" s="86" t="s">
        <v>1835</v>
      </c>
      <c r="E27" s="87"/>
      <c r="F27" s="87"/>
      <c r="G27" s="85" t="s">
        <v>1836</v>
      </c>
      <c r="H27" s="28"/>
      <c r="I27" s="86"/>
    </row>
    <row r="28" spans="1:9" s="24" customFormat="1" ht="15.75">
      <c r="A28" s="25"/>
      <c r="B28" s="46">
        <v>2</v>
      </c>
      <c r="C28" s="86" t="s">
        <v>1837</v>
      </c>
      <c r="D28" s="86" t="s">
        <v>1838</v>
      </c>
      <c r="E28" s="87"/>
      <c r="F28" s="87"/>
      <c r="G28" s="85" t="s">
        <v>1836</v>
      </c>
      <c r="H28" s="28"/>
      <c r="I28" s="86"/>
    </row>
    <row r="29" spans="1:9" ht="16.5" customHeight="1"/>
    <row r="30" spans="1:9" ht="16.5" customHeight="1"/>
    <row r="31" spans="1:9" ht="16.5" customHeight="1"/>
    <row r="32" spans="1:9" ht="16.5" customHeight="1"/>
    <row r="33" ht="16.5" customHeight="1"/>
    <row r="34" ht="16.5" customHeight="1"/>
    <row r="35" ht="16.5" customHeight="1"/>
    <row r="36" ht="16.5" customHeight="1"/>
    <row r="37" ht="16.5" customHeight="1"/>
    <row r="38" ht="16.5" customHeight="1"/>
    <row r="39" ht="16.5" customHeight="1"/>
    <row r="40" ht="16.5" customHeight="1"/>
    <row r="41" ht="16.5" customHeight="1"/>
    <row r="42" ht="16.5" customHeight="1"/>
    <row r="43" ht="16.5" customHeight="1"/>
    <row r="44" ht="16.5" customHeight="1"/>
    <row r="45" ht="16.5" customHeight="1"/>
    <row r="46" ht="16.5" customHeight="1"/>
    <row r="47" ht="16.5" customHeight="1"/>
    <row r="48" ht="16.5" customHeight="1"/>
    <row r="49" ht="16.5" customHeight="1"/>
    <row r="50" ht="16.5" customHeight="1"/>
    <row r="51" ht="16.5" customHeight="1"/>
    <row r="52" ht="16.5" customHeight="1"/>
    <row r="53" ht="16.5" customHeight="1"/>
    <row r="54" ht="16.5" customHeight="1"/>
    <row r="55" ht="16.5" customHeight="1"/>
    <row r="56" ht="16.5" customHeight="1"/>
    <row r="57" ht="16.5" customHeight="1"/>
    <row r="58" ht="16.5" customHeight="1"/>
    <row r="59" ht="16.5" customHeight="1"/>
    <row r="60" ht="16.5" customHeight="1"/>
    <row r="61" ht="16.5" customHeight="1"/>
    <row r="62" ht="16.5" customHeight="1"/>
    <row r="63" ht="16.5" customHeight="1"/>
    <row r="64" ht="16.5" customHeight="1"/>
    <row r="65" ht="16.5" customHeight="1"/>
    <row r="66" ht="16.5" customHeight="1"/>
    <row r="67" ht="16.5" customHeight="1"/>
    <row r="68" ht="16.5" customHeight="1"/>
    <row r="69" ht="16.5" customHeight="1"/>
    <row r="70" ht="16.5" customHeight="1"/>
    <row r="71" ht="16.5" customHeight="1"/>
    <row r="72" ht="16.5" customHeight="1"/>
    <row r="73" ht="16.5" customHeight="1"/>
    <row r="74" ht="16.5" customHeight="1"/>
    <row r="75" ht="16.5" customHeight="1"/>
    <row r="76" ht="16.5" customHeight="1"/>
    <row r="77" ht="16.5" customHeight="1"/>
    <row r="78" ht="16.5" customHeight="1"/>
    <row r="79" ht="16.5" customHeight="1"/>
    <row r="80" ht="16.5" customHeight="1"/>
    <row r="81" ht="16.5" customHeight="1"/>
    <row r="82" ht="16.5" customHeight="1"/>
    <row r="83" ht="16.5" customHeight="1"/>
    <row r="84" ht="16.5" customHeight="1"/>
    <row r="85" ht="16.5" customHeight="1"/>
    <row r="86" ht="16.5" customHeight="1"/>
    <row r="87" ht="16.5" customHeight="1"/>
    <row r="88" ht="16.5" customHeight="1"/>
    <row r="89" ht="16.5" customHeight="1"/>
    <row r="90" ht="16.5" customHeight="1"/>
    <row r="91" ht="16.5" customHeight="1"/>
    <row r="92" ht="16.5" customHeight="1"/>
    <row r="93" ht="16.5" customHeight="1"/>
    <row r="94" ht="16.5" customHeight="1"/>
    <row r="95" ht="16.5" customHeight="1"/>
    <row r="96" ht="16.5" customHeight="1"/>
    <row r="97" ht="16.5" customHeight="1"/>
    <row r="98" ht="16.5" customHeight="1"/>
    <row r="99" ht="16.5" customHeight="1"/>
    <row r="100" ht="16.5" customHeight="1"/>
    <row r="101" ht="16.5" customHeight="1"/>
    <row r="102" ht="16.5" customHeight="1"/>
    <row r="103" ht="16.5" customHeight="1"/>
    <row r="104" ht="16.5" customHeight="1"/>
    <row r="105" ht="16.5" customHeight="1"/>
    <row r="106" ht="16.5" customHeight="1"/>
    <row r="107" ht="16.5" customHeight="1"/>
    <row r="108" ht="16.5" customHeight="1"/>
    <row r="109" ht="16.5" customHeight="1"/>
    <row r="110" ht="16.5" customHeight="1"/>
    <row r="111" ht="16.5" customHeight="1"/>
    <row r="112" ht="16.5" customHeight="1"/>
    <row r="113" ht="16.5" customHeight="1"/>
    <row r="114" ht="16.5" customHeight="1"/>
    <row r="115" ht="16.5" customHeight="1"/>
    <row r="116" ht="16.5" customHeight="1"/>
    <row r="117" ht="16.5" customHeight="1"/>
    <row r="118" ht="16.5" customHeight="1"/>
    <row r="119" ht="16.5" customHeight="1"/>
    <row r="120" ht="16.5" customHeight="1"/>
    <row r="121" ht="16.5" customHeight="1"/>
    <row r="122" ht="16.5" customHeight="1"/>
    <row r="123" ht="16.5" customHeight="1"/>
    <row r="124" ht="16.5" customHeight="1"/>
    <row r="125" ht="16.5" customHeight="1"/>
    <row r="126" ht="16.5" customHeight="1"/>
    <row r="127" ht="16.5" customHeight="1"/>
    <row r="128" ht="16.5" customHeight="1"/>
    <row r="129" ht="16.5" customHeight="1"/>
    <row r="130" ht="16.5" customHeight="1"/>
    <row r="131" ht="16.5" customHeight="1"/>
    <row r="132" ht="16.5" customHeight="1"/>
    <row r="133" ht="16.5" customHeight="1"/>
    <row r="134" ht="16.5" customHeight="1"/>
    <row r="135" ht="16.5" customHeight="1"/>
    <row r="136" ht="16.5" customHeight="1"/>
    <row r="137" ht="16.5" customHeight="1"/>
    <row r="138" ht="16.5" customHeight="1"/>
    <row r="139" ht="16.5" customHeight="1"/>
    <row r="140" ht="16.5" customHeight="1"/>
    <row r="141" ht="16.5" customHeight="1"/>
    <row r="142" ht="16.5" customHeight="1"/>
    <row r="143" ht="16.5" customHeight="1"/>
    <row r="144" ht="16.5" customHeight="1"/>
    <row r="145" ht="16.5" customHeight="1"/>
    <row r="146" ht="16.5" customHeight="1"/>
    <row r="147" ht="16.5" customHeight="1"/>
    <row r="148" ht="16.5" customHeight="1"/>
    <row r="149" ht="16.5" customHeight="1"/>
    <row r="150" ht="16.5" customHeight="1"/>
    <row r="151" ht="16.5" customHeight="1"/>
    <row r="152" ht="16.5" customHeight="1"/>
    <row r="153" ht="16.5" customHeight="1"/>
    <row r="154" ht="16.5" customHeight="1"/>
    <row r="155" ht="16.5" customHeight="1"/>
    <row r="156" ht="16.5" customHeight="1"/>
    <row r="157" ht="16.5" customHeight="1"/>
    <row r="158" ht="16.5" customHeight="1"/>
    <row r="159" ht="16.5" customHeight="1"/>
    <row r="160" ht="16.5" customHeight="1"/>
    <row r="161" ht="16.5" customHeight="1"/>
    <row r="162" ht="16.5" customHeight="1"/>
    <row r="163" ht="16.5" customHeight="1"/>
    <row r="164" ht="16.5" customHeight="1"/>
    <row r="165" ht="16.5" customHeight="1"/>
    <row r="166" ht="16.5" customHeight="1"/>
    <row r="167" ht="16.5" customHeight="1"/>
    <row r="168" ht="16.5" customHeight="1"/>
    <row r="169" ht="16.5" customHeight="1"/>
    <row r="170" ht="16.5" customHeight="1"/>
    <row r="171" ht="16.5" customHeight="1"/>
    <row r="172" ht="16.5" customHeight="1"/>
    <row r="173" ht="16.5" customHeight="1"/>
    <row r="174" ht="16.5" customHeight="1"/>
    <row r="175" ht="16.5" customHeight="1"/>
    <row r="176" ht="16.5" customHeight="1"/>
    <row r="177" ht="16.5" customHeight="1"/>
    <row r="178" ht="16.5" customHeight="1"/>
    <row r="179" ht="16.5" customHeight="1"/>
    <row r="180" ht="16.5" customHeight="1"/>
    <row r="181" ht="16.5" customHeight="1"/>
    <row r="182" ht="16.5" customHeight="1"/>
    <row r="183" ht="16.5" customHeight="1"/>
    <row r="184" ht="16.5" customHeight="1"/>
    <row r="185" ht="16.5" customHeight="1"/>
    <row r="186" ht="16.5" customHeight="1"/>
    <row r="187" ht="16.5" customHeight="1"/>
    <row r="188" ht="16.5" customHeight="1"/>
    <row r="189" ht="16.5" customHeight="1"/>
    <row r="190" ht="16.5" customHeight="1"/>
    <row r="191" ht="16.5" customHeight="1"/>
    <row r="192" ht="16.5" customHeight="1"/>
    <row r="193" ht="16.5" customHeight="1"/>
    <row r="194" ht="16.5" customHeight="1"/>
    <row r="195" ht="16.5" customHeight="1"/>
    <row r="196" ht="16.5" customHeight="1"/>
    <row r="197" ht="16.5" customHeight="1"/>
    <row r="198" ht="16.5" customHeight="1"/>
    <row r="199" ht="16.5" customHeight="1"/>
    <row r="200" ht="16.5" customHeight="1"/>
    <row r="201" ht="16.5" customHeight="1"/>
    <row r="202" ht="16.5" customHeight="1"/>
    <row r="203" ht="16.5" customHeight="1"/>
    <row r="204" ht="16.5" customHeight="1"/>
    <row r="205" ht="16.5" customHeight="1"/>
    <row r="206" ht="16.5" customHeight="1"/>
    <row r="207" ht="16.5" customHeight="1"/>
    <row r="208" ht="16.5" customHeight="1"/>
    <row r="209" ht="16.5" customHeight="1"/>
    <row r="210" ht="16.5" customHeight="1"/>
    <row r="211" ht="16.5" customHeight="1"/>
    <row r="212" ht="16.5" customHeight="1"/>
    <row r="213" ht="16.5" customHeight="1"/>
    <row r="214" ht="16.5" customHeight="1"/>
    <row r="215" ht="16.5" customHeight="1"/>
    <row r="216" ht="16.5" customHeight="1"/>
    <row r="217" ht="16.5" customHeight="1"/>
    <row r="218" ht="16.5" customHeight="1"/>
    <row r="219" ht="16.5" customHeight="1"/>
    <row r="220" ht="16.5" customHeight="1"/>
    <row r="221" ht="16.5" customHeight="1"/>
    <row r="222" ht="16.5" customHeight="1"/>
    <row r="223" ht="16.5" customHeight="1"/>
    <row r="224" ht="16.5" customHeight="1"/>
    <row r="225" ht="16.5" customHeight="1"/>
    <row r="226" ht="16.5" customHeight="1"/>
    <row r="227" ht="16.5" customHeight="1"/>
    <row r="228" ht="16.5" customHeight="1"/>
    <row r="229" ht="16.5" customHeight="1"/>
    <row r="230" ht="16.5" customHeight="1"/>
    <row r="231" ht="16.5" customHeight="1"/>
    <row r="232" ht="16.5" customHeight="1"/>
    <row r="233" ht="16.5" customHeight="1"/>
    <row r="234" ht="16.5" customHeight="1"/>
    <row r="235" ht="16.5" customHeight="1"/>
    <row r="236" ht="16.5" customHeight="1"/>
    <row r="237" ht="16.5" customHeight="1"/>
    <row r="238" ht="16.5" customHeight="1"/>
    <row r="239" ht="16.5" customHeight="1"/>
    <row r="240" ht="16.5" customHeight="1"/>
    <row r="241" ht="16.5" customHeight="1"/>
    <row r="242" ht="16.5" customHeight="1"/>
    <row r="243" ht="16.5" customHeight="1"/>
    <row r="244" ht="16.5" customHeight="1"/>
    <row r="245" ht="16.5" customHeight="1"/>
    <row r="246" ht="16.5" customHeight="1"/>
    <row r="247" ht="16.5" customHeight="1"/>
    <row r="248" ht="16.5" customHeight="1"/>
    <row r="249" ht="16.5" customHeight="1"/>
    <row r="250" ht="16.5" customHeight="1"/>
    <row r="251" ht="16.5" customHeight="1"/>
    <row r="252" ht="16.5" customHeight="1"/>
    <row r="253" ht="16.5" customHeight="1"/>
    <row r="254" ht="16.5" customHeight="1"/>
    <row r="255" ht="16.5" customHeight="1"/>
    <row r="256" ht="16.5" customHeight="1"/>
    <row r="257" ht="16.5" customHeight="1"/>
    <row r="258" ht="16.5" customHeight="1"/>
    <row r="259" ht="16.5" customHeight="1"/>
    <row r="260" ht="16.5" customHeight="1"/>
    <row r="261" ht="16.5" customHeight="1"/>
    <row r="262" ht="16.5" customHeight="1"/>
    <row r="263" ht="16.5" customHeight="1"/>
    <row r="264" ht="16.5" customHeight="1"/>
    <row r="265" ht="16.5" customHeight="1"/>
    <row r="266" ht="16.5" customHeight="1"/>
    <row r="267" ht="16.5" customHeight="1"/>
    <row r="268" ht="16.5" customHeight="1"/>
    <row r="269" ht="16.5" customHeight="1"/>
    <row r="270" ht="16.5" customHeight="1"/>
    <row r="271" ht="16.5" customHeight="1"/>
    <row r="272" ht="16.5" customHeight="1"/>
    <row r="273" ht="16.5" customHeight="1"/>
    <row r="274" ht="16.5" customHeight="1"/>
    <row r="275" ht="16.5" customHeight="1"/>
    <row r="276" ht="16.5" customHeight="1"/>
    <row r="277" ht="16.5" customHeight="1"/>
    <row r="278" ht="16.5" customHeight="1"/>
    <row r="279" ht="16.5" customHeight="1"/>
    <row r="280" ht="16.5" customHeight="1"/>
    <row r="281" ht="16.5" customHeight="1"/>
    <row r="282" ht="16.5" customHeight="1"/>
    <row r="283" ht="16.5" customHeight="1"/>
    <row r="284" ht="16.5" customHeight="1"/>
    <row r="285" ht="16.5" customHeight="1"/>
    <row r="286" ht="16.5" customHeight="1"/>
    <row r="287" ht="16.5" customHeight="1"/>
    <row r="288" ht="16.5" customHeight="1"/>
    <row r="289" ht="16.5" customHeight="1"/>
    <row r="290" ht="16.5" customHeight="1"/>
    <row r="291" ht="16.5" customHeight="1"/>
    <row r="292" ht="16.5" customHeight="1"/>
    <row r="293" ht="16.5" customHeight="1"/>
    <row r="294" ht="16.5" customHeight="1"/>
    <row r="295" ht="16.5" customHeight="1"/>
    <row r="296" ht="16.5" customHeight="1"/>
    <row r="297" ht="16.5" customHeight="1"/>
    <row r="298" ht="16.5" customHeight="1"/>
    <row r="299" ht="16.5" customHeight="1"/>
    <row r="300" ht="16.5" customHeight="1"/>
    <row r="301" ht="16.5" customHeight="1"/>
    <row r="302" ht="16.5" customHeight="1"/>
    <row r="303" ht="16.5" customHeight="1"/>
  </sheetData>
  <mergeCells count="6">
    <mergeCell ref="B1:E1"/>
    <mergeCell ref="F1:I1"/>
    <mergeCell ref="B2:E2"/>
    <mergeCell ref="F2:I2"/>
    <mergeCell ref="B25:E25"/>
    <mergeCell ref="F25:I25"/>
  </mergeCells>
  <phoneticPr fontId="5" type="noConversion"/>
  <pageMargins left="0.7" right="0.7" top="0.75" bottom="0.75" header="0.3" footer="0.3"/>
  <pageSetup paperSize="9" orientation="portrait" horizontalDpi="0" verticalDpi="0"/>
</worksheet>
</file>

<file path=xl/worksheets/sheet1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1D2A7D0-9F55-4058-81DD-63E9BB233F4F}">
  <sheetPr codeName="工作表126"/>
  <dimension ref="A1:I303"/>
  <sheetViews>
    <sheetView zoomScaleNormal="100" workbookViewId="0"/>
  </sheetViews>
  <sheetFormatPr defaultColWidth="6.625" defaultRowHeight="13.5"/>
  <cols>
    <col min="1" max="1" width="3.125" style="4" bestFit="1" customWidth="1"/>
    <col min="2" max="2" width="5.5" style="8" customWidth="1"/>
    <col min="3" max="3" width="21" style="4" customWidth="1"/>
    <col min="4" max="4" width="26.125" style="4" customWidth="1"/>
    <col min="5" max="5" width="14.625" style="4" customWidth="1"/>
    <col min="6" max="6" width="10.375" style="4" customWidth="1"/>
    <col min="7" max="7" width="40.5" style="4" bestFit="1" customWidth="1"/>
    <col min="8" max="8" width="34.375" style="4" bestFit="1" customWidth="1"/>
    <col min="9" max="9" width="17.625" style="4" customWidth="1"/>
    <col min="10" max="16384" width="6.625" style="4"/>
  </cols>
  <sheetData>
    <row r="1" spans="1:9" ht="24">
      <c r="A1" s="1" t="e">
        <f ca="1">HYPERLINK("#'介面'!E"&amp;MATCH(VALUE(RIGHT(CELL("filename"),LEN(CELL("filename"))-FIND("]",CELL("filename")))),介面!D:D,"0"),"←")</f>
        <v>#VALUE!</v>
      </c>
      <c r="B1" s="216" t="s">
        <v>249</v>
      </c>
      <c r="C1" s="217"/>
      <c r="D1" s="217"/>
      <c r="E1" s="218"/>
      <c r="F1" s="216" t="s">
        <v>250</v>
      </c>
      <c r="G1" s="217"/>
      <c r="H1" s="217"/>
      <c r="I1" s="217"/>
    </row>
    <row r="2" spans="1:9" ht="24">
      <c r="A2" s="1"/>
      <c r="B2" s="210" t="s">
        <v>275</v>
      </c>
      <c r="C2" s="211"/>
      <c r="D2" s="211"/>
      <c r="E2" s="212"/>
      <c r="F2" s="210"/>
      <c r="G2" s="211"/>
      <c r="H2" s="211"/>
      <c r="I2" s="212"/>
    </row>
    <row r="3" spans="1:9" s="8" customFormat="1" ht="15">
      <c r="A3" s="6"/>
      <c r="B3" s="7" t="s">
        <v>276</v>
      </c>
      <c r="C3" s="56" t="s">
        <v>277</v>
      </c>
      <c r="D3" s="56" t="s">
        <v>278</v>
      </c>
      <c r="E3" s="57" t="s">
        <v>279</v>
      </c>
      <c r="F3" s="57" t="s">
        <v>280</v>
      </c>
      <c r="G3" s="56" t="s">
        <v>281</v>
      </c>
      <c r="H3" s="141" t="s">
        <v>11</v>
      </c>
      <c r="I3" s="56" t="s">
        <v>282</v>
      </c>
    </row>
    <row r="4" spans="1:9" s="24" customFormat="1" ht="15.75">
      <c r="A4" s="25"/>
      <c r="B4" s="46">
        <v>1</v>
      </c>
      <c r="C4" s="80" t="s">
        <v>297</v>
      </c>
      <c r="D4" s="80" t="s">
        <v>298</v>
      </c>
      <c r="E4" s="81" t="s">
        <v>285</v>
      </c>
      <c r="F4" s="81">
        <v>500</v>
      </c>
      <c r="G4" s="66" t="s">
        <v>330</v>
      </c>
      <c r="H4" s="142" t="s">
        <v>302</v>
      </c>
      <c r="I4" s="66" t="s">
        <v>287</v>
      </c>
    </row>
    <row r="5" spans="1:9" s="24" customFormat="1" ht="15">
      <c r="A5" s="25"/>
      <c r="B5" s="46">
        <v>2</v>
      </c>
      <c r="C5" s="50" t="s">
        <v>303</v>
      </c>
      <c r="D5" s="50" t="s">
        <v>304</v>
      </c>
      <c r="E5" s="51" t="s">
        <v>452</v>
      </c>
      <c r="F5" s="51">
        <v>20</v>
      </c>
      <c r="G5" s="66" t="s">
        <v>331</v>
      </c>
      <c r="H5" s="142"/>
      <c r="I5" s="66" t="s">
        <v>287</v>
      </c>
    </row>
    <row r="6" spans="1:9" s="95" customFormat="1" ht="15.75">
      <c r="A6" s="93"/>
      <c r="B6" s="46">
        <v>3</v>
      </c>
      <c r="C6" s="64" t="s">
        <v>637</v>
      </c>
      <c r="D6" s="64" t="s">
        <v>364</v>
      </c>
      <c r="E6" s="51" t="s">
        <v>452</v>
      </c>
      <c r="F6" s="51">
        <v>20</v>
      </c>
      <c r="G6" s="91" t="s">
        <v>331</v>
      </c>
      <c r="H6" s="142"/>
      <c r="I6" s="66" t="s">
        <v>287</v>
      </c>
    </row>
    <row r="7" spans="1:9" s="24" customFormat="1" ht="15">
      <c r="A7" s="25"/>
      <c r="B7" s="46">
        <v>4</v>
      </c>
      <c r="C7" s="50" t="s">
        <v>1862</v>
      </c>
      <c r="D7" s="50" t="s">
        <v>1863</v>
      </c>
      <c r="E7" s="51" t="s">
        <v>452</v>
      </c>
      <c r="F7" s="51">
        <v>20</v>
      </c>
      <c r="G7" s="91" t="s">
        <v>331</v>
      </c>
      <c r="H7" s="173"/>
      <c r="I7" s="19" t="s">
        <v>287</v>
      </c>
    </row>
    <row r="8" spans="1:9" s="24" customFormat="1" ht="15.75">
      <c r="B8" s="46">
        <v>5</v>
      </c>
      <c r="C8" s="80" t="s">
        <v>1864</v>
      </c>
      <c r="D8" s="80" t="s">
        <v>1865</v>
      </c>
      <c r="E8" s="51" t="s">
        <v>452</v>
      </c>
      <c r="F8" s="51">
        <v>20</v>
      </c>
      <c r="G8" s="91" t="s">
        <v>1590</v>
      </c>
      <c r="H8" s="142" t="s">
        <v>2360</v>
      </c>
      <c r="I8" s="66" t="s">
        <v>639</v>
      </c>
    </row>
    <row r="9" spans="1:9" s="24" customFormat="1" ht="63">
      <c r="B9" s="46">
        <v>6</v>
      </c>
      <c r="C9" s="80" t="s">
        <v>2361</v>
      </c>
      <c r="D9" s="80" t="s">
        <v>2362</v>
      </c>
      <c r="E9" s="81" t="s">
        <v>2363</v>
      </c>
      <c r="F9" s="81"/>
      <c r="G9" s="176" t="s">
        <v>2364</v>
      </c>
      <c r="H9" s="81"/>
      <c r="I9" s="190" t="s">
        <v>287</v>
      </c>
    </row>
    <row r="10" spans="1:9" s="24" customFormat="1" ht="15.75">
      <c r="A10" s="25"/>
      <c r="B10" s="46">
        <v>7</v>
      </c>
      <c r="C10" s="80" t="s">
        <v>1877</v>
      </c>
      <c r="D10" s="80" t="s">
        <v>1878</v>
      </c>
      <c r="E10" s="81" t="s">
        <v>285</v>
      </c>
      <c r="F10" s="81"/>
      <c r="G10" s="88" t="s">
        <v>2365</v>
      </c>
      <c r="H10" s="175"/>
      <c r="I10" s="66" t="s">
        <v>287</v>
      </c>
    </row>
    <row r="11" spans="1:9" s="24" customFormat="1" ht="15.75">
      <c r="A11" s="25"/>
      <c r="B11" s="46">
        <v>8</v>
      </c>
      <c r="C11" s="80" t="s">
        <v>1881</v>
      </c>
      <c r="D11" s="80" t="s">
        <v>1882</v>
      </c>
      <c r="E11" s="81" t="s">
        <v>285</v>
      </c>
      <c r="F11" s="81"/>
      <c r="G11" s="88" t="s">
        <v>2366</v>
      </c>
      <c r="H11" s="175"/>
      <c r="I11" s="66" t="s">
        <v>287</v>
      </c>
    </row>
    <row r="12" spans="1:9" s="24" customFormat="1" ht="16.350000000000001" customHeight="1">
      <c r="B12" s="46">
        <v>9</v>
      </c>
      <c r="C12" s="80" t="s">
        <v>2367</v>
      </c>
      <c r="D12" s="132" t="s">
        <v>1876</v>
      </c>
      <c r="E12" s="51" t="s">
        <v>452</v>
      </c>
      <c r="F12" s="51">
        <v>20</v>
      </c>
      <c r="G12" s="91" t="s">
        <v>331</v>
      </c>
      <c r="H12" s="142" t="s">
        <v>2368</v>
      </c>
      <c r="I12" s="66" t="s">
        <v>639</v>
      </c>
    </row>
    <row r="13" spans="1:9" s="24" customFormat="1" ht="15.75">
      <c r="A13" s="25"/>
      <c r="B13" s="46">
        <v>10</v>
      </c>
      <c r="C13" s="80" t="s">
        <v>1884</v>
      </c>
      <c r="D13" s="132" t="s">
        <v>1611</v>
      </c>
      <c r="E13" s="81" t="s">
        <v>285</v>
      </c>
      <c r="F13" s="81">
        <v>300</v>
      </c>
      <c r="G13" s="88" t="s">
        <v>2369</v>
      </c>
      <c r="H13" s="175"/>
      <c r="I13" s="66" t="s">
        <v>639</v>
      </c>
    </row>
    <row r="14" spans="1:9" s="24" customFormat="1" ht="48" customHeight="1">
      <c r="B14" s="46">
        <v>11</v>
      </c>
      <c r="C14" s="80" t="s">
        <v>1615</v>
      </c>
      <c r="D14" s="132" t="s">
        <v>1616</v>
      </c>
      <c r="E14" s="87" t="s">
        <v>979</v>
      </c>
      <c r="F14" s="81"/>
      <c r="G14" s="85" t="s">
        <v>2277</v>
      </c>
      <c r="H14" s="159"/>
      <c r="I14" s="19" t="s">
        <v>639</v>
      </c>
    </row>
    <row r="15" spans="1:9" s="24" customFormat="1" ht="15.75">
      <c r="B15" s="46">
        <v>12</v>
      </c>
      <c r="C15" s="80" t="s">
        <v>1871</v>
      </c>
      <c r="D15" s="80" t="s">
        <v>1872</v>
      </c>
      <c r="E15" s="81" t="s">
        <v>326</v>
      </c>
      <c r="F15" s="81">
        <v>4</v>
      </c>
      <c r="G15" s="28" t="s">
        <v>331</v>
      </c>
      <c r="H15" s="142" t="s">
        <v>2370</v>
      </c>
      <c r="I15" s="66" t="s">
        <v>287</v>
      </c>
    </row>
    <row r="16" spans="1:9" s="24" customFormat="1" ht="33" customHeight="1">
      <c r="B16" s="46">
        <v>13</v>
      </c>
      <c r="C16" s="80" t="s">
        <v>2371</v>
      </c>
      <c r="D16" s="132" t="s">
        <v>2372</v>
      </c>
      <c r="E16" s="87" t="s">
        <v>2373</v>
      </c>
      <c r="F16" s="81"/>
      <c r="G16" s="85" t="s">
        <v>2374</v>
      </c>
      <c r="H16" s="175" t="s">
        <v>2375</v>
      </c>
      <c r="I16" s="19" t="s">
        <v>639</v>
      </c>
    </row>
    <row r="17" spans="1:9" s="24" customFormat="1" ht="31.5">
      <c r="B17" s="46">
        <v>14</v>
      </c>
      <c r="C17" s="80" t="s">
        <v>2376</v>
      </c>
      <c r="D17" s="132" t="s">
        <v>2377</v>
      </c>
      <c r="E17" s="51" t="s">
        <v>452</v>
      </c>
      <c r="F17" s="236">
        <v>20</v>
      </c>
      <c r="G17" s="237" t="s">
        <v>2154</v>
      </c>
      <c r="H17" s="173" t="s">
        <v>2378</v>
      </c>
      <c r="I17" s="66" t="s">
        <v>639</v>
      </c>
    </row>
    <row r="18" spans="1:9" s="24" customFormat="1" ht="33" customHeight="1">
      <c r="B18" s="46">
        <v>15</v>
      </c>
      <c r="C18" s="80" t="s">
        <v>2379</v>
      </c>
      <c r="D18" s="80" t="s">
        <v>2380</v>
      </c>
      <c r="E18" s="81" t="s">
        <v>2363</v>
      </c>
      <c r="F18" s="81"/>
      <c r="G18" s="176" t="s">
        <v>2381</v>
      </c>
      <c r="H18" s="175" t="s">
        <v>2378</v>
      </c>
      <c r="I18" s="19" t="s">
        <v>639</v>
      </c>
    </row>
    <row r="19" spans="1:9" s="24" customFormat="1" ht="33" customHeight="1">
      <c r="B19" s="46">
        <v>16</v>
      </c>
      <c r="C19" s="80" t="s">
        <v>2382</v>
      </c>
      <c r="D19" s="80" t="s">
        <v>2383</v>
      </c>
      <c r="E19" s="81" t="s">
        <v>285</v>
      </c>
      <c r="F19" s="81">
        <v>300</v>
      </c>
      <c r="G19" s="88" t="s">
        <v>2369</v>
      </c>
      <c r="H19" s="175" t="s">
        <v>2378</v>
      </c>
      <c r="I19" s="19" t="s">
        <v>639</v>
      </c>
    </row>
    <row r="20" spans="1:9" s="24" customFormat="1" ht="48" customHeight="1">
      <c r="B20" s="46">
        <v>17</v>
      </c>
      <c r="C20" s="80" t="s">
        <v>2384</v>
      </c>
      <c r="D20" s="80" t="s">
        <v>2385</v>
      </c>
      <c r="E20" s="81" t="s">
        <v>326</v>
      </c>
      <c r="F20" s="81">
        <v>4</v>
      </c>
      <c r="G20" s="28" t="s">
        <v>2386</v>
      </c>
      <c r="H20" s="175" t="s">
        <v>2378</v>
      </c>
      <c r="I20" s="19" t="s">
        <v>639</v>
      </c>
    </row>
    <row r="21" spans="1:9" s="24" customFormat="1" ht="15.75">
      <c r="A21" s="25"/>
      <c r="B21" s="46">
        <v>18</v>
      </c>
      <c r="C21" s="86" t="s">
        <v>2387</v>
      </c>
      <c r="D21" s="86" t="s">
        <v>1858</v>
      </c>
      <c r="E21" s="87" t="s">
        <v>296</v>
      </c>
      <c r="F21" s="87">
        <v>20</v>
      </c>
      <c r="G21" s="89" t="s">
        <v>133</v>
      </c>
      <c r="H21" s="142" t="s">
        <v>2278</v>
      </c>
      <c r="I21" s="66" t="s">
        <v>639</v>
      </c>
    </row>
    <row r="22" spans="1:9" s="24" customFormat="1" ht="15.75">
      <c r="A22" s="25"/>
      <c r="B22" s="46">
        <v>19</v>
      </c>
      <c r="C22" s="50" t="s">
        <v>1621</v>
      </c>
      <c r="D22" s="50" t="s">
        <v>1622</v>
      </c>
      <c r="E22" s="51" t="s">
        <v>285</v>
      </c>
      <c r="F22" s="51">
        <v>50</v>
      </c>
      <c r="G22" s="89" t="s">
        <v>2282</v>
      </c>
      <c r="H22" s="142"/>
      <c r="I22" s="66" t="s">
        <v>287</v>
      </c>
    </row>
    <row r="23" spans="1:9" s="24" customFormat="1" ht="15.75">
      <c r="A23" s="25"/>
      <c r="B23" s="46">
        <v>20</v>
      </c>
      <c r="C23" s="26" t="s">
        <v>1588</v>
      </c>
      <c r="D23" s="26" t="s">
        <v>1589</v>
      </c>
      <c r="E23" s="27" t="s">
        <v>326</v>
      </c>
      <c r="F23" s="27">
        <v>4</v>
      </c>
      <c r="G23" s="89" t="s">
        <v>1591</v>
      </c>
      <c r="H23" s="142"/>
      <c r="I23" s="66" t="s">
        <v>287</v>
      </c>
    </row>
    <row r="24" spans="1:9" s="24" customFormat="1" ht="15">
      <c r="A24" s="25"/>
      <c r="B24" s="152"/>
      <c r="C24" s="153"/>
      <c r="D24" s="154"/>
      <c r="E24" s="155"/>
      <c r="F24" s="156"/>
      <c r="G24" s="151"/>
      <c r="H24" s="151"/>
      <c r="I24" s="157"/>
    </row>
    <row r="25" spans="1:9" ht="24">
      <c r="A25" s="1"/>
      <c r="B25" s="204" t="s">
        <v>291</v>
      </c>
      <c r="C25" s="205"/>
      <c r="D25" s="205"/>
      <c r="E25" s="206"/>
      <c r="F25" s="204"/>
      <c r="G25" s="205"/>
      <c r="H25" s="205"/>
      <c r="I25" s="206"/>
    </row>
    <row r="26" spans="1:9" s="8" customFormat="1" ht="15">
      <c r="A26" s="6"/>
      <c r="B26" s="7" t="s">
        <v>276</v>
      </c>
      <c r="C26" s="56" t="s">
        <v>277</v>
      </c>
      <c r="D26" s="56" t="s">
        <v>278</v>
      </c>
      <c r="E26" s="57" t="s">
        <v>279</v>
      </c>
      <c r="F26" s="57" t="s">
        <v>280</v>
      </c>
      <c r="G26" s="56" t="s">
        <v>11</v>
      </c>
      <c r="H26" s="56" t="s">
        <v>292</v>
      </c>
      <c r="I26" s="56" t="s">
        <v>293</v>
      </c>
    </row>
    <row r="27" spans="1:9" s="24" customFormat="1" ht="15.75">
      <c r="A27" s="25"/>
      <c r="B27" s="46">
        <v>1</v>
      </c>
      <c r="C27" s="86" t="s">
        <v>1834</v>
      </c>
      <c r="D27" s="86" t="s">
        <v>1835</v>
      </c>
      <c r="E27" s="87"/>
      <c r="F27" s="87"/>
      <c r="G27" s="85" t="s">
        <v>1836</v>
      </c>
      <c r="H27" s="28"/>
      <c r="I27" s="86"/>
    </row>
    <row r="28" spans="1:9" s="24" customFormat="1" ht="15.75">
      <c r="A28" s="25"/>
      <c r="B28" s="46">
        <v>2</v>
      </c>
      <c r="C28" s="86" t="s">
        <v>1837</v>
      </c>
      <c r="D28" s="86" t="s">
        <v>1838</v>
      </c>
      <c r="E28" s="87"/>
      <c r="F28" s="87"/>
      <c r="G28" s="85" t="s">
        <v>1836</v>
      </c>
      <c r="H28" s="28"/>
      <c r="I28" s="86"/>
    </row>
    <row r="29" spans="1:9" ht="16.5" customHeight="1"/>
    <row r="30" spans="1:9" ht="16.5" customHeight="1"/>
    <row r="31" spans="1:9" ht="16.5" customHeight="1"/>
    <row r="32" spans="1:9" ht="16.5" customHeight="1"/>
    <row r="33" ht="16.5" customHeight="1"/>
    <row r="34" ht="16.5" customHeight="1"/>
    <row r="35" ht="16.5" customHeight="1"/>
    <row r="36" ht="16.5" customHeight="1"/>
    <row r="37" ht="16.5" customHeight="1"/>
    <row r="38" ht="16.5" customHeight="1"/>
    <row r="39" ht="16.5" customHeight="1"/>
    <row r="40" ht="16.5" customHeight="1"/>
    <row r="41" ht="16.5" customHeight="1"/>
    <row r="42" ht="16.5" customHeight="1"/>
    <row r="43" ht="16.5" customHeight="1"/>
    <row r="44" ht="16.5" customHeight="1"/>
    <row r="45" ht="16.5" customHeight="1"/>
    <row r="46" ht="16.5" customHeight="1"/>
    <row r="47" ht="16.5" customHeight="1"/>
    <row r="48" ht="16.5" customHeight="1"/>
    <row r="49" ht="16.5" customHeight="1"/>
    <row r="50" ht="16.5" customHeight="1"/>
    <row r="51" ht="16.5" customHeight="1"/>
    <row r="52" ht="16.5" customHeight="1"/>
    <row r="53" ht="16.5" customHeight="1"/>
    <row r="54" ht="16.5" customHeight="1"/>
    <row r="55" ht="16.5" customHeight="1"/>
    <row r="56" ht="16.5" customHeight="1"/>
    <row r="57" ht="16.5" customHeight="1"/>
    <row r="58" ht="16.5" customHeight="1"/>
    <row r="59" ht="16.5" customHeight="1"/>
    <row r="60" ht="16.5" customHeight="1"/>
    <row r="61" ht="16.5" customHeight="1"/>
    <row r="62" ht="16.5" customHeight="1"/>
    <row r="63" ht="16.5" customHeight="1"/>
    <row r="64" ht="16.5" customHeight="1"/>
    <row r="65" ht="16.5" customHeight="1"/>
    <row r="66" ht="16.5" customHeight="1"/>
    <row r="67" ht="16.5" customHeight="1"/>
    <row r="68" ht="16.5" customHeight="1"/>
    <row r="69" ht="16.5" customHeight="1"/>
    <row r="70" ht="16.5" customHeight="1"/>
    <row r="71" ht="16.5" customHeight="1"/>
    <row r="72" ht="16.5" customHeight="1"/>
    <row r="73" ht="16.5" customHeight="1"/>
    <row r="74" ht="16.5" customHeight="1"/>
    <row r="75" ht="16.5" customHeight="1"/>
    <row r="76" ht="16.5" customHeight="1"/>
    <row r="77" ht="16.5" customHeight="1"/>
    <row r="78" ht="16.5" customHeight="1"/>
    <row r="79" ht="16.5" customHeight="1"/>
    <row r="80" ht="16.5" customHeight="1"/>
    <row r="81" ht="16.5" customHeight="1"/>
    <row r="82" ht="16.5" customHeight="1"/>
    <row r="83" ht="16.5" customHeight="1"/>
    <row r="84" ht="16.5" customHeight="1"/>
    <row r="85" ht="16.5" customHeight="1"/>
    <row r="86" ht="16.5" customHeight="1"/>
    <row r="87" ht="16.5" customHeight="1"/>
    <row r="88" ht="16.5" customHeight="1"/>
    <row r="89" ht="16.5" customHeight="1"/>
    <row r="90" ht="16.5" customHeight="1"/>
    <row r="91" ht="16.5" customHeight="1"/>
    <row r="92" ht="16.5" customHeight="1"/>
    <row r="93" ht="16.5" customHeight="1"/>
    <row r="94" ht="16.5" customHeight="1"/>
    <row r="95" ht="16.5" customHeight="1"/>
    <row r="96" ht="16.5" customHeight="1"/>
    <row r="97" ht="16.5" customHeight="1"/>
    <row r="98" ht="16.5" customHeight="1"/>
    <row r="99" ht="16.5" customHeight="1"/>
    <row r="100" ht="16.5" customHeight="1"/>
    <row r="101" ht="16.5" customHeight="1"/>
    <row r="102" ht="16.5" customHeight="1"/>
    <row r="103" ht="16.5" customHeight="1"/>
    <row r="104" ht="16.5" customHeight="1"/>
    <row r="105" ht="16.5" customHeight="1"/>
    <row r="106" ht="16.5" customHeight="1"/>
    <row r="107" ht="16.5" customHeight="1"/>
    <row r="108" ht="16.5" customHeight="1"/>
    <row r="109" ht="16.5" customHeight="1"/>
    <row r="110" ht="16.5" customHeight="1"/>
    <row r="111" ht="16.5" customHeight="1"/>
    <row r="112" ht="16.5" customHeight="1"/>
    <row r="113" ht="16.5" customHeight="1"/>
    <row r="114" ht="16.5" customHeight="1"/>
    <row r="115" ht="16.5" customHeight="1"/>
    <row r="116" ht="16.5" customHeight="1"/>
    <row r="117" ht="16.5" customHeight="1"/>
    <row r="118" ht="16.5" customHeight="1"/>
    <row r="119" ht="16.5" customHeight="1"/>
    <row r="120" ht="16.5" customHeight="1"/>
    <row r="121" ht="16.5" customHeight="1"/>
    <row r="122" ht="16.5" customHeight="1"/>
    <row r="123" ht="16.5" customHeight="1"/>
    <row r="124" ht="16.5" customHeight="1"/>
    <row r="125" ht="16.5" customHeight="1"/>
    <row r="126" ht="16.5" customHeight="1"/>
    <row r="127" ht="16.5" customHeight="1"/>
    <row r="128" ht="16.5" customHeight="1"/>
    <row r="129" ht="16.5" customHeight="1"/>
    <row r="130" ht="16.5" customHeight="1"/>
    <row r="131" ht="16.5" customHeight="1"/>
    <row r="132" ht="16.5" customHeight="1"/>
    <row r="133" ht="16.5" customHeight="1"/>
    <row r="134" ht="16.5" customHeight="1"/>
    <row r="135" ht="16.5" customHeight="1"/>
    <row r="136" ht="16.5" customHeight="1"/>
    <row r="137" ht="16.5" customHeight="1"/>
    <row r="138" ht="16.5" customHeight="1"/>
    <row r="139" ht="16.5" customHeight="1"/>
    <row r="140" ht="16.5" customHeight="1"/>
    <row r="141" ht="16.5" customHeight="1"/>
    <row r="142" ht="16.5" customHeight="1"/>
    <row r="143" ht="16.5" customHeight="1"/>
    <row r="144" ht="16.5" customHeight="1"/>
    <row r="145" ht="16.5" customHeight="1"/>
    <row r="146" ht="16.5" customHeight="1"/>
    <row r="147" ht="16.5" customHeight="1"/>
    <row r="148" ht="16.5" customHeight="1"/>
    <row r="149" ht="16.5" customHeight="1"/>
    <row r="150" ht="16.5" customHeight="1"/>
    <row r="151" ht="16.5" customHeight="1"/>
    <row r="152" ht="16.5" customHeight="1"/>
    <row r="153" ht="16.5" customHeight="1"/>
    <row r="154" ht="16.5" customHeight="1"/>
    <row r="155" ht="16.5" customHeight="1"/>
    <row r="156" ht="16.5" customHeight="1"/>
    <row r="157" ht="16.5" customHeight="1"/>
    <row r="158" ht="16.5" customHeight="1"/>
    <row r="159" ht="16.5" customHeight="1"/>
    <row r="160" ht="16.5" customHeight="1"/>
    <row r="161" ht="16.5" customHeight="1"/>
    <row r="162" ht="16.5" customHeight="1"/>
    <row r="163" ht="16.5" customHeight="1"/>
    <row r="164" ht="16.5" customHeight="1"/>
    <row r="165" ht="16.5" customHeight="1"/>
    <row r="166" ht="16.5" customHeight="1"/>
    <row r="167" ht="16.5" customHeight="1"/>
    <row r="168" ht="16.5" customHeight="1"/>
    <row r="169" ht="16.5" customHeight="1"/>
    <row r="170" ht="16.5" customHeight="1"/>
    <row r="171" ht="16.5" customHeight="1"/>
    <row r="172" ht="16.5" customHeight="1"/>
    <row r="173" ht="16.5" customHeight="1"/>
    <row r="174" ht="16.5" customHeight="1"/>
    <row r="175" ht="16.5" customHeight="1"/>
    <row r="176" ht="16.5" customHeight="1"/>
    <row r="177" ht="16.5" customHeight="1"/>
    <row r="178" ht="16.5" customHeight="1"/>
    <row r="179" ht="16.5" customHeight="1"/>
    <row r="180" ht="16.5" customHeight="1"/>
    <row r="181" ht="16.5" customHeight="1"/>
    <row r="182" ht="16.5" customHeight="1"/>
    <row r="183" ht="16.5" customHeight="1"/>
    <row r="184" ht="16.5" customHeight="1"/>
    <row r="185" ht="16.5" customHeight="1"/>
    <row r="186" ht="16.5" customHeight="1"/>
    <row r="187" ht="16.5" customHeight="1"/>
    <row r="188" ht="16.5" customHeight="1"/>
    <row r="189" ht="16.5" customHeight="1"/>
    <row r="190" ht="16.5" customHeight="1"/>
    <row r="191" ht="16.5" customHeight="1"/>
    <row r="192" ht="16.5" customHeight="1"/>
    <row r="193" ht="16.5" customHeight="1"/>
    <row r="194" ht="16.5" customHeight="1"/>
    <row r="195" ht="16.5" customHeight="1"/>
    <row r="196" ht="16.5" customHeight="1"/>
    <row r="197" ht="16.5" customHeight="1"/>
    <row r="198" ht="16.5" customHeight="1"/>
    <row r="199" ht="16.5" customHeight="1"/>
    <row r="200" ht="16.5" customHeight="1"/>
    <row r="201" ht="16.5" customHeight="1"/>
    <row r="202" ht="16.5" customHeight="1"/>
    <row r="203" ht="16.5" customHeight="1"/>
    <row r="204" ht="16.5" customHeight="1"/>
    <row r="205" ht="16.5" customHeight="1"/>
    <row r="206" ht="16.5" customHeight="1"/>
    <row r="207" ht="16.5" customHeight="1"/>
    <row r="208" ht="16.5" customHeight="1"/>
    <row r="209" ht="16.5" customHeight="1"/>
    <row r="210" ht="16.5" customHeight="1"/>
    <row r="211" ht="16.5" customHeight="1"/>
    <row r="212" ht="16.5" customHeight="1"/>
    <row r="213" ht="16.5" customHeight="1"/>
    <row r="214" ht="16.5" customHeight="1"/>
    <row r="215" ht="16.5" customHeight="1"/>
    <row r="216" ht="16.5" customHeight="1"/>
    <row r="217" ht="16.5" customHeight="1"/>
    <row r="218" ht="16.5" customHeight="1"/>
    <row r="219" ht="16.5" customHeight="1"/>
    <row r="220" ht="16.5" customHeight="1"/>
    <row r="221" ht="16.5" customHeight="1"/>
    <row r="222" ht="16.5" customHeight="1"/>
    <row r="223" ht="16.5" customHeight="1"/>
    <row r="224" ht="16.5" customHeight="1"/>
    <row r="225" ht="16.5" customHeight="1"/>
    <row r="226" ht="16.5" customHeight="1"/>
    <row r="227" ht="16.5" customHeight="1"/>
    <row r="228" ht="16.5" customHeight="1"/>
    <row r="229" ht="16.5" customHeight="1"/>
    <row r="230" ht="16.5" customHeight="1"/>
    <row r="231" ht="16.5" customHeight="1"/>
    <row r="232" ht="16.5" customHeight="1"/>
    <row r="233" ht="16.5" customHeight="1"/>
    <row r="234" ht="16.5" customHeight="1"/>
    <row r="235" ht="16.5" customHeight="1"/>
    <row r="236" ht="16.5" customHeight="1"/>
    <row r="237" ht="16.5" customHeight="1"/>
    <row r="238" ht="16.5" customHeight="1"/>
    <row r="239" ht="16.5" customHeight="1"/>
    <row r="240" ht="16.5" customHeight="1"/>
    <row r="241" ht="16.5" customHeight="1"/>
    <row r="242" ht="16.5" customHeight="1"/>
    <row r="243" ht="16.5" customHeight="1"/>
    <row r="244" ht="16.5" customHeight="1"/>
    <row r="245" ht="16.5" customHeight="1"/>
    <row r="246" ht="16.5" customHeight="1"/>
    <row r="247" ht="16.5" customHeight="1"/>
    <row r="248" ht="16.5" customHeight="1"/>
    <row r="249" ht="16.5" customHeight="1"/>
    <row r="250" ht="16.5" customHeight="1"/>
    <row r="251" ht="16.5" customHeight="1"/>
    <row r="252" ht="16.5" customHeight="1"/>
    <row r="253" ht="16.5" customHeight="1"/>
    <row r="254" ht="16.5" customHeight="1"/>
    <row r="255" ht="16.5" customHeight="1"/>
    <row r="256" ht="16.5" customHeight="1"/>
    <row r="257" ht="16.5" customHeight="1"/>
    <row r="258" ht="16.5" customHeight="1"/>
    <row r="259" ht="16.5" customHeight="1"/>
    <row r="260" ht="16.5" customHeight="1"/>
    <row r="261" ht="16.5" customHeight="1"/>
    <row r="262" ht="16.5" customHeight="1"/>
    <row r="263" ht="16.5" customHeight="1"/>
    <row r="264" ht="16.5" customHeight="1"/>
    <row r="265" ht="16.5" customHeight="1"/>
    <row r="266" ht="16.5" customHeight="1"/>
    <row r="267" ht="16.5" customHeight="1"/>
    <row r="268" ht="16.5" customHeight="1"/>
    <row r="269" ht="16.5" customHeight="1"/>
    <row r="270" ht="16.5" customHeight="1"/>
    <row r="271" ht="16.5" customHeight="1"/>
    <row r="272" ht="16.5" customHeight="1"/>
    <row r="273" ht="16.5" customHeight="1"/>
    <row r="274" ht="16.5" customHeight="1"/>
    <row r="275" ht="16.5" customHeight="1"/>
    <row r="276" ht="16.5" customHeight="1"/>
    <row r="277" ht="16.5" customHeight="1"/>
    <row r="278" ht="16.5" customHeight="1"/>
    <row r="279" ht="16.5" customHeight="1"/>
    <row r="280" ht="16.5" customHeight="1"/>
    <row r="281" ht="16.5" customHeight="1"/>
    <row r="282" ht="16.5" customHeight="1"/>
    <row r="283" ht="16.5" customHeight="1"/>
    <row r="284" ht="16.5" customHeight="1"/>
    <row r="285" ht="16.5" customHeight="1"/>
    <row r="286" ht="16.5" customHeight="1"/>
    <row r="287" ht="16.5" customHeight="1"/>
    <row r="288" ht="16.5" customHeight="1"/>
    <row r="289" ht="16.5" customHeight="1"/>
    <row r="290" ht="16.5" customHeight="1"/>
    <row r="291" ht="16.5" customHeight="1"/>
    <row r="292" ht="16.5" customHeight="1"/>
    <row r="293" ht="16.5" customHeight="1"/>
    <row r="294" ht="16.5" customHeight="1"/>
    <row r="295" ht="16.5" customHeight="1"/>
    <row r="296" ht="16.5" customHeight="1"/>
    <row r="297" ht="16.5" customHeight="1"/>
    <row r="298" ht="16.5" customHeight="1"/>
    <row r="299" ht="16.5" customHeight="1"/>
    <row r="300" ht="16.5" customHeight="1"/>
    <row r="301" ht="16.5" customHeight="1"/>
    <row r="302" ht="16.5" customHeight="1"/>
    <row r="303" ht="16.5" customHeight="1"/>
  </sheetData>
  <mergeCells count="6">
    <mergeCell ref="B1:E1"/>
    <mergeCell ref="F1:I1"/>
    <mergeCell ref="B2:E2"/>
    <mergeCell ref="F2:I2"/>
    <mergeCell ref="B25:E25"/>
    <mergeCell ref="F25:I25"/>
  </mergeCells>
  <phoneticPr fontId="5" type="noConversion"/>
  <pageMargins left="0.7" right="0.7" top="0.75" bottom="0.75" header="0.3" footer="0.3"/>
  <pageSetup paperSize="9" orientation="portrait" horizontalDpi="0" verticalDpi="0"/>
</worksheet>
</file>

<file path=xl/worksheets/sheet1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9207CA0-81E7-4834-9C61-E7494B45D53D}">
  <sheetPr codeName="工作表127"/>
  <dimension ref="A1:I12"/>
  <sheetViews>
    <sheetView workbookViewId="0"/>
  </sheetViews>
  <sheetFormatPr defaultColWidth="6.625" defaultRowHeight="13.5"/>
  <cols>
    <col min="1" max="1" width="3.125" style="4" bestFit="1" customWidth="1"/>
    <col min="2" max="2" width="5.5" style="8" customWidth="1"/>
    <col min="3" max="3" width="35.5" style="4" customWidth="1"/>
    <col min="4" max="4" width="31.125" style="4" customWidth="1"/>
    <col min="5" max="5" width="11.125" style="4" bestFit="1" customWidth="1"/>
    <col min="6" max="6" width="12.625" style="4" customWidth="1"/>
    <col min="7" max="7" width="58" style="4" customWidth="1"/>
    <col min="8" max="8" width="34.125" style="4" customWidth="1"/>
    <col min="9" max="9" width="21.625" style="4" customWidth="1"/>
    <col min="10" max="16384" width="6.625" style="4"/>
  </cols>
  <sheetData>
    <row r="1" spans="1:9" ht="24">
      <c r="A1" s="1" t="e">
        <f ca="1">HYPERLINK("#'介面'!E"&amp;MATCH(VALUE(RIGHT(CELL("filename"),LEN(CELL("filename"))-FIND("]",CELL("filename")))),介面!D:D,"0"),"←")</f>
        <v>#VALUE!</v>
      </c>
      <c r="B1" s="207" t="s">
        <v>251</v>
      </c>
      <c r="C1" s="208"/>
      <c r="D1" s="208"/>
      <c r="E1" s="209"/>
      <c r="F1" s="207" t="s">
        <v>2388</v>
      </c>
      <c r="G1" s="208"/>
      <c r="H1" s="208"/>
      <c r="I1" s="208"/>
    </row>
    <row r="2" spans="1:9" ht="24">
      <c r="A2" s="1"/>
      <c r="B2" s="210" t="s">
        <v>275</v>
      </c>
      <c r="C2" s="211"/>
      <c r="D2" s="211"/>
      <c r="E2" s="212"/>
      <c r="F2" s="210"/>
      <c r="G2" s="211"/>
      <c r="H2" s="211"/>
      <c r="I2" s="212"/>
    </row>
    <row r="3" spans="1:9" s="8" customFormat="1" ht="15">
      <c r="A3" s="6"/>
      <c r="B3" s="7" t="s">
        <v>276</v>
      </c>
      <c r="C3" s="56" t="s">
        <v>277</v>
      </c>
      <c r="D3" s="56" t="s">
        <v>278</v>
      </c>
      <c r="E3" s="57" t="s">
        <v>279</v>
      </c>
      <c r="F3" s="57" t="s">
        <v>280</v>
      </c>
      <c r="G3" s="56" t="s">
        <v>281</v>
      </c>
      <c r="H3" s="141" t="s">
        <v>11</v>
      </c>
      <c r="I3" s="56" t="s">
        <v>282</v>
      </c>
    </row>
    <row r="4" spans="1:9" s="24" customFormat="1" ht="15">
      <c r="A4" s="25"/>
      <c r="B4" s="46">
        <v>1</v>
      </c>
      <c r="C4" s="64" t="s">
        <v>1825</v>
      </c>
      <c r="D4" s="64" t="s">
        <v>1826</v>
      </c>
      <c r="E4" s="62" t="s">
        <v>285</v>
      </c>
      <c r="F4" s="62">
        <v>50</v>
      </c>
      <c r="G4" s="66" t="s">
        <v>330</v>
      </c>
      <c r="H4" s="142" t="s">
        <v>302</v>
      </c>
      <c r="I4" s="66" t="s">
        <v>287</v>
      </c>
    </row>
    <row r="5" spans="1:9" s="24" customFormat="1" ht="15">
      <c r="A5" s="25"/>
      <c r="B5" s="46">
        <v>2</v>
      </c>
      <c r="C5" s="50" t="s">
        <v>303</v>
      </c>
      <c r="D5" s="50" t="s">
        <v>304</v>
      </c>
      <c r="E5" s="51" t="s">
        <v>452</v>
      </c>
      <c r="F5" s="51">
        <v>20</v>
      </c>
      <c r="G5" s="66" t="s">
        <v>331</v>
      </c>
      <c r="H5" s="142"/>
      <c r="I5" s="66" t="s">
        <v>287</v>
      </c>
    </row>
    <row r="6" spans="1:9" s="95" customFormat="1" ht="15.75">
      <c r="A6" s="93"/>
      <c r="B6" s="46">
        <v>3</v>
      </c>
      <c r="C6" s="64" t="s">
        <v>637</v>
      </c>
      <c r="D6" s="64" t="s">
        <v>364</v>
      </c>
      <c r="E6" s="51" t="s">
        <v>452</v>
      </c>
      <c r="F6" s="51">
        <v>20</v>
      </c>
      <c r="G6" s="91" t="s">
        <v>331</v>
      </c>
      <c r="H6" s="142"/>
      <c r="I6" s="66" t="s">
        <v>287</v>
      </c>
    </row>
    <row r="7" spans="1:9" s="24" customFormat="1" ht="15.75">
      <c r="A7" s="25"/>
      <c r="B7" s="46">
        <v>4</v>
      </c>
      <c r="C7" s="86" t="s">
        <v>2387</v>
      </c>
      <c r="D7" s="86" t="s">
        <v>1858</v>
      </c>
      <c r="E7" s="87" t="s">
        <v>296</v>
      </c>
      <c r="F7" s="87">
        <v>20</v>
      </c>
      <c r="G7" s="89" t="s">
        <v>133</v>
      </c>
      <c r="H7" s="142"/>
      <c r="I7" s="66" t="s">
        <v>287</v>
      </c>
    </row>
    <row r="8" spans="1:9" ht="15.75">
      <c r="A8" s="1"/>
      <c r="B8" s="2"/>
      <c r="C8" s="3"/>
      <c r="D8" s="3"/>
      <c r="E8" s="3"/>
      <c r="F8" s="3"/>
      <c r="G8" s="3"/>
      <c r="H8" s="3"/>
      <c r="I8" s="3"/>
    </row>
    <row r="9" spans="1:9" ht="24">
      <c r="A9" s="1"/>
      <c r="B9" s="204" t="s">
        <v>291</v>
      </c>
      <c r="C9" s="205"/>
      <c r="D9" s="205"/>
      <c r="E9" s="206"/>
      <c r="F9" s="204"/>
      <c r="G9" s="205"/>
      <c r="H9" s="205"/>
      <c r="I9" s="206"/>
    </row>
    <row r="10" spans="1:9" s="8" customFormat="1" ht="15">
      <c r="A10" s="6"/>
      <c r="B10" s="7" t="s">
        <v>276</v>
      </c>
      <c r="C10" s="56" t="s">
        <v>277</v>
      </c>
      <c r="D10" s="56" t="s">
        <v>278</v>
      </c>
      <c r="E10" s="57" t="s">
        <v>279</v>
      </c>
      <c r="F10" s="57" t="s">
        <v>280</v>
      </c>
      <c r="G10" s="56" t="s">
        <v>11</v>
      </c>
      <c r="H10" s="56" t="s">
        <v>292</v>
      </c>
      <c r="I10" s="56" t="s">
        <v>293</v>
      </c>
    </row>
    <row r="11" spans="1:9" s="24" customFormat="1" ht="15.75">
      <c r="A11" s="25"/>
      <c r="B11" s="46">
        <v>1</v>
      </c>
      <c r="C11" s="86" t="s">
        <v>1834</v>
      </c>
      <c r="D11" s="86" t="s">
        <v>1835</v>
      </c>
      <c r="E11" s="87"/>
      <c r="F11" s="87"/>
      <c r="G11" s="85" t="s">
        <v>1836</v>
      </c>
      <c r="H11" s="28"/>
      <c r="I11" s="86"/>
    </row>
    <row r="12" spans="1:9" s="24" customFormat="1" ht="15.75">
      <c r="A12" s="25"/>
      <c r="B12" s="46">
        <v>2</v>
      </c>
      <c r="C12" s="86" t="s">
        <v>1837</v>
      </c>
      <c r="D12" s="86" t="s">
        <v>1838</v>
      </c>
      <c r="E12" s="87"/>
      <c r="F12" s="87"/>
      <c r="G12" s="85" t="s">
        <v>1836</v>
      </c>
      <c r="H12" s="28"/>
      <c r="I12" s="86"/>
    </row>
  </sheetData>
  <mergeCells count="6">
    <mergeCell ref="B1:E1"/>
    <mergeCell ref="F1:I1"/>
    <mergeCell ref="B2:E2"/>
    <mergeCell ref="F2:I2"/>
    <mergeCell ref="B9:E9"/>
    <mergeCell ref="F9:I9"/>
  </mergeCells>
  <phoneticPr fontId="5" type="noConversion"/>
  <pageMargins left="0.7" right="0.7" top="0.75" bottom="0.75" header="0.3" footer="0.3"/>
  <pageSetup paperSize="9" orientation="portrait" horizontalDpi="0" verticalDpi="0"/>
</worksheet>
</file>

<file path=xl/worksheets/sheet1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4A7DC22-043A-4D80-A6F7-D4179A5C7B78}">
  <sheetPr codeName="工作表78"/>
  <dimension ref="A1:I12"/>
  <sheetViews>
    <sheetView workbookViewId="0"/>
  </sheetViews>
  <sheetFormatPr defaultColWidth="6.625" defaultRowHeight="13.5"/>
  <cols>
    <col min="1" max="1" width="3.125" style="4" bestFit="1" customWidth="1"/>
    <col min="2" max="2" width="5.5" style="8" customWidth="1"/>
    <col min="3" max="3" width="35.5" style="4" customWidth="1"/>
    <col min="4" max="4" width="31.125" style="4" customWidth="1"/>
    <col min="5" max="5" width="11.125" style="4" bestFit="1" customWidth="1"/>
    <col min="6" max="6" width="12.625" style="4" customWidth="1"/>
    <col min="7" max="7" width="58" style="4" customWidth="1"/>
    <col min="8" max="8" width="34.125" style="4" customWidth="1"/>
    <col min="9" max="9" width="21.625" style="4" customWidth="1"/>
    <col min="10" max="16384" width="6.625" style="4"/>
  </cols>
  <sheetData>
    <row r="1" spans="1:9" ht="24">
      <c r="A1" s="1" t="e">
        <f ca="1">HYPERLINK("#'介面'!E"&amp;MATCH(VALUE(RIGHT(CELL("filename"),LEN(CELL("filename"))-FIND("]",CELL("filename")))),介面!D:D,"0"),"←")</f>
        <v>#VALUE!</v>
      </c>
      <c r="B1" s="207" t="s">
        <v>171</v>
      </c>
      <c r="C1" s="208"/>
      <c r="D1" s="208"/>
      <c r="E1" s="209"/>
      <c r="F1" s="207" t="s">
        <v>2389</v>
      </c>
      <c r="G1" s="208"/>
      <c r="H1" s="208"/>
      <c r="I1" s="208"/>
    </row>
    <row r="2" spans="1:9" ht="24">
      <c r="A2" s="1"/>
      <c r="B2" s="210" t="s">
        <v>275</v>
      </c>
      <c r="C2" s="211"/>
      <c r="D2" s="211"/>
      <c r="E2" s="212"/>
      <c r="F2" s="210"/>
      <c r="G2" s="211"/>
      <c r="H2" s="211"/>
      <c r="I2" s="212"/>
    </row>
    <row r="3" spans="1:9" s="8" customFormat="1" ht="15">
      <c r="A3" s="6"/>
      <c r="B3" s="7" t="s">
        <v>276</v>
      </c>
      <c r="C3" s="56" t="s">
        <v>277</v>
      </c>
      <c r="D3" s="56" t="s">
        <v>278</v>
      </c>
      <c r="E3" s="57" t="s">
        <v>279</v>
      </c>
      <c r="F3" s="57" t="s">
        <v>280</v>
      </c>
      <c r="G3" s="56" t="s">
        <v>281</v>
      </c>
      <c r="H3" s="141" t="s">
        <v>11</v>
      </c>
      <c r="I3" s="56" t="s">
        <v>282</v>
      </c>
    </row>
    <row r="4" spans="1:9" s="24" customFormat="1" ht="15">
      <c r="A4" s="25"/>
      <c r="B4" s="46">
        <v>1</v>
      </c>
      <c r="C4" s="64" t="s">
        <v>1825</v>
      </c>
      <c r="D4" s="64" t="s">
        <v>1826</v>
      </c>
      <c r="E4" s="62" t="s">
        <v>285</v>
      </c>
      <c r="F4" s="62">
        <v>50</v>
      </c>
      <c r="G4" s="66" t="s">
        <v>330</v>
      </c>
      <c r="H4" s="142" t="s">
        <v>302</v>
      </c>
      <c r="I4" s="66" t="s">
        <v>287</v>
      </c>
    </row>
    <row r="5" spans="1:9" s="24" customFormat="1" ht="15">
      <c r="A5" s="25"/>
      <c r="B5" s="46">
        <v>2</v>
      </c>
      <c r="C5" s="50" t="s">
        <v>2390</v>
      </c>
      <c r="D5" s="50" t="s">
        <v>2391</v>
      </c>
      <c r="E5" s="51" t="s">
        <v>452</v>
      </c>
      <c r="F5" s="51">
        <v>20</v>
      </c>
      <c r="G5" s="66" t="s">
        <v>2392</v>
      </c>
      <c r="H5" s="142"/>
      <c r="I5" s="66" t="s">
        <v>287</v>
      </c>
    </row>
    <row r="6" spans="1:9" ht="15.75">
      <c r="A6" s="1"/>
      <c r="B6" s="2"/>
      <c r="C6" s="3"/>
      <c r="D6" s="3"/>
      <c r="E6" s="3"/>
      <c r="F6" s="3"/>
      <c r="G6" s="3"/>
      <c r="H6" s="3"/>
      <c r="I6" s="3"/>
    </row>
    <row r="7" spans="1:9" ht="24">
      <c r="A7" s="1"/>
      <c r="B7" s="204" t="s">
        <v>291</v>
      </c>
      <c r="C7" s="205"/>
      <c r="D7" s="205"/>
      <c r="E7" s="206"/>
      <c r="F7" s="204"/>
      <c r="G7" s="205"/>
      <c r="H7" s="205"/>
      <c r="I7" s="206"/>
    </row>
    <row r="8" spans="1:9" s="8" customFormat="1" ht="15">
      <c r="A8" s="6"/>
      <c r="B8" s="7" t="s">
        <v>276</v>
      </c>
      <c r="C8" s="56" t="s">
        <v>277</v>
      </c>
      <c r="D8" s="56" t="s">
        <v>278</v>
      </c>
      <c r="E8" s="57" t="s">
        <v>279</v>
      </c>
      <c r="F8" s="57" t="s">
        <v>280</v>
      </c>
      <c r="G8" s="56" t="s">
        <v>11</v>
      </c>
      <c r="H8" s="56" t="s">
        <v>292</v>
      </c>
      <c r="I8" s="56" t="s">
        <v>293</v>
      </c>
    </row>
    <row r="9" spans="1:9" s="111" customFormat="1" ht="15.75">
      <c r="A9" s="106"/>
      <c r="B9" s="107">
        <v>1</v>
      </c>
      <c r="C9" s="168" t="s">
        <v>2390</v>
      </c>
      <c r="D9" s="168" t="s">
        <v>2391</v>
      </c>
      <c r="E9" s="109" t="s">
        <v>285</v>
      </c>
      <c r="F9" s="62">
        <v>50</v>
      </c>
      <c r="G9" s="110"/>
      <c r="H9" s="110"/>
      <c r="I9" s="110"/>
    </row>
    <row r="10" spans="1:9" s="111" customFormat="1" ht="15.75">
      <c r="A10" s="112"/>
      <c r="B10" s="107">
        <f>B9+1</f>
        <v>2</v>
      </c>
      <c r="C10" s="169" t="s">
        <v>2393</v>
      </c>
      <c r="D10" s="64" t="s">
        <v>2394</v>
      </c>
      <c r="E10" s="109" t="s">
        <v>285</v>
      </c>
      <c r="F10" s="62">
        <v>50</v>
      </c>
      <c r="G10" s="110"/>
      <c r="H10" s="110"/>
      <c r="I10" s="110"/>
    </row>
    <row r="11" spans="1:9" s="111" customFormat="1" ht="15.75">
      <c r="A11" s="106"/>
      <c r="B11" s="107">
        <v>3</v>
      </c>
      <c r="C11" s="64" t="s">
        <v>2395</v>
      </c>
      <c r="D11" s="64" t="s">
        <v>2396</v>
      </c>
      <c r="E11" s="109" t="s">
        <v>285</v>
      </c>
      <c r="F11" s="62">
        <v>100</v>
      </c>
      <c r="G11" s="110"/>
      <c r="H11" s="110"/>
      <c r="I11" s="110"/>
    </row>
    <row r="12" spans="1:9" s="111" customFormat="1" ht="15.75">
      <c r="A12" s="112"/>
      <c r="B12" s="107">
        <v>4</v>
      </c>
      <c r="C12" s="64" t="s">
        <v>2395</v>
      </c>
      <c r="D12" s="64" t="s">
        <v>2397</v>
      </c>
      <c r="E12" s="109" t="s">
        <v>285</v>
      </c>
      <c r="F12" s="62">
        <v>1000</v>
      </c>
      <c r="G12" s="110"/>
      <c r="H12" s="110"/>
      <c r="I12" s="110"/>
    </row>
  </sheetData>
  <mergeCells count="6">
    <mergeCell ref="B1:E1"/>
    <mergeCell ref="F1:I1"/>
    <mergeCell ref="B2:E2"/>
    <mergeCell ref="F2:I2"/>
    <mergeCell ref="B7:E7"/>
    <mergeCell ref="F7:I7"/>
  </mergeCells>
  <phoneticPr fontId="5" type="noConversion"/>
  <pageMargins left="0.7" right="0.7" top="0.75" bottom="0.75" header="0.3" footer="0.3"/>
  <pageSetup paperSize="9" orientation="portrait" horizontalDpi="0" verticalDpi="0"/>
</worksheet>
</file>

<file path=xl/worksheets/sheet1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9F6814D-18E6-44F9-B4DA-CBB0E7463FA5}">
  <dimension ref="A1:I18"/>
  <sheetViews>
    <sheetView workbookViewId="0"/>
  </sheetViews>
  <sheetFormatPr defaultColWidth="8.875" defaultRowHeight="15"/>
  <cols>
    <col min="1" max="1" width="3.625" bestFit="1" customWidth="1"/>
    <col min="2" max="2" width="7" customWidth="1"/>
    <col min="3" max="3" width="20.125" customWidth="1"/>
    <col min="4" max="4" width="20.5" customWidth="1"/>
    <col min="5" max="5" width="46.375" customWidth="1"/>
    <col min="6" max="6" width="8.875" customWidth="1"/>
    <col min="7" max="7" width="42.125" bestFit="1" customWidth="1"/>
    <col min="8" max="8" width="16.5" bestFit="1" customWidth="1"/>
    <col min="9" max="9" width="13.625" customWidth="1"/>
  </cols>
  <sheetData>
    <row r="1" spans="1:9" ht="24">
      <c r="A1" s="149" t="e">
        <f ca="1">HYPERLINK("#'介面'!E"&amp;MATCH(VALUE(RIGHT(CELL("filename"),LEN(CELL("filename"))-FIND("]",CELL("filename")))),介面!D:D,"0"),"←")</f>
        <v>#VALUE!</v>
      </c>
      <c r="B1" s="207" t="s">
        <v>254</v>
      </c>
      <c r="C1" s="208"/>
      <c r="D1" s="208"/>
      <c r="E1" s="209"/>
      <c r="F1" s="207" t="s">
        <v>255</v>
      </c>
      <c r="G1" s="208"/>
      <c r="H1" s="208"/>
      <c r="I1" s="208"/>
    </row>
    <row r="2" spans="1:9" ht="24">
      <c r="B2" s="210" t="s">
        <v>275</v>
      </c>
      <c r="C2" s="211"/>
      <c r="D2" s="211"/>
      <c r="E2" s="212"/>
      <c r="F2" s="210"/>
      <c r="G2" s="211"/>
      <c r="H2" s="211"/>
      <c r="I2" s="212"/>
    </row>
    <row r="3" spans="1:9">
      <c r="B3" s="7" t="s">
        <v>276</v>
      </c>
      <c r="C3" s="56" t="s">
        <v>277</v>
      </c>
      <c r="D3" s="56" t="s">
        <v>278</v>
      </c>
      <c r="E3" s="57" t="s">
        <v>279</v>
      </c>
      <c r="F3" s="57" t="s">
        <v>280</v>
      </c>
      <c r="G3" s="56" t="s">
        <v>281</v>
      </c>
      <c r="H3" s="141" t="s">
        <v>11</v>
      </c>
      <c r="I3" s="56" t="s">
        <v>282</v>
      </c>
    </row>
    <row r="4" spans="1:9">
      <c r="B4" s="46">
        <v>1</v>
      </c>
      <c r="C4" s="50" t="s">
        <v>303</v>
      </c>
      <c r="D4" s="50" t="s">
        <v>304</v>
      </c>
      <c r="E4" s="51" t="s">
        <v>452</v>
      </c>
      <c r="F4" s="51">
        <v>20</v>
      </c>
      <c r="G4" s="66" t="s">
        <v>331</v>
      </c>
      <c r="H4" s="142"/>
      <c r="I4" s="66" t="s">
        <v>287</v>
      </c>
    </row>
    <row r="5" spans="1:9">
      <c r="B5" s="46">
        <v>2</v>
      </c>
      <c r="C5" s="64" t="s">
        <v>637</v>
      </c>
      <c r="D5" s="64" t="s">
        <v>364</v>
      </c>
      <c r="E5" s="51" t="s">
        <v>452</v>
      </c>
      <c r="F5" s="51">
        <v>20</v>
      </c>
      <c r="G5" s="196" t="s">
        <v>331</v>
      </c>
      <c r="H5" s="142"/>
      <c r="I5" s="66" t="s">
        <v>287</v>
      </c>
    </row>
    <row r="6" spans="1:9" ht="15.75">
      <c r="B6" s="191">
        <v>3</v>
      </c>
      <c r="C6" s="192" t="s">
        <v>2398</v>
      </c>
      <c r="D6" s="192" t="s">
        <v>1665</v>
      </c>
      <c r="E6" s="193" t="s">
        <v>421</v>
      </c>
      <c r="F6" s="193"/>
      <c r="G6" s="63" t="s">
        <v>2399</v>
      </c>
      <c r="H6" s="194"/>
      <c r="I6" s="195" t="s">
        <v>287</v>
      </c>
    </row>
    <row r="7" spans="1:9" ht="15.75">
      <c r="B7" s="191">
        <v>4</v>
      </c>
      <c r="C7" s="192" t="s">
        <v>2400</v>
      </c>
      <c r="D7" s="192" t="s">
        <v>2401</v>
      </c>
      <c r="E7" s="193" t="s">
        <v>421</v>
      </c>
      <c r="F7" s="193"/>
      <c r="G7" s="63" t="s">
        <v>2402</v>
      </c>
      <c r="H7" s="194"/>
      <c r="I7" s="195" t="s">
        <v>2403</v>
      </c>
    </row>
    <row r="8" spans="1:9" ht="30">
      <c r="B8" s="191">
        <v>5</v>
      </c>
      <c r="C8" s="192" t="s">
        <v>2404</v>
      </c>
      <c r="D8" s="192" t="s">
        <v>2405</v>
      </c>
      <c r="E8" s="193" t="s">
        <v>2406</v>
      </c>
      <c r="F8" s="193">
        <v>4</v>
      </c>
      <c r="G8" s="238" t="s">
        <v>2407</v>
      </c>
      <c r="H8" s="239" t="s">
        <v>2408</v>
      </c>
      <c r="I8" s="195"/>
    </row>
    <row r="9" spans="1:9" ht="15.75">
      <c r="B9" s="191">
        <v>6</v>
      </c>
      <c r="C9" s="192" t="s">
        <v>2409</v>
      </c>
      <c r="D9" s="192" t="s">
        <v>2410</v>
      </c>
      <c r="E9" s="193" t="s">
        <v>2411</v>
      </c>
      <c r="F9" s="193">
        <v>500</v>
      </c>
      <c r="G9" s="63"/>
      <c r="H9" s="194"/>
      <c r="I9" s="195"/>
    </row>
    <row r="10" spans="1:9" ht="15.75">
      <c r="B10" s="191">
        <v>7</v>
      </c>
      <c r="C10" s="192" t="s">
        <v>2412</v>
      </c>
      <c r="D10" s="192" t="s">
        <v>2413</v>
      </c>
      <c r="E10" s="193" t="s">
        <v>2411</v>
      </c>
      <c r="F10" s="193">
        <v>500</v>
      </c>
      <c r="G10" s="63"/>
      <c r="H10" s="194"/>
      <c r="I10" s="195"/>
    </row>
    <row r="11" spans="1:9" ht="15.75">
      <c r="B11" s="191">
        <v>8</v>
      </c>
      <c r="C11" s="192" t="s">
        <v>2414</v>
      </c>
      <c r="D11" s="192" t="s">
        <v>2415</v>
      </c>
      <c r="E11" s="193" t="s">
        <v>2411</v>
      </c>
      <c r="F11" s="193">
        <v>500</v>
      </c>
      <c r="G11" s="63"/>
      <c r="H11" s="194"/>
      <c r="I11" s="195"/>
    </row>
    <row r="12" spans="1:9" ht="15.75">
      <c r="B12" s="170">
        <v>9</v>
      </c>
      <c r="C12" s="80" t="s">
        <v>2416</v>
      </c>
      <c r="D12" s="80" t="s">
        <v>2417</v>
      </c>
      <c r="E12" s="81" t="s">
        <v>2418</v>
      </c>
      <c r="F12" s="81">
        <v>20</v>
      </c>
      <c r="G12" s="238" t="s">
        <v>2419</v>
      </c>
      <c r="H12" s="66"/>
      <c r="I12" s="66"/>
    </row>
    <row r="13" spans="1:9">
      <c r="B13" s="152"/>
      <c r="C13" s="153"/>
      <c r="D13" s="154"/>
      <c r="E13" s="155"/>
      <c r="F13" s="156"/>
      <c r="G13" s="151"/>
      <c r="H13" s="151"/>
      <c r="I13" s="158"/>
    </row>
    <row r="14" spans="1:9" ht="24">
      <c r="B14" s="227" t="s">
        <v>291</v>
      </c>
      <c r="C14" s="228"/>
      <c r="D14" s="228"/>
      <c r="E14" s="229"/>
      <c r="F14" s="227"/>
      <c r="G14" s="228"/>
      <c r="H14" s="228"/>
      <c r="I14" s="229"/>
    </row>
    <row r="15" spans="1:9">
      <c r="B15" s="7" t="s">
        <v>276</v>
      </c>
      <c r="C15" s="56" t="s">
        <v>277</v>
      </c>
      <c r="D15" s="56" t="s">
        <v>278</v>
      </c>
      <c r="E15" s="57" t="s">
        <v>279</v>
      </c>
      <c r="F15" s="57" t="s">
        <v>280</v>
      </c>
      <c r="G15" s="56" t="s">
        <v>11</v>
      </c>
      <c r="H15" s="56" t="s">
        <v>292</v>
      </c>
      <c r="I15" s="56" t="s">
        <v>293</v>
      </c>
    </row>
    <row r="16" spans="1:9">
      <c r="B16" s="46">
        <v>1</v>
      </c>
      <c r="C16" s="50" t="s">
        <v>2420</v>
      </c>
      <c r="D16" s="50" t="s">
        <v>1681</v>
      </c>
      <c r="E16" s="51" t="s">
        <v>704</v>
      </c>
      <c r="F16" s="51" t="s">
        <v>609</v>
      </c>
      <c r="G16" s="52"/>
      <c r="H16" s="19"/>
      <c r="I16" s="19"/>
    </row>
    <row r="17" spans="2:9" ht="15.75">
      <c r="B17" s="197">
        <v>2</v>
      </c>
      <c r="C17" s="240" t="s">
        <v>2421</v>
      </c>
      <c r="D17" s="240" t="s">
        <v>2422</v>
      </c>
      <c r="E17" s="48" t="s">
        <v>2411</v>
      </c>
      <c r="F17" s="48">
        <v>6</v>
      </c>
      <c r="G17" s="240"/>
      <c r="H17" s="240"/>
      <c r="I17" s="240"/>
    </row>
    <row r="18" spans="2:9" ht="15.75">
      <c r="B18" s="197">
        <v>3</v>
      </c>
      <c r="C18" s="240" t="s">
        <v>2423</v>
      </c>
      <c r="D18" s="240" t="s">
        <v>2424</v>
      </c>
      <c r="E18" s="48" t="s">
        <v>2425</v>
      </c>
      <c r="F18" s="48">
        <v>11</v>
      </c>
      <c r="G18" s="240"/>
      <c r="H18" s="240"/>
      <c r="I18" s="240"/>
    </row>
  </sheetData>
  <mergeCells count="6">
    <mergeCell ref="B1:E1"/>
    <mergeCell ref="F1:I1"/>
    <mergeCell ref="B2:E2"/>
    <mergeCell ref="F2:I2"/>
    <mergeCell ref="B14:E14"/>
    <mergeCell ref="F14:I14"/>
  </mergeCells>
  <phoneticPr fontId="24" type="noConversion"/>
  <pageMargins left="0.7" right="0.7" top="0.75" bottom="0.75" header="0.3" footer="0.3"/>
</worksheet>
</file>

<file path=xl/worksheets/sheet1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A03C462-C35D-44BB-AC85-0CCD32012473}">
  <dimension ref="A1:I18"/>
  <sheetViews>
    <sheetView workbookViewId="0"/>
  </sheetViews>
  <sheetFormatPr defaultColWidth="8.875" defaultRowHeight="15"/>
  <cols>
    <col min="1" max="1" width="3.625" bestFit="1" customWidth="1"/>
    <col min="2" max="2" width="4.625" bestFit="1" customWidth="1"/>
    <col min="3" max="3" width="29.625" customWidth="1"/>
    <col min="4" max="4" width="18.875" customWidth="1"/>
    <col min="5" max="5" width="58.375" customWidth="1"/>
    <col min="6" max="6" width="8.875" customWidth="1"/>
    <col min="7" max="7" width="42.875" customWidth="1"/>
    <col min="8" max="8" width="13.125" customWidth="1"/>
    <col min="9" max="9" width="13.875" customWidth="1"/>
  </cols>
  <sheetData>
    <row r="1" spans="1:9" ht="24">
      <c r="A1" s="149" t="e">
        <f ca="1">HYPERLINK("#'介面'!E"&amp;MATCH(VALUE(RIGHT(CELL("filename"),LEN(CELL("filename"))-FIND("]",CELL("filename")))),介面!D:D,"0"),"←")</f>
        <v>#VALUE!</v>
      </c>
      <c r="B1" s="207" t="s">
        <v>256</v>
      </c>
      <c r="C1" s="208"/>
      <c r="D1" s="208"/>
      <c r="E1" s="209"/>
      <c r="F1" s="207" t="s">
        <v>257</v>
      </c>
      <c r="G1" s="208"/>
      <c r="H1" s="208"/>
      <c r="I1" s="208"/>
    </row>
    <row r="2" spans="1:9" ht="24">
      <c r="B2" s="210" t="s">
        <v>275</v>
      </c>
      <c r="C2" s="211"/>
      <c r="D2" s="211"/>
      <c r="E2" s="212"/>
      <c r="F2" s="210"/>
      <c r="G2" s="211"/>
      <c r="H2" s="211"/>
      <c r="I2" s="212"/>
    </row>
    <row r="3" spans="1:9">
      <c r="B3" s="7" t="s">
        <v>276</v>
      </c>
      <c r="C3" s="56" t="s">
        <v>277</v>
      </c>
      <c r="D3" s="56" t="s">
        <v>278</v>
      </c>
      <c r="E3" s="57" t="s">
        <v>279</v>
      </c>
      <c r="F3" s="57" t="s">
        <v>280</v>
      </c>
      <c r="G3" s="56" t="s">
        <v>281</v>
      </c>
      <c r="H3" s="141" t="s">
        <v>11</v>
      </c>
      <c r="I3" s="56" t="s">
        <v>282</v>
      </c>
    </row>
    <row r="4" spans="1:9">
      <c r="B4" s="46">
        <v>1</v>
      </c>
      <c r="C4" s="50" t="s">
        <v>303</v>
      </c>
      <c r="D4" s="50" t="s">
        <v>304</v>
      </c>
      <c r="E4" s="51" t="s">
        <v>452</v>
      </c>
      <c r="F4" s="51">
        <v>20</v>
      </c>
      <c r="G4" s="66" t="s">
        <v>331</v>
      </c>
      <c r="H4" s="142"/>
      <c r="I4" s="66" t="s">
        <v>287</v>
      </c>
    </row>
    <row r="5" spans="1:9">
      <c r="B5" s="46">
        <v>2</v>
      </c>
      <c r="C5" s="64" t="s">
        <v>637</v>
      </c>
      <c r="D5" s="64" t="s">
        <v>364</v>
      </c>
      <c r="E5" s="51" t="s">
        <v>452</v>
      </c>
      <c r="F5" s="51">
        <v>20</v>
      </c>
      <c r="G5" s="196" t="s">
        <v>331</v>
      </c>
      <c r="H5" s="142"/>
      <c r="I5" s="66" t="s">
        <v>287</v>
      </c>
    </row>
    <row r="6" spans="1:9" ht="15.75">
      <c r="B6" s="191">
        <v>3</v>
      </c>
      <c r="C6" s="192" t="s">
        <v>2398</v>
      </c>
      <c r="D6" s="192" t="s">
        <v>1665</v>
      </c>
      <c r="E6" s="193" t="s">
        <v>421</v>
      </c>
      <c r="F6" s="193"/>
      <c r="G6" s="63" t="s">
        <v>2399</v>
      </c>
      <c r="H6" s="194"/>
      <c r="I6" s="195" t="s">
        <v>287</v>
      </c>
    </row>
    <row r="7" spans="1:9" ht="15.75">
      <c r="B7" s="191">
        <v>4</v>
      </c>
      <c r="C7" s="192" t="s">
        <v>2400</v>
      </c>
      <c r="D7" s="192" t="s">
        <v>2401</v>
      </c>
      <c r="E7" s="193" t="s">
        <v>421</v>
      </c>
      <c r="F7" s="193"/>
      <c r="G7" s="63" t="s">
        <v>2402</v>
      </c>
      <c r="H7" s="194"/>
      <c r="I7" s="195"/>
    </row>
    <row r="8" spans="1:9" ht="55.5" customHeight="1">
      <c r="B8" s="191">
        <v>5</v>
      </c>
      <c r="C8" s="192" t="s">
        <v>2404</v>
      </c>
      <c r="D8" s="192" t="s">
        <v>2405</v>
      </c>
      <c r="E8" s="193" t="s">
        <v>2406</v>
      </c>
      <c r="F8" s="193">
        <v>4</v>
      </c>
      <c r="G8" s="238" t="s">
        <v>2407</v>
      </c>
      <c r="H8" s="239" t="s">
        <v>2408</v>
      </c>
      <c r="I8" s="195"/>
    </row>
    <row r="9" spans="1:9" ht="15.75">
      <c r="B9" s="191">
        <v>6</v>
      </c>
      <c r="C9" s="192" t="s">
        <v>2409</v>
      </c>
      <c r="D9" s="192" t="s">
        <v>2410</v>
      </c>
      <c r="E9" s="193" t="s">
        <v>2411</v>
      </c>
      <c r="F9" s="193">
        <v>500</v>
      </c>
      <c r="G9" s="63"/>
      <c r="H9" s="194"/>
      <c r="I9" s="195"/>
    </row>
    <row r="10" spans="1:9" ht="15.75">
      <c r="B10" s="191">
        <v>7</v>
      </c>
      <c r="C10" s="192" t="s">
        <v>2412</v>
      </c>
      <c r="D10" s="192" t="s">
        <v>2413</v>
      </c>
      <c r="E10" s="193" t="s">
        <v>2411</v>
      </c>
      <c r="F10" s="193">
        <v>500</v>
      </c>
      <c r="G10" s="63"/>
      <c r="H10" s="194"/>
      <c r="I10" s="195"/>
    </row>
    <row r="11" spans="1:9" ht="15.75">
      <c r="B11" s="191">
        <v>8</v>
      </c>
      <c r="C11" s="192" t="s">
        <v>2414</v>
      </c>
      <c r="D11" s="192" t="s">
        <v>2415</v>
      </c>
      <c r="E11" s="193" t="s">
        <v>2411</v>
      </c>
      <c r="F11" s="193">
        <v>500</v>
      </c>
      <c r="G11" s="63"/>
      <c r="H11" s="194"/>
      <c r="I11" s="195"/>
    </row>
    <row r="12" spans="1:9" ht="15.75">
      <c r="B12" s="170">
        <v>9</v>
      </c>
      <c r="C12" s="80" t="s">
        <v>2416</v>
      </c>
      <c r="D12" s="80" t="s">
        <v>2417</v>
      </c>
      <c r="E12" s="81" t="s">
        <v>2418</v>
      </c>
      <c r="F12" s="81">
        <v>20</v>
      </c>
      <c r="G12" s="238" t="s">
        <v>2419</v>
      </c>
      <c r="H12" s="66"/>
      <c r="I12" s="66"/>
    </row>
    <row r="13" spans="1:9">
      <c r="B13" s="170">
        <v>10</v>
      </c>
      <c r="C13" s="50" t="s">
        <v>2426</v>
      </c>
      <c r="D13" s="50" t="s">
        <v>2427</v>
      </c>
      <c r="E13" s="51" t="s">
        <v>2411</v>
      </c>
      <c r="F13" s="51">
        <v>50</v>
      </c>
      <c r="G13" s="63" t="s">
        <v>2428</v>
      </c>
      <c r="H13" s="66"/>
      <c r="I13" s="66" t="s">
        <v>2403</v>
      </c>
    </row>
    <row r="14" spans="1:9">
      <c r="B14" s="170">
        <v>11</v>
      </c>
      <c r="C14" s="50" t="s">
        <v>2429</v>
      </c>
      <c r="D14" s="50" t="s">
        <v>2430</v>
      </c>
      <c r="E14" s="51" t="s">
        <v>2406</v>
      </c>
      <c r="F14" s="51">
        <v>4</v>
      </c>
      <c r="G14" s="63" t="s">
        <v>2407</v>
      </c>
      <c r="H14" s="66"/>
      <c r="I14" s="66" t="s">
        <v>2403</v>
      </c>
    </row>
    <row r="15" spans="1:9">
      <c r="B15" s="152"/>
      <c r="C15" s="153"/>
      <c r="D15" s="154"/>
      <c r="E15" s="155"/>
      <c r="F15" s="156"/>
      <c r="G15" s="151"/>
      <c r="H15" s="151"/>
      <c r="I15" s="158"/>
    </row>
    <row r="16" spans="1:9" ht="24">
      <c r="B16" s="227" t="s">
        <v>291</v>
      </c>
      <c r="C16" s="228"/>
      <c r="D16" s="228"/>
      <c r="E16" s="229"/>
      <c r="F16" s="227"/>
      <c r="G16" s="228"/>
      <c r="H16" s="228"/>
      <c r="I16" s="229"/>
    </row>
    <row r="17" spans="2:9">
      <c r="B17" s="7" t="s">
        <v>276</v>
      </c>
      <c r="C17" s="56" t="s">
        <v>277</v>
      </c>
      <c r="D17" s="56" t="s">
        <v>278</v>
      </c>
      <c r="E17" s="57" t="s">
        <v>279</v>
      </c>
      <c r="F17" s="57" t="s">
        <v>280</v>
      </c>
      <c r="G17" s="56" t="s">
        <v>11</v>
      </c>
      <c r="H17" s="56" t="s">
        <v>292</v>
      </c>
      <c r="I17" s="56" t="s">
        <v>293</v>
      </c>
    </row>
    <row r="18" spans="2:9">
      <c r="B18" s="46">
        <v>1</v>
      </c>
      <c r="C18" s="50" t="s">
        <v>2431</v>
      </c>
      <c r="D18" s="50" t="s">
        <v>2432</v>
      </c>
      <c r="E18" s="51" t="s">
        <v>296</v>
      </c>
      <c r="F18" s="51">
        <v>20</v>
      </c>
      <c r="G18" s="52"/>
      <c r="H18" s="19"/>
      <c r="I18" s="19"/>
    </row>
  </sheetData>
  <mergeCells count="6">
    <mergeCell ref="B1:E1"/>
    <mergeCell ref="F1:I1"/>
    <mergeCell ref="B2:E2"/>
    <mergeCell ref="F2:I2"/>
    <mergeCell ref="B16:E16"/>
    <mergeCell ref="F16:I16"/>
  </mergeCells>
  <phoneticPr fontId="24" type="noConversion"/>
  <pageMargins left="0.7" right="0.7" top="0.75" bottom="0.75" header="0.3" footer="0.3"/>
</worksheet>
</file>

<file path=xl/worksheets/sheet1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D8D3895-BC84-4C7F-8E6E-0BF9619180FD}">
  <dimension ref="A1:I11"/>
  <sheetViews>
    <sheetView workbookViewId="0"/>
  </sheetViews>
  <sheetFormatPr defaultColWidth="8.875" defaultRowHeight="15"/>
  <cols>
    <col min="1" max="1" width="3.625" bestFit="1" customWidth="1"/>
    <col min="2" max="2" width="4.625" bestFit="1" customWidth="1"/>
    <col min="3" max="3" width="29.625" customWidth="1"/>
    <col min="4" max="4" width="18.875" customWidth="1"/>
    <col min="5" max="5" width="58.375" customWidth="1"/>
    <col min="6" max="6" width="8.875" customWidth="1"/>
    <col min="7" max="7" width="42.875" customWidth="1"/>
    <col min="8" max="8" width="8.875" customWidth="1"/>
    <col min="9" max="9" width="13.875" customWidth="1"/>
  </cols>
  <sheetData>
    <row r="1" spans="1:9" ht="24">
      <c r="A1" s="149" t="e">
        <f ca="1">HYPERLINK("#'介面'!E"&amp;MATCH(VALUE(RIGHT(CELL("filename"),LEN(CELL("filename"))-FIND("]",CELL("filename")))),介面!D:D,"0"),"←")</f>
        <v>#VALUE!</v>
      </c>
      <c r="B1" s="207" t="s">
        <v>258</v>
      </c>
      <c r="C1" s="208"/>
      <c r="D1" s="208"/>
      <c r="E1" s="209"/>
      <c r="F1" s="207" t="s">
        <v>259</v>
      </c>
      <c r="G1" s="208"/>
      <c r="H1" s="208"/>
      <c r="I1" s="208"/>
    </row>
    <row r="2" spans="1:9" ht="24">
      <c r="B2" s="210" t="s">
        <v>275</v>
      </c>
      <c r="C2" s="211"/>
      <c r="D2" s="211"/>
      <c r="E2" s="212"/>
      <c r="F2" s="210"/>
      <c r="G2" s="211"/>
      <c r="H2" s="211"/>
      <c r="I2" s="212"/>
    </row>
    <row r="3" spans="1:9">
      <c r="B3" s="7" t="s">
        <v>276</v>
      </c>
      <c r="C3" s="56" t="s">
        <v>277</v>
      </c>
      <c r="D3" s="56" t="s">
        <v>278</v>
      </c>
      <c r="E3" s="57" t="s">
        <v>279</v>
      </c>
      <c r="F3" s="57" t="s">
        <v>280</v>
      </c>
      <c r="G3" s="56" t="s">
        <v>281</v>
      </c>
      <c r="H3" s="141" t="s">
        <v>11</v>
      </c>
      <c r="I3" s="56" t="s">
        <v>282</v>
      </c>
    </row>
    <row r="4" spans="1:9">
      <c r="B4" s="46">
        <v>1</v>
      </c>
      <c r="C4" s="50" t="s">
        <v>303</v>
      </c>
      <c r="D4" s="50" t="s">
        <v>304</v>
      </c>
      <c r="E4" s="51" t="s">
        <v>452</v>
      </c>
      <c r="F4" s="51">
        <v>20</v>
      </c>
      <c r="G4" s="66" t="s">
        <v>331</v>
      </c>
      <c r="H4" s="142"/>
      <c r="I4" s="66" t="s">
        <v>287</v>
      </c>
    </row>
    <row r="5" spans="1:9">
      <c r="B5" s="46">
        <v>2</v>
      </c>
      <c r="C5" s="64" t="s">
        <v>637</v>
      </c>
      <c r="D5" s="64" t="s">
        <v>364</v>
      </c>
      <c r="E5" s="51" t="s">
        <v>452</v>
      </c>
      <c r="F5" s="51">
        <v>20</v>
      </c>
      <c r="G5" s="196" t="s">
        <v>331</v>
      </c>
      <c r="H5" s="142"/>
      <c r="I5" s="66" t="s">
        <v>287</v>
      </c>
    </row>
    <row r="6" spans="1:9" ht="15.75">
      <c r="B6" s="170">
        <v>3</v>
      </c>
      <c r="C6" s="80" t="s">
        <v>2416</v>
      </c>
      <c r="D6" s="80" t="s">
        <v>2417</v>
      </c>
      <c r="E6" s="81" t="s">
        <v>2418</v>
      </c>
      <c r="F6" s="81">
        <v>20</v>
      </c>
      <c r="G6" s="238" t="s">
        <v>2433</v>
      </c>
      <c r="H6" s="66"/>
      <c r="I6" s="66" t="s">
        <v>2403</v>
      </c>
    </row>
    <row r="7" spans="1:9">
      <c r="B7" s="152"/>
      <c r="C7" s="153"/>
      <c r="D7" s="154"/>
      <c r="E7" s="155"/>
      <c r="F7" s="156"/>
      <c r="G7" s="151"/>
      <c r="H7" s="151"/>
      <c r="I7" s="158"/>
    </row>
    <row r="8" spans="1:9" ht="24">
      <c r="B8" s="227" t="s">
        <v>291</v>
      </c>
      <c r="C8" s="228"/>
      <c r="D8" s="228"/>
      <c r="E8" s="229"/>
      <c r="F8" s="227"/>
      <c r="G8" s="228"/>
      <c r="H8" s="228"/>
      <c r="I8" s="229"/>
    </row>
    <row r="9" spans="1:9">
      <c r="B9" s="7" t="s">
        <v>276</v>
      </c>
      <c r="C9" s="56" t="s">
        <v>277</v>
      </c>
      <c r="D9" s="56" t="s">
        <v>278</v>
      </c>
      <c r="E9" s="57" t="s">
        <v>279</v>
      </c>
      <c r="F9" s="57" t="s">
        <v>280</v>
      </c>
      <c r="G9" s="56" t="s">
        <v>11</v>
      </c>
      <c r="H9" s="56" t="s">
        <v>292</v>
      </c>
      <c r="I9" s="56" t="s">
        <v>293</v>
      </c>
    </row>
    <row r="10" spans="1:9" ht="15.75">
      <c r="B10" s="46">
        <v>1</v>
      </c>
      <c r="C10" s="86" t="s">
        <v>1834</v>
      </c>
      <c r="D10" s="86" t="s">
        <v>1835</v>
      </c>
      <c r="E10" s="87"/>
      <c r="F10" s="87"/>
      <c r="G10" s="85" t="s">
        <v>1836</v>
      </c>
      <c r="H10" s="19"/>
      <c r="I10" s="19"/>
    </row>
    <row r="11" spans="1:9" ht="15.75">
      <c r="B11" s="241">
        <v>2</v>
      </c>
      <c r="C11" s="86" t="s">
        <v>1837</v>
      </c>
      <c r="D11" s="86" t="s">
        <v>1838</v>
      </c>
      <c r="E11" s="87"/>
      <c r="F11" s="87"/>
      <c r="G11" s="85" t="s">
        <v>1836</v>
      </c>
      <c r="H11" s="54"/>
      <c r="I11" s="54"/>
    </row>
  </sheetData>
  <mergeCells count="6">
    <mergeCell ref="B1:E1"/>
    <mergeCell ref="F1:I1"/>
    <mergeCell ref="B2:E2"/>
    <mergeCell ref="F2:I2"/>
    <mergeCell ref="B8:E8"/>
    <mergeCell ref="F8:I8"/>
  </mergeCells>
  <phoneticPr fontId="24" type="noConversion"/>
  <pageMargins left="0.7" right="0.7" top="0.75" bottom="0.75" header="0.3" footer="0.3"/>
</worksheet>
</file>

<file path=xl/worksheets/sheet1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D8A7CF7-71A6-40B1-94B0-A2A659050B66}">
  <dimension ref="A1:I11"/>
  <sheetViews>
    <sheetView workbookViewId="0"/>
  </sheetViews>
  <sheetFormatPr defaultColWidth="8.875" defaultRowHeight="15"/>
  <cols>
    <col min="1" max="1" width="3.625" bestFit="1" customWidth="1"/>
    <col min="2" max="2" width="4.625" bestFit="1" customWidth="1"/>
    <col min="3" max="3" width="29.625" customWidth="1"/>
    <col min="4" max="4" width="18.875" customWidth="1"/>
    <col min="5" max="5" width="58.375" customWidth="1"/>
    <col min="6" max="6" width="8.875" customWidth="1"/>
    <col min="7" max="7" width="42.875" customWidth="1"/>
    <col min="8" max="8" width="8.875" customWidth="1"/>
    <col min="9" max="9" width="13.875" customWidth="1"/>
  </cols>
  <sheetData>
    <row r="1" spans="1:9" ht="24">
      <c r="A1" s="149" t="e">
        <f ca="1">HYPERLINK("#'介面'!E"&amp;MATCH(VALUE(RIGHT(CELL("filename"),LEN(CELL("filename"))-FIND("]",CELL("filename")))),介面!D:D,"0"),"←")</f>
        <v>#VALUE!</v>
      </c>
      <c r="B1" s="207" t="s">
        <v>260</v>
      </c>
      <c r="C1" s="208"/>
      <c r="D1" s="208"/>
      <c r="E1" s="209"/>
      <c r="F1" s="207" t="s">
        <v>261</v>
      </c>
      <c r="G1" s="208"/>
      <c r="H1" s="208"/>
      <c r="I1" s="208"/>
    </row>
    <row r="2" spans="1:9" ht="24">
      <c r="B2" s="210" t="s">
        <v>275</v>
      </c>
      <c r="C2" s="211"/>
      <c r="D2" s="211"/>
      <c r="E2" s="212"/>
      <c r="F2" s="210"/>
      <c r="G2" s="211"/>
      <c r="H2" s="211"/>
      <c r="I2" s="212"/>
    </row>
    <row r="3" spans="1:9">
      <c r="B3" s="7" t="s">
        <v>276</v>
      </c>
      <c r="C3" s="56" t="s">
        <v>277</v>
      </c>
      <c r="D3" s="56" t="s">
        <v>278</v>
      </c>
      <c r="E3" s="57" t="s">
        <v>279</v>
      </c>
      <c r="F3" s="57" t="s">
        <v>280</v>
      </c>
      <c r="G3" s="56" t="s">
        <v>281</v>
      </c>
      <c r="H3" s="141" t="s">
        <v>11</v>
      </c>
      <c r="I3" s="56" t="s">
        <v>282</v>
      </c>
    </row>
    <row r="4" spans="1:9">
      <c r="B4" s="46">
        <v>1</v>
      </c>
      <c r="C4" s="50" t="s">
        <v>303</v>
      </c>
      <c r="D4" s="50" t="s">
        <v>304</v>
      </c>
      <c r="E4" s="51" t="s">
        <v>452</v>
      </c>
      <c r="F4" s="51">
        <v>20</v>
      </c>
      <c r="G4" s="66" t="s">
        <v>331</v>
      </c>
      <c r="H4" s="142"/>
      <c r="I4" s="66" t="s">
        <v>287</v>
      </c>
    </row>
    <row r="5" spans="1:9">
      <c r="B5" s="46">
        <v>2</v>
      </c>
      <c r="C5" s="64" t="s">
        <v>637</v>
      </c>
      <c r="D5" s="64" t="s">
        <v>364</v>
      </c>
      <c r="E5" s="51" t="s">
        <v>452</v>
      </c>
      <c r="F5" s="51">
        <v>20</v>
      </c>
      <c r="G5" s="196" t="s">
        <v>331</v>
      </c>
      <c r="H5" s="142"/>
      <c r="I5" s="66" t="s">
        <v>287</v>
      </c>
    </row>
    <row r="6" spans="1:9" ht="15.75">
      <c r="B6" s="170">
        <v>3</v>
      </c>
      <c r="C6" s="80" t="s">
        <v>2416</v>
      </c>
      <c r="D6" s="80" t="s">
        <v>2417</v>
      </c>
      <c r="E6" s="81" t="s">
        <v>2418</v>
      </c>
      <c r="F6" s="81">
        <v>20</v>
      </c>
      <c r="G6" s="238" t="s">
        <v>2433</v>
      </c>
      <c r="H6" s="66"/>
      <c r="I6" s="66" t="s">
        <v>2403</v>
      </c>
    </row>
    <row r="7" spans="1:9">
      <c r="B7" s="152"/>
      <c r="C7" s="153"/>
      <c r="D7" s="154"/>
      <c r="E7" s="155"/>
      <c r="F7" s="156"/>
      <c r="G7" s="151"/>
      <c r="H7" s="151"/>
      <c r="I7" s="158"/>
    </row>
    <row r="8" spans="1:9" ht="24">
      <c r="B8" s="227" t="s">
        <v>291</v>
      </c>
      <c r="C8" s="228"/>
      <c r="D8" s="228"/>
      <c r="E8" s="229"/>
      <c r="F8" s="227"/>
      <c r="G8" s="228"/>
      <c r="H8" s="228"/>
      <c r="I8" s="229"/>
    </row>
    <row r="9" spans="1:9">
      <c r="B9" s="7" t="s">
        <v>276</v>
      </c>
      <c r="C9" s="56" t="s">
        <v>277</v>
      </c>
      <c r="D9" s="56" t="s">
        <v>278</v>
      </c>
      <c r="E9" s="57" t="s">
        <v>279</v>
      </c>
      <c r="F9" s="57" t="s">
        <v>280</v>
      </c>
      <c r="G9" s="56" t="s">
        <v>11</v>
      </c>
      <c r="H9" s="56" t="s">
        <v>292</v>
      </c>
      <c r="I9" s="56" t="s">
        <v>293</v>
      </c>
    </row>
    <row r="10" spans="1:9" ht="15.75">
      <c r="B10" s="46">
        <v>1</v>
      </c>
      <c r="C10" s="86" t="s">
        <v>1834</v>
      </c>
      <c r="D10" s="86" t="s">
        <v>1835</v>
      </c>
      <c r="E10" s="87"/>
      <c r="F10" s="87"/>
      <c r="G10" s="85" t="s">
        <v>1836</v>
      </c>
      <c r="H10" s="19"/>
      <c r="I10" s="19"/>
    </row>
    <row r="11" spans="1:9" ht="15.75">
      <c r="B11" s="241">
        <v>2</v>
      </c>
      <c r="C11" s="86" t="s">
        <v>1837</v>
      </c>
      <c r="D11" s="86" t="s">
        <v>1838</v>
      </c>
      <c r="E11" s="87"/>
      <c r="F11" s="87"/>
      <c r="G11" s="85" t="s">
        <v>1836</v>
      </c>
      <c r="H11" s="54"/>
      <c r="I11" s="54"/>
    </row>
  </sheetData>
  <mergeCells count="6">
    <mergeCell ref="B1:E1"/>
    <mergeCell ref="F1:I1"/>
    <mergeCell ref="B2:E2"/>
    <mergeCell ref="F2:I2"/>
    <mergeCell ref="B8:E8"/>
    <mergeCell ref="F8:I8"/>
  </mergeCells>
  <phoneticPr fontId="24" type="noConversion"/>
  <pageMargins left="0.7" right="0.7" top="0.75" bottom="0.75" header="0.3" footer="0.3"/>
</worksheet>
</file>

<file path=xl/worksheets/sheet1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713B1D7-D0E8-4646-96B7-540358B97573}">
  <dimension ref="A1:I14"/>
  <sheetViews>
    <sheetView workbookViewId="0"/>
  </sheetViews>
  <sheetFormatPr defaultColWidth="8.875" defaultRowHeight="15"/>
  <cols>
    <col min="1" max="1" width="3.625" bestFit="1" customWidth="1"/>
    <col min="2" max="2" width="7" customWidth="1"/>
    <col min="3" max="3" width="25.125" bestFit="1" customWidth="1"/>
    <col min="4" max="4" width="20.5" customWidth="1"/>
    <col min="5" max="5" width="46.375" customWidth="1"/>
    <col min="6" max="6" width="8.875" customWidth="1"/>
    <col min="7" max="7" width="42.125" bestFit="1" customWidth="1"/>
    <col min="8" max="8" width="16.5" bestFit="1" customWidth="1"/>
    <col min="9" max="9" width="13.625" customWidth="1"/>
  </cols>
  <sheetData>
    <row r="1" spans="1:9" ht="24">
      <c r="A1" s="149" t="e">
        <f ca="1">HYPERLINK("#'介面'!E"&amp;MATCH(VALUE(RIGHT(CELL("filename"),LEN(CELL("filename"))-FIND("]",CELL("filename")))),介面!D:D,"0"),"←")</f>
        <v>#VALUE!</v>
      </c>
      <c r="B1" s="207" t="s">
        <v>262</v>
      </c>
      <c r="C1" s="208"/>
      <c r="D1" s="208"/>
      <c r="E1" s="209"/>
      <c r="F1" s="207" t="s">
        <v>263</v>
      </c>
      <c r="G1" s="208"/>
      <c r="H1" s="208"/>
      <c r="I1" s="208"/>
    </row>
    <row r="2" spans="1:9" ht="24">
      <c r="B2" s="210" t="s">
        <v>275</v>
      </c>
      <c r="C2" s="211"/>
      <c r="D2" s="211"/>
      <c r="E2" s="212"/>
      <c r="F2" s="210"/>
      <c r="G2" s="211"/>
      <c r="H2" s="211"/>
      <c r="I2" s="212"/>
    </row>
    <row r="3" spans="1:9">
      <c r="B3" s="7" t="s">
        <v>276</v>
      </c>
      <c r="C3" s="56" t="s">
        <v>277</v>
      </c>
      <c r="D3" s="56" t="s">
        <v>278</v>
      </c>
      <c r="E3" s="57" t="s">
        <v>279</v>
      </c>
      <c r="F3" s="57" t="s">
        <v>280</v>
      </c>
      <c r="G3" s="56" t="s">
        <v>281</v>
      </c>
      <c r="H3" s="141" t="s">
        <v>11</v>
      </c>
      <c r="I3" s="56" t="s">
        <v>282</v>
      </c>
    </row>
    <row r="4" spans="1:9">
      <c r="B4" s="46">
        <v>1</v>
      </c>
      <c r="C4" s="50" t="s">
        <v>303</v>
      </c>
      <c r="D4" s="50" t="s">
        <v>304</v>
      </c>
      <c r="E4" s="51" t="s">
        <v>452</v>
      </c>
      <c r="F4" s="51">
        <v>20</v>
      </c>
      <c r="G4" s="66" t="s">
        <v>331</v>
      </c>
      <c r="H4" s="142"/>
      <c r="I4" s="66" t="s">
        <v>287</v>
      </c>
    </row>
    <row r="5" spans="1:9">
      <c r="B5" s="46">
        <v>2</v>
      </c>
      <c r="C5" s="64" t="s">
        <v>637</v>
      </c>
      <c r="D5" s="64" t="s">
        <v>364</v>
      </c>
      <c r="E5" s="51" t="s">
        <v>452</v>
      </c>
      <c r="F5" s="51">
        <v>20</v>
      </c>
      <c r="G5" s="196" t="s">
        <v>331</v>
      </c>
      <c r="H5" s="142"/>
      <c r="I5" s="66" t="s">
        <v>287</v>
      </c>
    </row>
    <row r="6" spans="1:9" ht="15.75">
      <c r="B6" s="191">
        <v>3</v>
      </c>
      <c r="C6" s="192" t="s">
        <v>2398</v>
      </c>
      <c r="D6" s="192" t="s">
        <v>1665</v>
      </c>
      <c r="E6" s="193" t="s">
        <v>421</v>
      </c>
      <c r="F6" s="193"/>
      <c r="G6" s="63" t="s">
        <v>2399</v>
      </c>
      <c r="H6" s="194"/>
      <c r="I6" s="195" t="s">
        <v>287</v>
      </c>
    </row>
    <row r="7" spans="1:9" ht="15.75">
      <c r="B7" s="170">
        <v>4</v>
      </c>
      <c r="C7" s="80" t="s">
        <v>2400</v>
      </c>
      <c r="D7" s="80" t="s">
        <v>2401</v>
      </c>
      <c r="E7" s="81" t="s">
        <v>421</v>
      </c>
      <c r="F7" s="81"/>
      <c r="G7" s="63" t="s">
        <v>2402</v>
      </c>
      <c r="H7" s="66"/>
      <c r="I7" s="66" t="s">
        <v>2403</v>
      </c>
    </row>
    <row r="8" spans="1:9">
      <c r="B8" s="152"/>
      <c r="C8" s="153"/>
      <c r="D8" s="154"/>
      <c r="E8" s="155"/>
      <c r="F8" s="156"/>
      <c r="G8" s="151"/>
      <c r="H8" s="151"/>
      <c r="I8" s="158"/>
    </row>
    <row r="9" spans="1:9" ht="24">
      <c r="B9" s="227" t="s">
        <v>291</v>
      </c>
      <c r="C9" s="228"/>
      <c r="D9" s="228"/>
      <c r="E9" s="229"/>
      <c r="F9" s="227"/>
      <c r="G9" s="228"/>
      <c r="H9" s="228"/>
      <c r="I9" s="229"/>
    </row>
    <row r="10" spans="1:9">
      <c r="B10" s="7" t="s">
        <v>276</v>
      </c>
      <c r="C10" s="56" t="s">
        <v>277</v>
      </c>
      <c r="D10" s="56" t="s">
        <v>278</v>
      </c>
      <c r="E10" s="57" t="s">
        <v>279</v>
      </c>
      <c r="F10" s="57" t="s">
        <v>280</v>
      </c>
      <c r="G10" s="56" t="s">
        <v>11</v>
      </c>
      <c r="H10" s="56" t="s">
        <v>292</v>
      </c>
      <c r="I10" s="56" t="s">
        <v>293</v>
      </c>
    </row>
    <row r="11" spans="1:9">
      <c r="B11" s="46">
        <v>1</v>
      </c>
      <c r="C11" s="50" t="s">
        <v>2420</v>
      </c>
      <c r="D11" s="50" t="s">
        <v>1681</v>
      </c>
      <c r="E11" s="51" t="s">
        <v>704</v>
      </c>
      <c r="F11" s="51" t="s">
        <v>609</v>
      </c>
      <c r="G11" s="52"/>
      <c r="H11" s="19"/>
      <c r="I11" s="19"/>
    </row>
    <row r="12" spans="1:9" ht="15.75">
      <c r="B12" s="197">
        <v>2</v>
      </c>
      <c r="C12" s="240" t="s">
        <v>2421</v>
      </c>
      <c r="D12" s="240" t="s">
        <v>2422</v>
      </c>
      <c r="E12" s="48" t="s">
        <v>2411</v>
      </c>
      <c r="F12" s="48">
        <v>6</v>
      </c>
      <c r="G12" s="240"/>
      <c r="H12" s="240"/>
      <c r="I12" s="240"/>
    </row>
    <row r="13" spans="1:9" ht="15.75">
      <c r="B13" s="197">
        <v>3</v>
      </c>
      <c r="C13" s="240" t="s">
        <v>2423</v>
      </c>
      <c r="D13" s="240" t="s">
        <v>2424</v>
      </c>
      <c r="E13" s="48" t="s">
        <v>2425</v>
      </c>
      <c r="F13" s="48">
        <v>11</v>
      </c>
      <c r="G13" s="240"/>
      <c r="H13" s="240"/>
      <c r="I13" s="240"/>
    </row>
    <row r="14" spans="1:9" ht="15.75">
      <c r="B14" s="241">
        <v>4</v>
      </c>
      <c r="C14" s="240" t="s">
        <v>2434</v>
      </c>
      <c r="D14" s="240" t="s">
        <v>2435</v>
      </c>
      <c r="E14" s="48" t="s">
        <v>2406</v>
      </c>
      <c r="F14" s="48">
        <v>4</v>
      </c>
      <c r="G14" s="240"/>
      <c r="H14" s="240"/>
      <c r="I14" s="240"/>
    </row>
  </sheetData>
  <mergeCells count="6">
    <mergeCell ref="B1:E1"/>
    <mergeCell ref="F1:I1"/>
    <mergeCell ref="B2:E2"/>
    <mergeCell ref="F2:I2"/>
    <mergeCell ref="B9:E9"/>
    <mergeCell ref="F9:I9"/>
  </mergeCells>
  <phoneticPr fontId="24" type="noConversion"/>
  <pageMargins left="0.7" right="0.7" top="0.75" bottom="0.75" header="0.3" footer="0.3"/>
</worksheet>
</file>

<file path=xl/worksheets/sheet1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045673C-4E84-4E90-8CCF-D62C92E67CF2}">
  <sheetPr codeName="工作表122"/>
  <dimension ref="A1:I25"/>
  <sheetViews>
    <sheetView workbookViewId="0"/>
  </sheetViews>
  <sheetFormatPr defaultColWidth="6.625" defaultRowHeight="13.5"/>
  <cols>
    <col min="1" max="1" width="3.125" style="4" bestFit="1" customWidth="1"/>
    <col min="2" max="2" width="5.5" style="8" customWidth="1"/>
    <col min="3" max="3" width="23.625" style="4" bestFit="1" customWidth="1"/>
    <col min="4" max="4" width="25" style="4" bestFit="1" customWidth="1"/>
    <col min="5" max="5" width="16.625" style="4" customWidth="1"/>
    <col min="6" max="6" width="5.5" style="4" bestFit="1" customWidth="1"/>
    <col min="7" max="7" width="38" style="4" customWidth="1"/>
    <col min="8" max="8" width="33" style="4" customWidth="1"/>
    <col min="9" max="9" width="13.5" style="4" customWidth="1"/>
    <col min="10" max="16384" width="6.625" style="4"/>
  </cols>
  <sheetData>
    <row r="1" spans="1:9" ht="24">
      <c r="A1" s="1" t="e">
        <f ca="1">HYPERLINK("#'介面'!E"&amp;MATCH(VALUE(RIGHT(CELL("filename"),LEN(CELL("filename"))-FIND("]",CELL("filename")))),介面!D:D,"0"),"←")</f>
        <v>#VALUE!</v>
      </c>
      <c r="B1" s="207" t="s">
        <v>264</v>
      </c>
      <c r="C1" s="208"/>
      <c r="D1" s="208"/>
      <c r="E1" s="209"/>
      <c r="F1" s="221" t="s">
        <v>265</v>
      </c>
      <c r="G1" s="222"/>
      <c r="H1" s="222"/>
      <c r="I1" s="223"/>
    </row>
    <row r="2" spans="1:9" ht="24">
      <c r="A2" s="1"/>
      <c r="B2" s="210" t="s">
        <v>275</v>
      </c>
      <c r="C2" s="211"/>
      <c r="D2" s="211"/>
      <c r="E2" s="212"/>
      <c r="F2" s="219"/>
      <c r="G2" s="220"/>
      <c r="H2" s="220"/>
      <c r="I2" s="215"/>
    </row>
    <row r="3" spans="1:9" s="8" customFormat="1" ht="15">
      <c r="A3" s="6"/>
      <c r="B3" s="7" t="s">
        <v>276</v>
      </c>
      <c r="C3" s="56" t="s">
        <v>277</v>
      </c>
      <c r="D3" s="56" t="s">
        <v>278</v>
      </c>
      <c r="E3" s="57" t="s">
        <v>279</v>
      </c>
      <c r="F3" s="57" t="s">
        <v>280</v>
      </c>
      <c r="G3" s="56" t="s">
        <v>281</v>
      </c>
      <c r="H3" s="56" t="s">
        <v>11</v>
      </c>
      <c r="I3" s="56" t="s">
        <v>282</v>
      </c>
    </row>
    <row r="4" spans="1:9" s="24" customFormat="1" ht="15.75">
      <c r="A4" s="25"/>
      <c r="B4" s="46">
        <v>1</v>
      </c>
      <c r="C4" s="80" t="s">
        <v>297</v>
      </c>
      <c r="D4" s="80" t="s">
        <v>298</v>
      </c>
      <c r="E4" s="81" t="s">
        <v>285</v>
      </c>
      <c r="F4" s="81">
        <v>500</v>
      </c>
      <c r="G4" s="66" t="s">
        <v>330</v>
      </c>
      <c r="H4" s="142" t="s">
        <v>302</v>
      </c>
      <c r="I4" s="66" t="s">
        <v>287</v>
      </c>
    </row>
    <row r="5" spans="1:9" s="24" customFormat="1" ht="15">
      <c r="A5" s="25"/>
      <c r="B5" s="46">
        <v>2</v>
      </c>
      <c r="C5" s="50" t="s">
        <v>303</v>
      </c>
      <c r="D5" s="76" t="s">
        <v>304</v>
      </c>
      <c r="E5" s="51" t="s">
        <v>296</v>
      </c>
      <c r="F5" s="51">
        <v>20</v>
      </c>
      <c r="G5" s="66" t="s">
        <v>331</v>
      </c>
      <c r="H5" s="66"/>
      <c r="I5" s="66" t="s">
        <v>287</v>
      </c>
    </row>
    <row r="6" spans="1:9" s="24" customFormat="1" ht="15">
      <c r="A6" s="25"/>
      <c r="B6" s="46">
        <v>3</v>
      </c>
      <c r="C6" s="50" t="s">
        <v>637</v>
      </c>
      <c r="D6" s="50" t="s">
        <v>364</v>
      </c>
      <c r="E6" s="51" t="s">
        <v>296</v>
      </c>
      <c r="F6" s="51">
        <v>20</v>
      </c>
      <c r="G6" s="66" t="s">
        <v>331</v>
      </c>
      <c r="H6" s="66"/>
      <c r="I6" s="143" t="s">
        <v>287</v>
      </c>
    </row>
    <row r="7" spans="1:9" ht="15.75">
      <c r="A7" s="1"/>
      <c r="B7" s="2"/>
      <c r="C7" s="3"/>
      <c r="D7" s="3"/>
      <c r="E7" s="3"/>
      <c r="F7" s="3"/>
      <c r="G7" s="3"/>
    </row>
    <row r="8" spans="1:9" ht="15.75">
      <c r="A8" s="1"/>
      <c r="B8" s="2"/>
      <c r="C8" s="3"/>
      <c r="D8" s="3"/>
      <c r="E8" s="3"/>
      <c r="F8" s="3"/>
      <c r="G8" s="3"/>
      <c r="H8" s="151"/>
      <c r="I8" s="21"/>
    </row>
    <row r="9" spans="1:9" ht="24">
      <c r="A9" s="1"/>
      <c r="B9" s="204" t="s">
        <v>291</v>
      </c>
      <c r="C9" s="205"/>
      <c r="D9" s="205"/>
      <c r="E9" s="206"/>
      <c r="F9" s="204"/>
      <c r="G9" s="205"/>
      <c r="H9" s="205"/>
      <c r="I9" s="206"/>
    </row>
    <row r="10" spans="1:9" s="8" customFormat="1" ht="15">
      <c r="A10" s="6"/>
      <c r="B10" s="7" t="s">
        <v>276</v>
      </c>
      <c r="C10" s="56" t="s">
        <v>277</v>
      </c>
      <c r="D10" s="56" t="s">
        <v>278</v>
      </c>
      <c r="E10" s="57" t="s">
        <v>279</v>
      </c>
      <c r="F10" s="57" t="s">
        <v>280</v>
      </c>
      <c r="G10" s="56" t="s">
        <v>11</v>
      </c>
      <c r="H10" s="56" t="s">
        <v>292</v>
      </c>
      <c r="I10" s="56" t="s">
        <v>293</v>
      </c>
    </row>
    <row r="11" spans="1:9" s="24" customFormat="1" ht="15.75">
      <c r="A11" s="25"/>
      <c r="B11" s="23">
        <v>1</v>
      </c>
      <c r="C11" s="86" t="s">
        <v>1592</v>
      </c>
      <c r="D11" s="86" t="s">
        <v>2432</v>
      </c>
      <c r="E11" s="87" t="s">
        <v>296</v>
      </c>
      <c r="F11" s="87">
        <v>20</v>
      </c>
      <c r="G11" s="89"/>
      <c r="H11" s="89"/>
      <c r="I11" s="66"/>
    </row>
    <row r="12" spans="1:9" s="24" customFormat="1" ht="15.75">
      <c r="A12" s="25"/>
      <c r="B12" s="23">
        <f>B11+1</f>
        <v>2</v>
      </c>
      <c r="C12" s="26" t="s">
        <v>453</v>
      </c>
      <c r="D12" s="26" t="s">
        <v>304</v>
      </c>
      <c r="E12" s="27" t="s">
        <v>452</v>
      </c>
      <c r="F12" s="27">
        <v>20</v>
      </c>
      <c r="G12" s="29"/>
      <c r="H12" s="28" t="s">
        <v>41</v>
      </c>
      <c r="I12" s="86" t="s">
        <v>304</v>
      </c>
    </row>
    <row r="13" spans="1:9" s="24" customFormat="1" ht="15.75">
      <c r="A13" s="25"/>
      <c r="B13" s="23">
        <f t="shared" ref="B13:B18" si="0">B12+1</f>
        <v>3</v>
      </c>
      <c r="C13" s="86" t="s">
        <v>637</v>
      </c>
      <c r="D13" s="86" t="s">
        <v>364</v>
      </c>
      <c r="E13" s="87" t="s">
        <v>296</v>
      </c>
      <c r="F13" s="87">
        <v>20</v>
      </c>
      <c r="G13" s="88"/>
      <c r="H13" s="28" t="s">
        <v>84</v>
      </c>
      <c r="I13" s="26" t="s">
        <v>364</v>
      </c>
    </row>
    <row r="14" spans="1:9" s="24" customFormat="1" ht="15">
      <c r="A14" s="25"/>
      <c r="B14" s="23">
        <f t="shared" si="0"/>
        <v>4</v>
      </c>
      <c r="C14" s="26" t="s">
        <v>2436</v>
      </c>
      <c r="D14" s="26" t="s">
        <v>1670</v>
      </c>
      <c r="E14" s="27" t="s">
        <v>969</v>
      </c>
      <c r="F14" s="27"/>
      <c r="G14" s="28" t="s">
        <v>1227</v>
      </c>
      <c r="H14" s="28"/>
      <c r="I14" s="66"/>
    </row>
    <row r="15" spans="1:9" s="24" customFormat="1" ht="15">
      <c r="A15" s="25"/>
      <c r="B15" s="23">
        <f t="shared" si="0"/>
        <v>5</v>
      </c>
      <c r="C15" s="26" t="s">
        <v>2437</v>
      </c>
      <c r="D15" s="26" t="s">
        <v>1672</v>
      </c>
      <c r="E15" s="27" t="s">
        <v>969</v>
      </c>
      <c r="F15" s="27"/>
      <c r="G15" s="28" t="s">
        <v>1227</v>
      </c>
      <c r="H15" s="28"/>
      <c r="I15" s="50"/>
    </row>
    <row r="16" spans="1:9" ht="15">
      <c r="B16" s="23">
        <f t="shared" si="0"/>
        <v>6</v>
      </c>
      <c r="C16" s="26" t="s">
        <v>2438</v>
      </c>
      <c r="D16" s="26" t="s">
        <v>1571</v>
      </c>
      <c r="E16" s="27" t="s">
        <v>285</v>
      </c>
      <c r="F16" s="27">
        <v>6</v>
      </c>
      <c r="G16" s="29" t="s">
        <v>1678</v>
      </c>
      <c r="H16" s="28" t="s">
        <v>1679</v>
      </c>
      <c r="I16" s="64"/>
    </row>
    <row r="17" spans="2:9" ht="30">
      <c r="B17" s="23">
        <f t="shared" si="0"/>
        <v>7</v>
      </c>
      <c r="C17" s="26" t="s">
        <v>1680</v>
      </c>
      <c r="D17" s="26" t="s">
        <v>1681</v>
      </c>
      <c r="E17" s="27" t="s">
        <v>704</v>
      </c>
      <c r="F17" s="27" t="s">
        <v>609</v>
      </c>
      <c r="G17" s="29" t="s">
        <v>1682</v>
      </c>
      <c r="H17" s="28"/>
      <c r="I17" s="26"/>
    </row>
    <row r="18" spans="2:9" ht="15">
      <c r="B18" s="23">
        <f t="shared" si="0"/>
        <v>8</v>
      </c>
      <c r="C18" s="26" t="s">
        <v>1603</v>
      </c>
      <c r="D18" s="26" t="s">
        <v>1646</v>
      </c>
      <c r="E18" s="72" t="s">
        <v>418</v>
      </c>
      <c r="F18" s="72">
        <v>11</v>
      </c>
      <c r="G18" s="28" t="s">
        <v>1605</v>
      </c>
      <c r="H18" s="28"/>
      <c r="I18" s="66"/>
    </row>
    <row r="19" spans="2:9" ht="15">
      <c r="B19" s="117"/>
    </row>
    <row r="20" spans="2:9" ht="15">
      <c r="B20" s="45"/>
    </row>
    <row r="21" spans="2:9" ht="15">
      <c r="B21" s="45"/>
    </row>
    <row r="22" spans="2:9" ht="15">
      <c r="B22" s="45"/>
    </row>
    <row r="23" spans="2:9" ht="15">
      <c r="B23" s="45"/>
    </row>
    <row r="24" spans="2:9" ht="15">
      <c r="B24" s="45"/>
    </row>
    <row r="25" spans="2:9" ht="15">
      <c r="B25" s="45"/>
    </row>
  </sheetData>
  <mergeCells count="6">
    <mergeCell ref="B1:E1"/>
    <mergeCell ref="F1:I1"/>
    <mergeCell ref="B2:E2"/>
    <mergeCell ref="F2:I2"/>
    <mergeCell ref="B9:E9"/>
    <mergeCell ref="F9:I9"/>
  </mergeCells>
  <phoneticPr fontId="5" type="noConversion"/>
  <pageMargins left="0.7" right="0.7" top="0.75" bottom="0.75" header="0.3" footer="0.3"/>
  <pageSetup paperSize="9" orientation="portrait" horizontalDpi="0" verticalDpi="0"/>
</worksheet>
</file>

<file path=xl/worksheets/sheet1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A0E82C0-2895-427A-9261-2E7F2F1F2220}">
  <sheetPr codeName="工作表123"/>
  <dimension ref="A1:I24"/>
  <sheetViews>
    <sheetView workbookViewId="0"/>
  </sheetViews>
  <sheetFormatPr defaultColWidth="6.625" defaultRowHeight="13.5"/>
  <cols>
    <col min="1" max="1" width="3.125" style="4" bestFit="1" customWidth="1"/>
    <col min="2" max="2" width="5.5" style="8" customWidth="1"/>
    <col min="3" max="3" width="23.625" style="4" bestFit="1" customWidth="1"/>
    <col min="4" max="4" width="25" style="4" bestFit="1" customWidth="1"/>
    <col min="5" max="5" width="16.625" style="4" customWidth="1"/>
    <col min="6" max="6" width="5.5" style="4" bestFit="1" customWidth="1"/>
    <col min="7" max="7" width="38" style="4" customWidth="1"/>
    <col min="8" max="8" width="33" style="4" customWidth="1"/>
    <col min="9" max="9" width="13.5" style="4" customWidth="1"/>
    <col min="10" max="16384" width="6.625" style="4"/>
  </cols>
  <sheetData>
    <row r="1" spans="1:9" ht="24">
      <c r="A1" s="1" t="e">
        <f ca="1">HYPERLINK("#'介面'!E"&amp;MATCH(VALUE(RIGHT(CELL("filename"),LEN(CELL("filename"))-FIND("]",CELL("filename")))),介面!D:D,"0"),"←")</f>
        <v>#VALUE!</v>
      </c>
      <c r="B1" s="207" t="s">
        <v>266</v>
      </c>
      <c r="C1" s="208"/>
      <c r="D1" s="208"/>
      <c r="E1" s="209"/>
      <c r="F1" s="221" t="s">
        <v>267</v>
      </c>
      <c r="G1" s="222"/>
      <c r="H1" s="222"/>
      <c r="I1" s="223"/>
    </row>
    <row r="2" spans="1:9" ht="24">
      <c r="A2" s="1"/>
      <c r="B2" s="210" t="s">
        <v>275</v>
      </c>
      <c r="C2" s="211"/>
      <c r="D2" s="211"/>
      <c r="E2" s="212"/>
      <c r="F2" s="219"/>
      <c r="G2" s="220"/>
      <c r="H2" s="220"/>
      <c r="I2" s="215"/>
    </row>
    <row r="3" spans="1:9" s="8" customFormat="1" ht="15">
      <c r="A3" s="6"/>
      <c r="B3" s="7" t="s">
        <v>276</v>
      </c>
      <c r="C3" s="56" t="s">
        <v>277</v>
      </c>
      <c r="D3" s="56" t="s">
        <v>278</v>
      </c>
      <c r="E3" s="57" t="s">
        <v>279</v>
      </c>
      <c r="F3" s="57" t="s">
        <v>280</v>
      </c>
      <c r="G3" s="56" t="s">
        <v>281</v>
      </c>
      <c r="H3" s="56" t="s">
        <v>11</v>
      </c>
      <c r="I3" s="56" t="s">
        <v>282</v>
      </c>
    </row>
    <row r="4" spans="1:9" s="24" customFormat="1" ht="15.75">
      <c r="A4" s="25"/>
      <c r="B4" s="46">
        <v>1</v>
      </c>
      <c r="C4" s="80" t="s">
        <v>297</v>
      </c>
      <c r="D4" s="80" t="s">
        <v>298</v>
      </c>
      <c r="E4" s="81" t="s">
        <v>285</v>
      </c>
      <c r="F4" s="81">
        <v>500</v>
      </c>
      <c r="G4" s="66" t="s">
        <v>330</v>
      </c>
      <c r="H4" s="142" t="s">
        <v>302</v>
      </c>
      <c r="I4" s="66" t="s">
        <v>287</v>
      </c>
    </row>
    <row r="5" spans="1:9" s="24" customFormat="1" ht="15">
      <c r="A5" s="25"/>
      <c r="B5" s="46">
        <v>2</v>
      </c>
      <c r="C5" s="50" t="s">
        <v>303</v>
      </c>
      <c r="D5" s="76" t="s">
        <v>304</v>
      </c>
      <c r="E5" s="51" t="s">
        <v>296</v>
      </c>
      <c r="F5" s="51">
        <v>20</v>
      </c>
      <c r="G5" s="66" t="s">
        <v>331</v>
      </c>
      <c r="H5" s="66"/>
      <c r="I5" s="66" t="s">
        <v>287</v>
      </c>
    </row>
    <row r="6" spans="1:9" s="24" customFormat="1" ht="15">
      <c r="A6" s="25"/>
      <c r="B6" s="46">
        <v>3</v>
      </c>
      <c r="C6" s="50" t="s">
        <v>637</v>
      </c>
      <c r="D6" s="50" t="s">
        <v>364</v>
      </c>
      <c r="E6" s="51" t="s">
        <v>296</v>
      </c>
      <c r="F6" s="51">
        <v>20</v>
      </c>
      <c r="G6" s="66" t="s">
        <v>331</v>
      </c>
      <c r="H6" s="66"/>
      <c r="I6" s="143" t="s">
        <v>287</v>
      </c>
    </row>
    <row r="7" spans="1:9" ht="15.75">
      <c r="A7" s="1"/>
      <c r="B7" s="2"/>
      <c r="C7" s="3"/>
      <c r="D7" s="3"/>
      <c r="E7" s="3"/>
      <c r="F7" s="3"/>
      <c r="G7" s="3"/>
    </row>
    <row r="8" spans="1:9" ht="15.75">
      <c r="A8" s="1"/>
      <c r="B8" s="2"/>
      <c r="C8" s="3"/>
      <c r="D8" s="3"/>
      <c r="E8" s="3"/>
      <c r="F8" s="3"/>
      <c r="G8" s="3"/>
      <c r="H8" s="151"/>
      <c r="I8" s="21"/>
    </row>
    <row r="9" spans="1:9" ht="24">
      <c r="A9" s="1"/>
      <c r="B9" s="204" t="s">
        <v>291</v>
      </c>
      <c r="C9" s="205"/>
      <c r="D9" s="205"/>
      <c r="E9" s="206"/>
      <c r="F9" s="204"/>
      <c r="G9" s="205"/>
      <c r="H9" s="205"/>
      <c r="I9" s="206"/>
    </row>
    <row r="10" spans="1:9" s="8" customFormat="1" ht="15">
      <c r="A10" s="6"/>
      <c r="B10" s="7" t="s">
        <v>276</v>
      </c>
      <c r="C10" s="56" t="s">
        <v>277</v>
      </c>
      <c r="D10" s="56" t="s">
        <v>278</v>
      </c>
      <c r="E10" s="57" t="s">
        <v>279</v>
      </c>
      <c r="F10" s="57" t="s">
        <v>280</v>
      </c>
      <c r="G10" s="56" t="s">
        <v>11</v>
      </c>
      <c r="H10" s="56" t="s">
        <v>292</v>
      </c>
      <c r="I10" s="56" t="s">
        <v>293</v>
      </c>
    </row>
    <row r="11" spans="1:9" s="24" customFormat="1" ht="15.75">
      <c r="A11" s="25"/>
      <c r="B11" s="23">
        <v>1</v>
      </c>
      <c r="C11" s="86" t="s">
        <v>1592</v>
      </c>
      <c r="D11" s="86" t="s">
        <v>2432</v>
      </c>
      <c r="E11" s="87" t="s">
        <v>296</v>
      </c>
      <c r="F11" s="87">
        <v>20</v>
      </c>
      <c r="G11" s="89"/>
      <c r="H11" s="89"/>
      <c r="I11" s="66"/>
    </row>
    <row r="12" spans="1:9" s="24" customFormat="1" ht="15.75">
      <c r="A12" s="25"/>
      <c r="B12" s="23">
        <f t="shared" ref="B12:B17" si="0">B11+1</f>
        <v>2</v>
      </c>
      <c r="C12" s="26" t="s">
        <v>2439</v>
      </c>
      <c r="D12" s="26" t="s">
        <v>304</v>
      </c>
      <c r="E12" s="27" t="s">
        <v>452</v>
      </c>
      <c r="F12" s="27">
        <v>20</v>
      </c>
      <c r="G12" s="29"/>
      <c r="H12" s="28" t="s">
        <v>41</v>
      </c>
      <c r="I12" s="86" t="s">
        <v>304</v>
      </c>
    </row>
    <row r="13" spans="1:9" s="24" customFormat="1" ht="15.75">
      <c r="A13" s="25"/>
      <c r="B13" s="23">
        <f t="shared" si="0"/>
        <v>3</v>
      </c>
      <c r="C13" s="86" t="s">
        <v>637</v>
      </c>
      <c r="D13" s="86" t="s">
        <v>364</v>
      </c>
      <c r="E13" s="87" t="s">
        <v>296</v>
      </c>
      <c r="F13" s="87">
        <v>20</v>
      </c>
      <c r="G13" s="88"/>
      <c r="H13" s="28" t="s">
        <v>84</v>
      </c>
      <c r="I13" s="26" t="s">
        <v>364</v>
      </c>
    </row>
    <row r="14" spans="1:9" s="24" customFormat="1" ht="15">
      <c r="A14" s="25"/>
      <c r="B14" s="23">
        <f t="shared" si="0"/>
        <v>4</v>
      </c>
      <c r="C14" s="26" t="s">
        <v>2436</v>
      </c>
      <c r="D14" s="26" t="s">
        <v>1670</v>
      </c>
      <c r="E14" s="27" t="s">
        <v>969</v>
      </c>
      <c r="F14" s="27"/>
      <c r="G14" s="28" t="s">
        <v>1227</v>
      </c>
      <c r="H14" s="28"/>
      <c r="I14" s="66"/>
    </row>
    <row r="15" spans="1:9" s="24" customFormat="1" ht="15">
      <c r="A15" s="25"/>
      <c r="B15" s="23">
        <f t="shared" si="0"/>
        <v>5</v>
      </c>
      <c r="C15" s="26" t="s">
        <v>2437</v>
      </c>
      <c r="D15" s="26" t="s">
        <v>1672</v>
      </c>
      <c r="E15" s="27" t="s">
        <v>969</v>
      </c>
      <c r="F15" s="27"/>
      <c r="G15" s="28" t="s">
        <v>1227</v>
      </c>
      <c r="H15" s="28"/>
      <c r="I15" s="50"/>
    </row>
    <row r="16" spans="1:9" ht="15">
      <c r="B16" s="23">
        <f t="shared" si="0"/>
        <v>6</v>
      </c>
      <c r="C16" s="26" t="s">
        <v>2438</v>
      </c>
      <c r="D16" s="26" t="s">
        <v>1571</v>
      </c>
      <c r="E16" s="27" t="s">
        <v>285</v>
      </c>
      <c r="F16" s="27">
        <v>6</v>
      </c>
      <c r="G16" s="29" t="s">
        <v>1678</v>
      </c>
      <c r="H16" s="28" t="s">
        <v>1679</v>
      </c>
      <c r="I16" s="64"/>
    </row>
    <row r="17" spans="2:9" ht="30">
      <c r="B17" s="23">
        <f t="shared" si="0"/>
        <v>7</v>
      </c>
      <c r="C17" s="26" t="s">
        <v>1680</v>
      </c>
      <c r="D17" s="26" t="s">
        <v>1681</v>
      </c>
      <c r="E17" s="27" t="s">
        <v>704</v>
      </c>
      <c r="F17" s="27" t="s">
        <v>609</v>
      </c>
      <c r="G17" s="29" t="s">
        <v>1682</v>
      </c>
      <c r="H17" s="28"/>
      <c r="I17" s="26"/>
    </row>
    <row r="18" spans="2:9" ht="15">
      <c r="B18" s="117"/>
    </row>
    <row r="19" spans="2:9" ht="15">
      <c r="B19" s="45"/>
    </row>
    <row r="20" spans="2:9" ht="15">
      <c r="B20" s="45"/>
    </row>
    <row r="21" spans="2:9" ht="15">
      <c r="B21" s="45"/>
    </row>
    <row r="22" spans="2:9" ht="15">
      <c r="B22" s="45"/>
    </row>
    <row r="23" spans="2:9" ht="15">
      <c r="B23" s="45"/>
    </row>
    <row r="24" spans="2:9" ht="15">
      <c r="B24" s="45"/>
    </row>
  </sheetData>
  <mergeCells count="6">
    <mergeCell ref="B1:E1"/>
    <mergeCell ref="F1:I1"/>
    <mergeCell ref="B2:E2"/>
    <mergeCell ref="F2:I2"/>
    <mergeCell ref="B9:E9"/>
    <mergeCell ref="F9:I9"/>
  </mergeCells>
  <phoneticPr fontId="27" type="noConversion"/>
  <pageMargins left="0.7" right="0.7" top="0.75" bottom="0.75" header="0.3" footer="0.3"/>
  <pageSetup paperSize="9" orientation="portrait" horizontalDpi="0" verticalDpi="0"/>
</worksheet>
</file>

<file path=xl/worksheets/sheet1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74BE388-3EF1-43A9-B692-A9403386560E}">
  <dimension ref="A1:I19"/>
  <sheetViews>
    <sheetView workbookViewId="0"/>
  </sheetViews>
  <sheetFormatPr defaultColWidth="6.625" defaultRowHeight="13.5"/>
  <cols>
    <col min="1" max="1" width="3.125" style="4" bestFit="1" customWidth="1"/>
    <col min="2" max="2" width="5.5" style="8" customWidth="1"/>
    <col min="3" max="3" width="23.625" style="4" bestFit="1" customWidth="1"/>
    <col min="4" max="4" width="25" style="4" bestFit="1" customWidth="1"/>
    <col min="5" max="5" width="16.625" style="4" customWidth="1"/>
    <col min="6" max="6" width="5.5" style="4" bestFit="1" customWidth="1"/>
    <col min="7" max="7" width="38" style="4" customWidth="1"/>
    <col min="8" max="8" width="33" style="4" customWidth="1"/>
    <col min="9" max="9" width="13.5" style="4" customWidth="1"/>
    <col min="10" max="16384" width="6.625" style="4"/>
  </cols>
  <sheetData>
    <row r="1" spans="1:9" ht="24">
      <c r="A1" s="1" t="e">
        <f ca="1">HYPERLINK("#'介面'!E"&amp;MATCH(VALUE(RIGHT(CELL("filename"),LEN(CELL("filename"))-FIND("]",CELL("filename")))),介面!D:D,"0"),"←")</f>
        <v>#VALUE!</v>
      </c>
      <c r="B1" s="207" t="s">
        <v>2440</v>
      </c>
      <c r="C1" s="208"/>
      <c r="D1" s="208"/>
      <c r="E1" s="209"/>
      <c r="F1" s="221" t="s">
        <v>2441</v>
      </c>
      <c r="G1" s="222"/>
      <c r="H1" s="222"/>
      <c r="I1" s="223"/>
    </row>
    <row r="2" spans="1:9" ht="24">
      <c r="A2" s="1"/>
      <c r="B2" s="210" t="s">
        <v>275</v>
      </c>
      <c r="C2" s="211"/>
      <c r="D2" s="211"/>
      <c r="E2" s="212"/>
      <c r="F2" s="219"/>
      <c r="G2" s="220"/>
      <c r="H2" s="220"/>
      <c r="I2" s="215"/>
    </row>
    <row r="3" spans="1:9" s="8" customFormat="1" ht="15">
      <c r="A3" s="6"/>
      <c r="B3" s="7" t="s">
        <v>276</v>
      </c>
      <c r="C3" s="56" t="s">
        <v>277</v>
      </c>
      <c r="D3" s="56" t="s">
        <v>278</v>
      </c>
      <c r="E3" s="57" t="s">
        <v>279</v>
      </c>
      <c r="F3" s="57" t="s">
        <v>280</v>
      </c>
      <c r="G3" s="56" t="s">
        <v>281</v>
      </c>
      <c r="H3" s="56" t="s">
        <v>11</v>
      </c>
      <c r="I3" s="56" t="s">
        <v>282</v>
      </c>
    </row>
    <row r="4" spans="1:9" s="24" customFormat="1" ht="15.75">
      <c r="A4" s="25"/>
      <c r="B4" s="46">
        <v>1</v>
      </c>
      <c r="C4" s="80" t="s">
        <v>297</v>
      </c>
      <c r="D4" s="80" t="s">
        <v>298</v>
      </c>
      <c r="E4" s="81" t="s">
        <v>285</v>
      </c>
      <c r="F4" s="81">
        <v>500</v>
      </c>
      <c r="G4" s="66" t="s">
        <v>330</v>
      </c>
      <c r="H4" s="142" t="s">
        <v>302</v>
      </c>
      <c r="I4" s="66" t="s">
        <v>287</v>
      </c>
    </row>
    <row r="5" spans="1:9" s="24" customFormat="1" ht="15">
      <c r="A5" s="25"/>
      <c r="B5" s="46">
        <v>2</v>
      </c>
      <c r="C5" s="50" t="s">
        <v>303</v>
      </c>
      <c r="D5" s="76" t="s">
        <v>304</v>
      </c>
      <c r="E5" s="51" t="s">
        <v>296</v>
      </c>
      <c r="F5" s="51">
        <v>20</v>
      </c>
      <c r="G5" s="66" t="s">
        <v>331</v>
      </c>
      <c r="H5" s="66"/>
      <c r="I5" s="66" t="s">
        <v>287</v>
      </c>
    </row>
    <row r="6" spans="1:9" ht="15.75">
      <c r="A6" s="1"/>
      <c r="B6" s="2"/>
      <c r="C6" s="3"/>
      <c r="D6" s="3"/>
      <c r="E6" s="3"/>
      <c r="F6" s="3"/>
      <c r="G6" s="3"/>
    </row>
    <row r="7" spans="1:9" ht="15.75">
      <c r="A7" s="1"/>
      <c r="B7" s="2"/>
      <c r="C7" s="3"/>
      <c r="D7" s="3"/>
      <c r="E7" s="3"/>
      <c r="F7" s="3"/>
      <c r="G7" s="3"/>
      <c r="H7" s="151"/>
      <c r="I7" s="21"/>
    </row>
    <row r="8" spans="1:9" ht="24">
      <c r="A8" s="1"/>
      <c r="B8" s="204" t="s">
        <v>291</v>
      </c>
      <c r="C8" s="205"/>
      <c r="D8" s="205"/>
      <c r="E8" s="206"/>
      <c r="F8" s="204"/>
      <c r="G8" s="205"/>
      <c r="H8" s="205"/>
      <c r="I8" s="206"/>
    </row>
    <row r="9" spans="1:9" s="8" customFormat="1" ht="15">
      <c r="A9" s="6"/>
      <c r="B9" s="7" t="s">
        <v>276</v>
      </c>
      <c r="C9" s="56" t="s">
        <v>277</v>
      </c>
      <c r="D9" s="56" t="s">
        <v>278</v>
      </c>
      <c r="E9" s="57" t="s">
        <v>279</v>
      </c>
      <c r="F9" s="57" t="s">
        <v>280</v>
      </c>
      <c r="G9" s="56" t="s">
        <v>11</v>
      </c>
      <c r="H9" s="56" t="s">
        <v>292</v>
      </c>
      <c r="I9" s="56" t="s">
        <v>293</v>
      </c>
    </row>
    <row r="10" spans="1:9" s="24" customFormat="1" ht="15.75">
      <c r="A10" s="25"/>
      <c r="B10" s="23">
        <v>1</v>
      </c>
      <c r="C10" s="64" t="s">
        <v>2442</v>
      </c>
      <c r="D10" s="67" t="s">
        <v>2443</v>
      </c>
      <c r="E10" s="62" t="s">
        <v>452</v>
      </c>
      <c r="F10" s="62">
        <v>20</v>
      </c>
      <c r="G10" s="89"/>
      <c r="H10" s="89"/>
      <c r="I10" s="66"/>
    </row>
    <row r="11" spans="1:9" s="24" customFormat="1" ht="15.75">
      <c r="A11" s="25"/>
      <c r="B11" s="23">
        <f>B10+1</f>
        <v>2</v>
      </c>
      <c r="C11" s="67" t="s">
        <v>2444</v>
      </c>
      <c r="D11" s="67" t="s">
        <v>2445</v>
      </c>
      <c r="E11" s="68" t="s">
        <v>456</v>
      </c>
      <c r="F11" s="68">
        <v>500</v>
      </c>
      <c r="G11" s="29"/>
      <c r="H11" s="28"/>
      <c r="I11" s="86"/>
    </row>
    <row r="12" spans="1:9" s="24" customFormat="1" ht="15.75">
      <c r="A12" s="25"/>
      <c r="B12" s="23">
        <f>B11+1</f>
        <v>3</v>
      </c>
      <c r="C12" s="64" t="s">
        <v>2446</v>
      </c>
      <c r="D12" s="67" t="s">
        <v>2447</v>
      </c>
      <c r="E12" s="72" t="s">
        <v>418</v>
      </c>
      <c r="F12" s="72">
        <v>11</v>
      </c>
      <c r="G12" s="88"/>
      <c r="H12" s="28"/>
      <c r="I12" s="26"/>
    </row>
    <row r="13" spans="1:9" ht="15">
      <c r="B13" s="117"/>
    </row>
    <row r="14" spans="1:9" ht="15">
      <c r="B14" s="45"/>
    </row>
    <row r="15" spans="1:9" ht="15">
      <c r="B15" s="45"/>
    </row>
    <row r="16" spans="1:9" ht="15">
      <c r="B16" s="45"/>
    </row>
    <row r="17" spans="2:2" ht="15">
      <c r="B17" s="45"/>
    </row>
    <row r="18" spans="2:2" ht="15">
      <c r="B18" s="45"/>
    </row>
    <row r="19" spans="2:2" ht="15">
      <c r="B19" s="45"/>
    </row>
  </sheetData>
  <mergeCells count="6">
    <mergeCell ref="B1:E1"/>
    <mergeCell ref="F1:I1"/>
    <mergeCell ref="B2:E2"/>
    <mergeCell ref="F2:I2"/>
    <mergeCell ref="B8:E8"/>
    <mergeCell ref="F8:I8"/>
  </mergeCells>
  <phoneticPr fontId="5" type="noConversion"/>
  <pageMargins left="0.7" right="0.7" top="0.75" bottom="0.75" header="0.3" footer="0.3"/>
</worksheet>
</file>

<file path=xl/worksheets/sheet1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E0F15BF-72CD-4A1A-AF1B-25B0D1F84906}">
  <dimension ref="A1:I19"/>
  <sheetViews>
    <sheetView workbookViewId="0"/>
  </sheetViews>
  <sheetFormatPr defaultColWidth="6.625" defaultRowHeight="13.5"/>
  <cols>
    <col min="1" max="1" width="3.125" style="4" bestFit="1" customWidth="1"/>
    <col min="2" max="2" width="5.5" style="8" customWidth="1"/>
    <col min="3" max="3" width="23.625" style="4" bestFit="1" customWidth="1"/>
    <col min="4" max="4" width="25" style="4" bestFit="1" customWidth="1"/>
    <col min="5" max="5" width="16.625" style="4" customWidth="1"/>
    <col min="6" max="6" width="5.5" style="4" bestFit="1" customWidth="1"/>
    <col min="7" max="7" width="38" style="4" customWidth="1"/>
    <col min="8" max="8" width="33" style="4" customWidth="1"/>
    <col min="9" max="9" width="13.5" style="4" customWidth="1"/>
    <col min="10" max="16384" width="6.625" style="4"/>
  </cols>
  <sheetData>
    <row r="1" spans="1:9" ht="24">
      <c r="A1" s="1" t="e">
        <f ca="1">HYPERLINK("#'介面'!E"&amp;MATCH(VALUE(RIGHT(CELL("filename"),LEN(CELL("filename"))-FIND("]",CELL("filename")))),介面!D:D,"0"),"←")</f>
        <v>#VALUE!</v>
      </c>
      <c r="B1" s="207" t="s">
        <v>2448</v>
      </c>
      <c r="C1" s="208"/>
      <c r="D1" s="208"/>
      <c r="E1" s="209"/>
      <c r="F1" s="221" t="s">
        <v>2449</v>
      </c>
      <c r="G1" s="222"/>
      <c r="H1" s="222"/>
      <c r="I1" s="223"/>
    </row>
    <row r="2" spans="1:9" ht="24">
      <c r="A2" s="1"/>
      <c r="B2" s="210" t="s">
        <v>275</v>
      </c>
      <c r="C2" s="211"/>
      <c r="D2" s="211"/>
      <c r="E2" s="212"/>
      <c r="F2" s="219"/>
      <c r="G2" s="220"/>
      <c r="H2" s="220"/>
      <c r="I2" s="215"/>
    </row>
    <row r="3" spans="1:9" s="8" customFormat="1" ht="15">
      <c r="A3" s="6"/>
      <c r="B3" s="7" t="s">
        <v>276</v>
      </c>
      <c r="C3" s="56" t="s">
        <v>277</v>
      </c>
      <c r="D3" s="56" t="s">
        <v>278</v>
      </c>
      <c r="E3" s="57" t="s">
        <v>279</v>
      </c>
      <c r="F3" s="57" t="s">
        <v>280</v>
      </c>
      <c r="G3" s="56" t="s">
        <v>281</v>
      </c>
      <c r="H3" s="56" t="s">
        <v>11</v>
      </c>
      <c r="I3" s="56" t="s">
        <v>282</v>
      </c>
    </row>
    <row r="4" spans="1:9" s="24" customFormat="1" ht="15.75">
      <c r="A4" s="25"/>
      <c r="B4" s="46">
        <v>1</v>
      </c>
      <c r="C4" s="80" t="s">
        <v>297</v>
      </c>
      <c r="D4" s="80" t="s">
        <v>298</v>
      </c>
      <c r="E4" s="81" t="s">
        <v>285</v>
      </c>
      <c r="F4" s="81">
        <v>500</v>
      </c>
      <c r="G4" s="66" t="s">
        <v>330</v>
      </c>
      <c r="H4" s="142" t="s">
        <v>302</v>
      </c>
      <c r="I4" s="66" t="s">
        <v>287</v>
      </c>
    </row>
    <row r="5" spans="1:9" s="24" customFormat="1" ht="15">
      <c r="A5" s="25"/>
      <c r="B5" s="46">
        <v>2</v>
      </c>
      <c r="C5" s="50" t="s">
        <v>303</v>
      </c>
      <c r="D5" s="76" t="s">
        <v>304</v>
      </c>
      <c r="E5" s="51" t="s">
        <v>296</v>
      </c>
      <c r="F5" s="51">
        <v>20</v>
      </c>
      <c r="G5" s="66" t="s">
        <v>331</v>
      </c>
      <c r="H5" s="66"/>
      <c r="I5" s="66" t="s">
        <v>287</v>
      </c>
    </row>
    <row r="6" spans="1:9" s="24" customFormat="1" ht="15">
      <c r="A6" s="25"/>
      <c r="B6" s="46">
        <v>3</v>
      </c>
      <c r="C6" s="64" t="s">
        <v>2442</v>
      </c>
      <c r="D6" s="67" t="s">
        <v>2443</v>
      </c>
      <c r="E6" s="62" t="s">
        <v>452</v>
      </c>
      <c r="F6" s="62">
        <v>20</v>
      </c>
      <c r="G6" s="66" t="s">
        <v>331</v>
      </c>
      <c r="H6" s="66"/>
      <c r="I6" s="66" t="s">
        <v>287</v>
      </c>
    </row>
    <row r="7" spans="1:9" ht="15.75">
      <c r="A7" s="1"/>
      <c r="B7" s="2"/>
      <c r="C7" s="3"/>
      <c r="D7" s="3"/>
      <c r="E7" s="3"/>
      <c r="F7" s="3"/>
      <c r="G7" s="3"/>
      <c r="H7" s="151"/>
      <c r="I7" s="21"/>
    </row>
    <row r="8" spans="1:9" ht="24">
      <c r="A8" s="1"/>
      <c r="B8" s="204" t="s">
        <v>291</v>
      </c>
      <c r="C8" s="205"/>
      <c r="D8" s="205"/>
      <c r="E8" s="206"/>
      <c r="F8" s="204"/>
      <c r="G8" s="205"/>
      <c r="H8" s="205"/>
      <c r="I8" s="206"/>
    </row>
    <row r="9" spans="1:9" s="8" customFormat="1" ht="15">
      <c r="A9" s="6"/>
      <c r="B9" s="7" t="s">
        <v>276</v>
      </c>
      <c r="C9" s="56" t="s">
        <v>277</v>
      </c>
      <c r="D9" s="56" t="s">
        <v>278</v>
      </c>
      <c r="E9" s="57" t="s">
        <v>279</v>
      </c>
      <c r="F9" s="57" t="s">
        <v>280</v>
      </c>
      <c r="G9" s="56" t="s">
        <v>11</v>
      </c>
      <c r="H9" s="56" t="s">
        <v>292</v>
      </c>
      <c r="I9" s="56" t="s">
        <v>293</v>
      </c>
    </row>
    <row r="10" spans="1:9" s="24" customFormat="1" ht="15.75">
      <c r="A10" s="25"/>
      <c r="B10" s="23">
        <v>1</v>
      </c>
      <c r="C10" s="64" t="s">
        <v>2442</v>
      </c>
      <c r="D10" s="67" t="s">
        <v>2443</v>
      </c>
      <c r="E10" s="62" t="s">
        <v>452</v>
      </c>
      <c r="F10" s="62">
        <v>20</v>
      </c>
      <c r="G10" s="89"/>
      <c r="H10" s="89" t="s">
        <v>2440</v>
      </c>
      <c r="I10" s="67" t="s">
        <v>2443</v>
      </c>
    </row>
    <row r="11" spans="1:9" s="24" customFormat="1" ht="15.75">
      <c r="A11" s="25"/>
      <c r="B11" s="23">
        <f>B10+1</f>
        <v>2</v>
      </c>
      <c r="C11" s="64" t="s">
        <v>2450</v>
      </c>
      <c r="D11" s="67" t="s">
        <v>2451</v>
      </c>
      <c r="E11" s="72" t="s">
        <v>418</v>
      </c>
      <c r="F11" s="72">
        <v>11</v>
      </c>
      <c r="G11" s="88"/>
      <c r="H11" s="28"/>
      <c r="I11" s="26"/>
    </row>
    <row r="12" spans="1:9" s="24" customFormat="1" ht="15.75">
      <c r="A12" s="25"/>
      <c r="B12" s="23">
        <f>B11+1</f>
        <v>3</v>
      </c>
      <c r="C12" s="64" t="s">
        <v>2452</v>
      </c>
      <c r="D12" s="67" t="s">
        <v>2453</v>
      </c>
      <c r="E12" s="72" t="s">
        <v>285</v>
      </c>
      <c r="F12" s="72">
        <v>36</v>
      </c>
      <c r="G12" s="88"/>
      <c r="H12" s="28"/>
      <c r="I12" s="26"/>
    </row>
    <row r="13" spans="1:9" s="24" customFormat="1" ht="15.75">
      <c r="A13" s="25"/>
      <c r="B13" s="23">
        <f>B12+1</f>
        <v>4</v>
      </c>
      <c r="C13" s="67" t="s">
        <v>2454</v>
      </c>
      <c r="D13" s="67" t="s">
        <v>2455</v>
      </c>
      <c r="E13" s="68" t="s">
        <v>456</v>
      </c>
      <c r="F13" s="68">
        <v>1000</v>
      </c>
      <c r="G13" s="88"/>
      <c r="H13" s="28"/>
      <c r="I13" s="26"/>
    </row>
    <row r="14" spans="1:9" ht="15">
      <c r="B14" s="45"/>
    </row>
    <row r="15" spans="1:9" ht="15">
      <c r="B15" s="45"/>
    </row>
    <row r="16" spans="1:9" ht="15">
      <c r="B16" s="45"/>
    </row>
    <row r="17" spans="2:2" ht="15">
      <c r="B17" s="45"/>
    </row>
    <row r="18" spans="2:2" ht="15">
      <c r="B18" s="45"/>
    </row>
    <row r="19" spans="2:2" ht="15">
      <c r="B19" s="45"/>
    </row>
  </sheetData>
  <mergeCells count="6">
    <mergeCell ref="B1:E1"/>
    <mergeCell ref="F1:I1"/>
    <mergeCell ref="B2:E2"/>
    <mergeCell ref="F2:I2"/>
    <mergeCell ref="B8:E8"/>
    <mergeCell ref="F8:I8"/>
  </mergeCells>
  <phoneticPr fontId="5" type="noConversion"/>
  <pageMargins left="0.7" right="0.7" top="0.75" bottom="0.75" header="0.3" footer="0.3"/>
</worksheet>
</file>

<file path=xl/worksheets/sheet1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D408FF4-6413-4920-AFAD-FE2EB2F239B8}">
  <dimension ref="A1:I22"/>
  <sheetViews>
    <sheetView workbookViewId="0"/>
  </sheetViews>
  <sheetFormatPr defaultColWidth="6.625" defaultRowHeight="13.5"/>
  <cols>
    <col min="1" max="1" width="3.125" style="4" bestFit="1" customWidth="1"/>
    <col min="2" max="2" width="5.5" style="8" customWidth="1"/>
    <col min="3" max="3" width="23.625" style="4" bestFit="1" customWidth="1"/>
    <col min="4" max="4" width="25" style="4" bestFit="1" customWidth="1"/>
    <col min="5" max="5" width="16.625" style="4" customWidth="1"/>
    <col min="6" max="6" width="5.5" style="4" bestFit="1" customWidth="1"/>
    <col min="7" max="7" width="38" style="4" customWidth="1"/>
    <col min="8" max="8" width="33" style="4" customWidth="1"/>
    <col min="9" max="9" width="13.5" style="4" customWidth="1"/>
    <col min="10" max="16384" width="6.625" style="4"/>
  </cols>
  <sheetData>
    <row r="1" spans="1:9" ht="24">
      <c r="A1" s="1" t="e">
        <f ca="1">HYPERLINK("#'介面'!E"&amp;MATCH(VALUE(RIGHT(CELL("filename"),LEN(CELL("filename"))-FIND("]",CELL("filename")))),介面!D:D,"0"),"←")</f>
        <v>#VALUE!</v>
      </c>
      <c r="B1" s="207" t="s">
        <v>2456</v>
      </c>
      <c r="C1" s="208"/>
      <c r="D1" s="208"/>
      <c r="E1" s="209"/>
      <c r="F1" s="221" t="s">
        <v>2457</v>
      </c>
      <c r="G1" s="222"/>
      <c r="H1" s="222"/>
      <c r="I1" s="223"/>
    </row>
    <row r="2" spans="1:9" ht="24">
      <c r="A2" s="1"/>
      <c r="B2" s="210" t="s">
        <v>275</v>
      </c>
      <c r="C2" s="211"/>
      <c r="D2" s="211"/>
      <c r="E2" s="212"/>
      <c r="F2" s="219"/>
      <c r="G2" s="220"/>
      <c r="H2" s="220"/>
      <c r="I2" s="215"/>
    </row>
    <row r="3" spans="1:9" s="8" customFormat="1" ht="15">
      <c r="A3" s="6"/>
      <c r="B3" s="7" t="s">
        <v>276</v>
      </c>
      <c r="C3" s="56" t="s">
        <v>277</v>
      </c>
      <c r="D3" s="56" t="s">
        <v>278</v>
      </c>
      <c r="E3" s="57" t="s">
        <v>279</v>
      </c>
      <c r="F3" s="57" t="s">
        <v>280</v>
      </c>
      <c r="G3" s="56" t="s">
        <v>281</v>
      </c>
      <c r="H3" s="56" t="s">
        <v>11</v>
      </c>
      <c r="I3" s="56" t="s">
        <v>282</v>
      </c>
    </row>
    <row r="4" spans="1:9" s="24" customFormat="1" ht="15.75">
      <c r="A4" s="25"/>
      <c r="B4" s="46">
        <v>1</v>
      </c>
      <c r="C4" s="80" t="s">
        <v>297</v>
      </c>
      <c r="D4" s="80" t="s">
        <v>298</v>
      </c>
      <c r="E4" s="81" t="s">
        <v>285</v>
      </c>
      <c r="F4" s="81">
        <v>500</v>
      </c>
      <c r="G4" s="66" t="s">
        <v>330</v>
      </c>
      <c r="H4" s="142" t="s">
        <v>302</v>
      </c>
      <c r="I4" s="66" t="s">
        <v>287</v>
      </c>
    </row>
    <row r="5" spans="1:9" s="24" customFormat="1" ht="15">
      <c r="A5" s="25"/>
      <c r="B5" s="46">
        <v>2</v>
      </c>
      <c r="C5" s="50" t="s">
        <v>303</v>
      </c>
      <c r="D5" s="76" t="s">
        <v>304</v>
      </c>
      <c r="E5" s="51" t="s">
        <v>296</v>
      </c>
      <c r="F5" s="51">
        <v>20</v>
      </c>
      <c r="G5" s="66" t="s">
        <v>331</v>
      </c>
      <c r="H5" s="66"/>
      <c r="I5" s="66" t="s">
        <v>287</v>
      </c>
    </row>
    <row r="6" spans="1:9" s="24" customFormat="1" ht="15">
      <c r="A6" s="25"/>
      <c r="B6" s="46">
        <v>3</v>
      </c>
      <c r="C6" s="64" t="s">
        <v>2442</v>
      </c>
      <c r="D6" s="67" t="s">
        <v>2443</v>
      </c>
      <c r="E6" s="62" t="s">
        <v>452</v>
      </c>
      <c r="F6" s="62">
        <v>20</v>
      </c>
      <c r="G6" s="66" t="s">
        <v>331</v>
      </c>
      <c r="H6" s="66"/>
      <c r="I6" s="66" t="s">
        <v>287</v>
      </c>
    </row>
    <row r="7" spans="1:9" s="95" customFormat="1" ht="15.75">
      <c r="A7" s="93"/>
      <c r="B7" s="46">
        <f>B6+1</f>
        <v>4</v>
      </c>
      <c r="C7" s="80" t="s">
        <v>2458</v>
      </c>
      <c r="D7" s="80" t="s">
        <v>2459</v>
      </c>
      <c r="E7" s="81" t="s">
        <v>316</v>
      </c>
      <c r="F7" s="81"/>
      <c r="G7" s="91" t="s">
        <v>985</v>
      </c>
      <c r="H7" s="66"/>
      <c r="I7" s="66" t="s">
        <v>287</v>
      </c>
    </row>
    <row r="8" spans="1:9" s="95" customFormat="1" ht="15.75">
      <c r="A8" s="93"/>
      <c r="B8" s="46">
        <f>B7+1</f>
        <v>5</v>
      </c>
      <c r="C8" s="80" t="s">
        <v>2460</v>
      </c>
      <c r="D8" s="80" t="s">
        <v>2461</v>
      </c>
      <c r="E8" s="81" t="s">
        <v>316</v>
      </c>
      <c r="F8" s="81"/>
      <c r="G8" s="91" t="s">
        <v>988</v>
      </c>
      <c r="H8" s="66"/>
      <c r="I8" s="66" t="s">
        <v>287</v>
      </c>
    </row>
    <row r="9" spans="1:9" ht="15.75">
      <c r="A9" s="1"/>
      <c r="B9" s="2"/>
      <c r="C9" s="3"/>
      <c r="D9" s="3"/>
      <c r="E9" s="3"/>
      <c r="F9" s="3"/>
      <c r="G9" s="3"/>
      <c r="H9" s="151"/>
      <c r="I9" s="21"/>
    </row>
    <row r="10" spans="1:9" ht="24">
      <c r="A10" s="1"/>
      <c r="B10" s="204" t="s">
        <v>291</v>
      </c>
      <c r="C10" s="205"/>
      <c r="D10" s="205"/>
      <c r="E10" s="206"/>
      <c r="F10" s="204"/>
      <c r="G10" s="205"/>
      <c r="H10" s="205"/>
      <c r="I10" s="206"/>
    </row>
    <row r="11" spans="1:9" s="8" customFormat="1" ht="15">
      <c r="A11" s="6"/>
      <c r="B11" s="7" t="s">
        <v>276</v>
      </c>
      <c r="C11" s="56" t="s">
        <v>277</v>
      </c>
      <c r="D11" s="56" t="s">
        <v>278</v>
      </c>
      <c r="E11" s="57" t="s">
        <v>279</v>
      </c>
      <c r="F11" s="57" t="s">
        <v>280</v>
      </c>
      <c r="G11" s="56" t="s">
        <v>11</v>
      </c>
      <c r="H11" s="56" t="s">
        <v>292</v>
      </c>
      <c r="I11" s="56" t="s">
        <v>293</v>
      </c>
    </row>
    <row r="12" spans="1:9" s="24" customFormat="1" ht="15.75">
      <c r="A12" s="25"/>
      <c r="B12" s="23">
        <v>1</v>
      </c>
      <c r="C12" s="64" t="s">
        <v>2442</v>
      </c>
      <c r="D12" s="67" t="s">
        <v>2443</v>
      </c>
      <c r="E12" s="62" t="s">
        <v>452</v>
      </c>
      <c r="F12" s="62">
        <v>20</v>
      </c>
      <c r="G12" s="89"/>
      <c r="H12" s="89" t="s">
        <v>2440</v>
      </c>
      <c r="I12" s="67" t="s">
        <v>2443</v>
      </c>
    </row>
    <row r="13" spans="1:9" s="24" customFormat="1" ht="15.75">
      <c r="A13" s="25"/>
      <c r="B13" s="23">
        <v>2</v>
      </c>
      <c r="C13" s="64" t="s">
        <v>2450</v>
      </c>
      <c r="D13" s="67" t="s">
        <v>2451</v>
      </c>
      <c r="E13" s="72" t="s">
        <v>418</v>
      </c>
      <c r="F13" s="72">
        <v>11</v>
      </c>
      <c r="G13" s="88"/>
      <c r="H13" s="28"/>
      <c r="I13" s="26"/>
    </row>
    <row r="14" spans="1:9" s="24" customFormat="1" ht="15.75">
      <c r="A14" s="25"/>
      <c r="B14" s="23">
        <v>3</v>
      </c>
      <c r="C14" s="50" t="s">
        <v>2462</v>
      </c>
      <c r="D14" s="50" t="s">
        <v>1622</v>
      </c>
      <c r="E14" s="51" t="s">
        <v>285</v>
      </c>
      <c r="F14" s="51">
        <v>50</v>
      </c>
      <c r="G14" s="88"/>
      <c r="H14" s="28"/>
      <c r="I14" s="26"/>
    </row>
    <row r="15" spans="1:9" s="24" customFormat="1" ht="15.75">
      <c r="A15" s="25"/>
      <c r="B15" s="23">
        <v>4</v>
      </c>
      <c r="C15" s="64" t="s">
        <v>2463</v>
      </c>
      <c r="D15" s="26" t="s">
        <v>2464</v>
      </c>
      <c r="E15" s="27" t="s">
        <v>296</v>
      </c>
      <c r="F15" s="27">
        <v>20</v>
      </c>
      <c r="G15" s="88"/>
      <c r="H15" s="28"/>
      <c r="I15" s="26"/>
    </row>
    <row r="16" spans="1:9" s="24" customFormat="1" ht="47.25">
      <c r="A16" s="25"/>
      <c r="B16" s="23">
        <v>5</v>
      </c>
      <c r="C16" s="50" t="s">
        <v>2465</v>
      </c>
      <c r="D16" s="50" t="s">
        <v>2466</v>
      </c>
      <c r="E16" s="51" t="s">
        <v>2467</v>
      </c>
      <c r="F16" s="51"/>
      <c r="G16" s="88" t="s">
        <v>2468</v>
      </c>
      <c r="H16" s="28"/>
      <c r="I16" s="26"/>
    </row>
    <row r="17" spans="1:9" s="24" customFormat="1" ht="15.75">
      <c r="A17" s="25"/>
      <c r="B17" s="23">
        <v>6</v>
      </c>
      <c r="C17" s="50" t="s">
        <v>2469</v>
      </c>
      <c r="D17" s="50" t="s">
        <v>1625</v>
      </c>
      <c r="E17" s="51" t="s">
        <v>969</v>
      </c>
      <c r="F17" s="51"/>
      <c r="G17" s="88"/>
      <c r="H17" s="28"/>
      <c r="I17" s="26"/>
    </row>
    <row r="18" spans="1:9" s="24" customFormat="1" ht="15.75">
      <c r="A18" s="25"/>
      <c r="B18" s="23">
        <v>7</v>
      </c>
      <c r="C18" s="50" t="s">
        <v>2470</v>
      </c>
      <c r="D18" s="50" t="s">
        <v>2471</v>
      </c>
      <c r="E18" s="51" t="s">
        <v>296</v>
      </c>
      <c r="F18" s="51">
        <v>20</v>
      </c>
      <c r="G18" s="88"/>
      <c r="H18" s="28"/>
      <c r="I18" s="26"/>
    </row>
    <row r="19" spans="1:9" ht="15">
      <c r="B19" s="45"/>
    </row>
    <row r="20" spans="1:9" ht="15">
      <c r="B20" s="45"/>
    </row>
    <row r="21" spans="1:9" ht="15">
      <c r="B21" s="45"/>
    </row>
    <row r="22" spans="1:9" ht="15">
      <c r="B22" s="45"/>
    </row>
  </sheetData>
  <mergeCells count="6">
    <mergeCell ref="B1:E1"/>
    <mergeCell ref="F1:I1"/>
    <mergeCell ref="B2:E2"/>
    <mergeCell ref="F2:I2"/>
    <mergeCell ref="B10:E10"/>
    <mergeCell ref="F10:I10"/>
  </mergeCells>
  <phoneticPr fontId="5" type="noConversion"/>
  <pageMargins left="0.7" right="0.7" top="0.75" bottom="0.75" header="0.3" footer="0.3"/>
</worksheet>
</file>

<file path=xl/worksheets/sheet1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8A16B5F-00A9-4501-A134-36CDD3F6B5E4}">
  <sheetPr codeName="工作表79"/>
  <dimension ref="A1:I10"/>
  <sheetViews>
    <sheetView workbookViewId="0"/>
  </sheetViews>
  <sheetFormatPr defaultColWidth="6.625" defaultRowHeight="13.5"/>
  <cols>
    <col min="1" max="1" width="3.125" style="4" bestFit="1" customWidth="1"/>
    <col min="2" max="2" width="5.5" style="8" customWidth="1"/>
    <col min="3" max="3" width="35.5" style="4" customWidth="1"/>
    <col min="4" max="4" width="31.125" style="4" customWidth="1"/>
    <col min="5" max="5" width="11.125" style="4" bestFit="1" customWidth="1"/>
    <col min="6" max="6" width="12.625" style="4" customWidth="1"/>
    <col min="7" max="7" width="58" style="4" customWidth="1"/>
    <col min="8" max="8" width="34.125" style="4" customWidth="1"/>
    <col min="9" max="9" width="21.625" style="4" customWidth="1"/>
    <col min="10" max="16384" width="6.625" style="4"/>
  </cols>
  <sheetData>
    <row r="1" spans="1:9" ht="24">
      <c r="A1" s="149" t="e">
        <f ca="1">HYPERLINK("#'介面'!E"&amp;MATCH(VALUE(RIGHT(CELL("filename"),LEN(CELL("filename"))-FIND("]",CELL("filename")))),介面!D:D,"0"),"←")</f>
        <v>#VALUE!</v>
      </c>
      <c r="B1" s="207" t="s">
        <v>269</v>
      </c>
      <c r="C1" s="208"/>
      <c r="D1" s="208"/>
      <c r="E1" s="209"/>
      <c r="F1" s="207" t="s">
        <v>270</v>
      </c>
      <c r="G1" s="208"/>
      <c r="H1" s="208"/>
      <c r="I1" s="208"/>
    </row>
    <row r="2" spans="1:9" ht="24">
      <c r="A2" s="1"/>
      <c r="B2" s="210" t="s">
        <v>275</v>
      </c>
      <c r="C2" s="211"/>
      <c r="D2" s="211"/>
      <c r="E2" s="212"/>
      <c r="F2" s="210"/>
      <c r="G2" s="211"/>
      <c r="H2" s="211"/>
      <c r="I2" s="212"/>
    </row>
    <row r="3" spans="1:9" s="8" customFormat="1" ht="15">
      <c r="A3" s="6"/>
      <c r="B3" s="7" t="s">
        <v>276</v>
      </c>
      <c r="C3" s="56" t="s">
        <v>277</v>
      </c>
      <c r="D3" s="56" t="s">
        <v>278</v>
      </c>
      <c r="E3" s="57" t="s">
        <v>279</v>
      </c>
      <c r="F3" s="57" t="s">
        <v>280</v>
      </c>
      <c r="G3" s="56" t="s">
        <v>281</v>
      </c>
      <c r="H3" s="141" t="s">
        <v>11</v>
      </c>
      <c r="I3" s="56" t="s">
        <v>282</v>
      </c>
    </row>
    <row r="4" spans="1:9" s="24" customFormat="1" ht="15">
      <c r="A4" s="25"/>
      <c r="B4" s="46">
        <v>1</v>
      </c>
      <c r="C4" s="64" t="s">
        <v>1825</v>
      </c>
      <c r="D4" s="64" t="s">
        <v>1826</v>
      </c>
      <c r="E4" s="62" t="s">
        <v>285</v>
      </c>
      <c r="F4" s="62">
        <v>50</v>
      </c>
      <c r="G4" s="66" t="s">
        <v>330</v>
      </c>
      <c r="H4" s="142" t="s">
        <v>302</v>
      </c>
      <c r="I4" s="66" t="s">
        <v>287</v>
      </c>
    </row>
    <row r="5" spans="1:9" s="24" customFormat="1" ht="15">
      <c r="A5" s="25"/>
      <c r="B5" s="46">
        <v>2</v>
      </c>
      <c r="C5" s="50" t="s">
        <v>2472</v>
      </c>
      <c r="D5" s="50" t="s">
        <v>2473</v>
      </c>
      <c r="E5" s="51" t="s">
        <v>285</v>
      </c>
      <c r="F5" s="51">
        <v>10</v>
      </c>
      <c r="G5" s="66" t="s">
        <v>2474</v>
      </c>
      <c r="H5" s="142"/>
      <c r="I5" s="66" t="s">
        <v>287</v>
      </c>
    </row>
    <row r="6" spans="1:9" s="24" customFormat="1" ht="15">
      <c r="A6" s="25"/>
      <c r="B6" s="46">
        <v>3</v>
      </c>
      <c r="C6" s="50" t="s">
        <v>1830</v>
      </c>
      <c r="D6" s="50" t="s">
        <v>1831</v>
      </c>
      <c r="E6" s="51" t="s">
        <v>1832</v>
      </c>
      <c r="F6" s="51"/>
      <c r="G6" s="66"/>
      <c r="H6" s="142"/>
      <c r="I6" s="66" t="s">
        <v>287</v>
      </c>
    </row>
    <row r="7" spans="1:9" ht="15.75">
      <c r="A7" s="1"/>
      <c r="B7" s="2"/>
      <c r="C7" s="3"/>
      <c r="D7" s="3"/>
      <c r="E7" s="3"/>
      <c r="F7" s="3"/>
      <c r="G7" s="3"/>
      <c r="H7" s="3"/>
      <c r="I7" s="3"/>
    </row>
    <row r="8" spans="1:9" ht="24">
      <c r="A8" s="1"/>
      <c r="B8" s="204" t="s">
        <v>291</v>
      </c>
      <c r="C8" s="205"/>
      <c r="D8" s="205"/>
      <c r="E8" s="206"/>
      <c r="F8" s="204"/>
      <c r="G8" s="205"/>
      <c r="H8" s="205"/>
      <c r="I8" s="206"/>
    </row>
    <row r="9" spans="1:9" s="8" customFormat="1" ht="15">
      <c r="A9" s="6"/>
      <c r="B9" s="7" t="s">
        <v>276</v>
      </c>
      <c r="C9" s="56" t="s">
        <v>277</v>
      </c>
      <c r="D9" s="56" t="s">
        <v>278</v>
      </c>
      <c r="E9" s="57" t="s">
        <v>279</v>
      </c>
      <c r="F9" s="57" t="s">
        <v>280</v>
      </c>
      <c r="G9" s="56" t="s">
        <v>11</v>
      </c>
      <c r="H9" s="56" t="s">
        <v>292</v>
      </c>
      <c r="I9" s="56" t="s">
        <v>293</v>
      </c>
    </row>
    <row r="10" spans="1:9" s="111" customFormat="1" ht="110.25">
      <c r="A10" s="106"/>
      <c r="B10" s="107">
        <v>1</v>
      </c>
      <c r="C10" s="53" t="s">
        <v>2475</v>
      </c>
      <c r="D10" s="53"/>
      <c r="E10" s="81" t="s">
        <v>2476</v>
      </c>
      <c r="F10" s="51" t="s">
        <v>2477</v>
      </c>
      <c r="G10" s="85" t="s">
        <v>2478</v>
      </c>
      <c r="H10" s="82"/>
      <c r="I10" s="82"/>
    </row>
  </sheetData>
  <mergeCells count="6">
    <mergeCell ref="B1:E1"/>
    <mergeCell ref="F1:I1"/>
    <mergeCell ref="B2:E2"/>
    <mergeCell ref="F2:I2"/>
    <mergeCell ref="B8:E8"/>
    <mergeCell ref="F8:I8"/>
  </mergeCells>
  <phoneticPr fontId="5" type="noConversion"/>
  <pageMargins left="0.7" right="0.7" top="0.75" bottom="0.75" header="0.3" footer="0.3"/>
  <pageSetup paperSize="9" orientation="portrait" horizontalDpi="0" verticalDpi="0"/>
</worksheet>
</file>

<file path=xl/worksheets/sheet1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455D6B5-208B-4D34-9E46-1DF5351E4889}">
  <sheetPr codeName="工作表80"/>
  <dimension ref="A1:I10"/>
  <sheetViews>
    <sheetView workbookViewId="0">
      <selection activeCell="A9" sqref="A9:IV10"/>
    </sheetView>
  </sheetViews>
  <sheetFormatPr defaultColWidth="6.625" defaultRowHeight="13.5"/>
  <cols>
    <col min="1" max="1" width="3.125" style="4" bestFit="1" customWidth="1"/>
    <col min="2" max="2" width="5.5" style="8" customWidth="1"/>
    <col min="3" max="3" width="35.5" style="4" customWidth="1"/>
    <col min="4" max="4" width="31.125" style="4" customWidth="1"/>
    <col min="5" max="5" width="11.125" style="4" bestFit="1" customWidth="1"/>
    <col min="6" max="6" width="12.625" style="4" customWidth="1"/>
    <col min="7" max="7" width="58" style="4" customWidth="1"/>
    <col min="8" max="8" width="34.125" style="4" customWidth="1"/>
    <col min="9" max="9" width="21.625" style="4" customWidth="1"/>
    <col min="10" max="16384" width="6.625" style="4"/>
  </cols>
  <sheetData>
    <row r="1" spans="1:9" ht="24">
      <c r="A1" s="1" t="e">
        <f ca="1">HYPERLINK("#'介面'!E"&amp;MATCH(VALUE(RIGHT(CELL("filename"),LEN(CELL("filename"))-FIND("]",CELL("filename")))),介面!D:D,"0"),"←")</f>
        <v>#VALUE!</v>
      </c>
      <c r="B1" s="207" t="s">
        <v>271</v>
      </c>
      <c r="C1" s="208"/>
      <c r="D1" s="208"/>
      <c r="E1" s="209"/>
      <c r="F1" s="207" t="s">
        <v>272</v>
      </c>
      <c r="G1" s="208"/>
      <c r="H1" s="208"/>
      <c r="I1" s="208"/>
    </row>
    <row r="2" spans="1:9" ht="24">
      <c r="A2" s="1"/>
      <c r="B2" s="210" t="s">
        <v>275</v>
      </c>
      <c r="C2" s="211"/>
      <c r="D2" s="211"/>
      <c r="E2" s="212"/>
      <c r="F2" s="210"/>
      <c r="G2" s="211"/>
      <c r="H2" s="211"/>
      <c r="I2" s="212"/>
    </row>
    <row r="3" spans="1:9" s="8" customFormat="1" ht="15">
      <c r="A3" s="6"/>
      <c r="B3" s="7" t="s">
        <v>276</v>
      </c>
      <c r="C3" s="56" t="s">
        <v>277</v>
      </c>
      <c r="D3" s="56" t="s">
        <v>278</v>
      </c>
      <c r="E3" s="57" t="s">
        <v>279</v>
      </c>
      <c r="F3" s="57" t="s">
        <v>280</v>
      </c>
      <c r="G3" s="56" t="s">
        <v>281</v>
      </c>
      <c r="H3" s="141" t="s">
        <v>11</v>
      </c>
      <c r="I3" s="56" t="s">
        <v>282</v>
      </c>
    </row>
    <row r="4" spans="1:9" s="24" customFormat="1" ht="15">
      <c r="A4" s="25"/>
      <c r="B4" s="46">
        <v>1</v>
      </c>
      <c r="C4" s="64" t="s">
        <v>1825</v>
      </c>
      <c r="D4" s="64" t="s">
        <v>1826</v>
      </c>
      <c r="E4" s="62" t="s">
        <v>285</v>
      </c>
      <c r="F4" s="62">
        <v>50</v>
      </c>
      <c r="G4" s="66" t="s">
        <v>330</v>
      </c>
      <c r="H4" s="142" t="s">
        <v>302</v>
      </c>
      <c r="I4" s="66" t="s">
        <v>287</v>
      </c>
    </row>
    <row r="5" spans="1:9" s="24" customFormat="1" ht="15">
      <c r="A5" s="25"/>
      <c r="B5" s="46">
        <v>2</v>
      </c>
      <c r="C5" s="50" t="s">
        <v>2479</v>
      </c>
      <c r="D5" s="50" t="s">
        <v>2480</v>
      </c>
      <c r="E5" s="51" t="s">
        <v>285</v>
      </c>
      <c r="F5" s="51">
        <v>100</v>
      </c>
      <c r="G5" s="66" t="s">
        <v>2481</v>
      </c>
      <c r="H5" s="142"/>
      <c r="I5" s="66" t="s">
        <v>287</v>
      </c>
    </row>
    <row r="6" spans="1:9" ht="15.75">
      <c r="A6" s="1"/>
      <c r="B6" s="2"/>
      <c r="C6" s="3"/>
      <c r="D6" s="3"/>
      <c r="E6" s="3"/>
      <c r="F6" s="3"/>
      <c r="G6" s="3"/>
      <c r="H6" s="3"/>
      <c r="I6" s="3"/>
    </row>
    <row r="7" spans="1:9" ht="24">
      <c r="A7" s="1"/>
      <c r="B7" s="204" t="s">
        <v>291</v>
      </c>
      <c r="C7" s="205"/>
      <c r="D7" s="205"/>
      <c r="E7" s="206"/>
      <c r="F7" s="204"/>
      <c r="G7" s="205"/>
      <c r="H7" s="205"/>
      <c r="I7" s="206"/>
    </row>
    <row r="8" spans="1:9" s="8" customFormat="1" ht="15">
      <c r="A8" s="6"/>
      <c r="B8" s="7" t="s">
        <v>276</v>
      </c>
      <c r="C8" s="56" t="s">
        <v>277</v>
      </c>
      <c r="D8" s="56" t="s">
        <v>278</v>
      </c>
      <c r="E8" s="57" t="s">
        <v>279</v>
      </c>
      <c r="F8" s="57" t="s">
        <v>280</v>
      </c>
      <c r="G8" s="56" t="s">
        <v>11</v>
      </c>
      <c r="H8" s="56" t="s">
        <v>292</v>
      </c>
      <c r="I8" s="56" t="s">
        <v>293</v>
      </c>
    </row>
    <row r="9" spans="1:9" s="24" customFormat="1" ht="15.75">
      <c r="A9" s="25"/>
      <c r="B9" s="46">
        <v>1</v>
      </c>
      <c r="C9" s="86" t="s">
        <v>1834</v>
      </c>
      <c r="D9" s="86" t="s">
        <v>1835</v>
      </c>
      <c r="E9" s="87"/>
      <c r="F9" s="87"/>
      <c r="G9" s="85" t="s">
        <v>1836</v>
      </c>
      <c r="H9" s="28"/>
      <c r="I9" s="86"/>
    </row>
    <row r="10" spans="1:9" s="24" customFormat="1" ht="15.75">
      <c r="A10" s="25"/>
      <c r="B10" s="46">
        <v>2</v>
      </c>
      <c r="C10" s="86" t="s">
        <v>1837</v>
      </c>
      <c r="D10" s="86" t="s">
        <v>1838</v>
      </c>
      <c r="E10" s="87"/>
      <c r="F10" s="87"/>
      <c r="G10" s="85" t="s">
        <v>1836</v>
      </c>
      <c r="H10" s="28"/>
      <c r="I10" s="86"/>
    </row>
  </sheetData>
  <mergeCells count="6">
    <mergeCell ref="B1:E1"/>
    <mergeCell ref="F1:I1"/>
    <mergeCell ref="B2:E2"/>
    <mergeCell ref="F2:I2"/>
    <mergeCell ref="B7:E7"/>
    <mergeCell ref="F7:I7"/>
  </mergeCells>
  <phoneticPr fontId="5" type="noConversion"/>
  <pageMargins left="0.7" right="0.7" top="0.75" bottom="0.75" header="0.3" footer="0.3"/>
  <pageSetup paperSize="9" orientation="portrait" horizontalDpi="0" verticalDpi="0"/>
</worksheet>
</file>

<file path=xl/worksheets/sheet1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6098108-36A1-4CA9-8F09-3EA2FC551F29}">
  <sheetPr codeName="工作表81"/>
  <dimension ref="A1:I10"/>
  <sheetViews>
    <sheetView workbookViewId="0"/>
  </sheetViews>
  <sheetFormatPr defaultColWidth="6.625" defaultRowHeight="13.5"/>
  <cols>
    <col min="1" max="1" width="3.125" style="4" bestFit="1" customWidth="1"/>
    <col min="2" max="2" width="5.5" style="8" customWidth="1"/>
    <col min="3" max="3" width="35.5" style="4" customWidth="1"/>
    <col min="4" max="4" width="31.125" style="4" customWidth="1"/>
    <col min="5" max="5" width="11.125" style="4" bestFit="1" customWidth="1"/>
    <col min="6" max="6" width="12.625" style="4" customWidth="1"/>
    <col min="7" max="7" width="58" style="4" customWidth="1"/>
    <col min="8" max="8" width="36" style="4" customWidth="1"/>
    <col min="9" max="9" width="21.625" style="4" customWidth="1"/>
    <col min="10" max="16384" width="6.625" style="4"/>
  </cols>
  <sheetData>
    <row r="1" spans="1:9" ht="24">
      <c r="A1" s="1" t="e">
        <f ca="1">HYPERLINK("#'介面'!E"&amp;MATCH(VALUE(RIGHT(CELL("filename"),LEN(CELL("filename"))-FIND("]",CELL("filename")))),介面!D:D,"0"),"←")</f>
        <v>#VALUE!</v>
      </c>
      <c r="B1" s="207" t="s">
        <v>273</v>
      </c>
      <c r="C1" s="208"/>
      <c r="D1" s="208"/>
      <c r="E1" s="209"/>
      <c r="F1" s="207" t="s">
        <v>274</v>
      </c>
      <c r="G1" s="208"/>
      <c r="H1" s="208"/>
      <c r="I1" s="208"/>
    </row>
    <row r="2" spans="1:9" ht="24">
      <c r="A2" s="1"/>
      <c r="B2" s="210" t="s">
        <v>275</v>
      </c>
      <c r="C2" s="211"/>
      <c r="D2" s="211"/>
      <c r="E2" s="212"/>
      <c r="F2" s="210"/>
      <c r="G2" s="211"/>
      <c r="H2" s="211"/>
      <c r="I2" s="212"/>
    </row>
    <row r="3" spans="1:9" s="8" customFormat="1" ht="15">
      <c r="A3" s="6"/>
      <c r="B3" s="7" t="s">
        <v>276</v>
      </c>
      <c r="C3" s="56" t="s">
        <v>277</v>
      </c>
      <c r="D3" s="56" t="s">
        <v>278</v>
      </c>
      <c r="E3" s="57" t="s">
        <v>279</v>
      </c>
      <c r="F3" s="57" t="s">
        <v>280</v>
      </c>
      <c r="G3" s="56" t="s">
        <v>281</v>
      </c>
      <c r="H3" s="141" t="s">
        <v>11</v>
      </c>
      <c r="I3" s="56" t="s">
        <v>282</v>
      </c>
    </row>
    <row r="4" spans="1:9" s="24" customFormat="1" ht="15">
      <c r="A4" s="25"/>
      <c r="B4" s="46">
        <v>1</v>
      </c>
      <c r="C4" s="64" t="s">
        <v>1825</v>
      </c>
      <c r="D4" s="64" t="s">
        <v>1826</v>
      </c>
      <c r="E4" s="62" t="s">
        <v>285</v>
      </c>
      <c r="F4" s="62">
        <v>50</v>
      </c>
      <c r="G4" s="66" t="s">
        <v>330</v>
      </c>
      <c r="H4" s="142" t="s">
        <v>302</v>
      </c>
      <c r="I4" s="66" t="s">
        <v>287</v>
      </c>
    </row>
    <row r="5" spans="1:9" s="24" customFormat="1" ht="15">
      <c r="A5" s="25"/>
      <c r="B5" s="46">
        <v>2</v>
      </c>
      <c r="C5" s="50" t="s">
        <v>2479</v>
      </c>
      <c r="D5" s="50" t="s">
        <v>2480</v>
      </c>
      <c r="E5" s="51" t="s">
        <v>285</v>
      </c>
      <c r="F5" s="51">
        <v>100</v>
      </c>
      <c r="G5" s="66" t="s">
        <v>2481</v>
      </c>
      <c r="H5" s="142" t="s">
        <v>2482</v>
      </c>
      <c r="I5" s="66" t="s">
        <v>287</v>
      </c>
    </row>
    <row r="6" spans="1:9" ht="15.75">
      <c r="A6" s="1"/>
      <c r="B6" s="2"/>
      <c r="C6" s="3"/>
      <c r="D6" s="3"/>
      <c r="E6" s="3"/>
      <c r="F6" s="3"/>
      <c r="G6" s="3"/>
      <c r="H6" s="3"/>
      <c r="I6" s="3"/>
    </row>
    <row r="7" spans="1:9" ht="24">
      <c r="A7" s="1"/>
      <c r="B7" s="204" t="s">
        <v>291</v>
      </c>
      <c r="C7" s="205"/>
      <c r="D7" s="205"/>
      <c r="E7" s="206"/>
      <c r="F7" s="204"/>
      <c r="G7" s="205"/>
      <c r="H7" s="205"/>
      <c r="I7" s="206"/>
    </row>
    <row r="8" spans="1:9" s="8" customFormat="1" ht="15">
      <c r="A8" s="6"/>
      <c r="B8" s="7" t="s">
        <v>276</v>
      </c>
      <c r="C8" s="56" t="s">
        <v>277</v>
      </c>
      <c r="D8" s="56" t="s">
        <v>278</v>
      </c>
      <c r="E8" s="57" t="s">
        <v>279</v>
      </c>
      <c r="F8" s="57" t="s">
        <v>280</v>
      </c>
      <c r="G8" s="56" t="s">
        <v>11</v>
      </c>
      <c r="H8" s="56" t="s">
        <v>292</v>
      </c>
      <c r="I8" s="56" t="s">
        <v>293</v>
      </c>
    </row>
    <row r="9" spans="1:9" s="24" customFormat="1" ht="15.75">
      <c r="A9" s="25"/>
      <c r="B9" s="46">
        <v>1</v>
      </c>
      <c r="C9" s="86" t="s">
        <v>1834</v>
      </c>
      <c r="D9" s="86" t="s">
        <v>1835</v>
      </c>
      <c r="E9" s="87"/>
      <c r="F9" s="87"/>
      <c r="G9" s="85" t="s">
        <v>1836</v>
      </c>
      <c r="H9" s="28"/>
      <c r="I9" s="86"/>
    </row>
    <row r="10" spans="1:9" s="24" customFormat="1" ht="15.75">
      <c r="A10" s="25"/>
      <c r="B10" s="46">
        <v>2</v>
      </c>
      <c r="C10" s="86" t="s">
        <v>1837</v>
      </c>
      <c r="D10" s="86" t="s">
        <v>1838</v>
      </c>
      <c r="E10" s="87"/>
      <c r="F10" s="87"/>
      <c r="G10" s="85" t="s">
        <v>1836</v>
      </c>
      <c r="H10" s="28"/>
      <c r="I10" s="86"/>
    </row>
  </sheetData>
  <mergeCells count="6">
    <mergeCell ref="B1:E1"/>
    <mergeCell ref="F1:I1"/>
    <mergeCell ref="B2:E2"/>
    <mergeCell ref="F2:I2"/>
    <mergeCell ref="B7:E7"/>
    <mergeCell ref="F7:I7"/>
  </mergeCells>
  <phoneticPr fontId="5" type="noConversion"/>
  <pageMargins left="0.7" right="0.7" top="0.75" bottom="0.75" header="0.3" footer="0.3"/>
  <pageSetup paperSize="9" orientation="portrait" horizontalDpi="0" verticalDpi="0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文件" ma:contentTypeID="0x0101000CDDB1F283E96B4ABF022043C2DA6CE9" ma:contentTypeVersion="19" ma:contentTypeDescription="建立新的文件。" ma:contentTypeScope="" ma:versionID="99e71ede1a400fd708804ad279286512">
  <xsd:schema xmlns:xsd="http://www.w3.org/2001/XMLSchema" xmlns:xs="http://www.w3.org/2001/XMLSchema" xmlns:p="http://schemas.microsoft.com/office/2006/metadata/properties" xmlns:ns2="7929a623-948d-43bb-ab42-e67626f27a1b" xmlns:ns3="4176adcb-1f6c-4351-8249-358fcf45b7fc" targetNamespace="http://schemas.microsoft.com/office/2006/metadata/properties" ma:root="true" ma:fieldsID="5c9c3de96fe931387ba93178b917e095" ns2:_="" ns3:_="">
    <xsd:import namespace="7929a623-948d-43bb-ab42-e67626f27a1b"/>
    <xsd:import namespace="4176adcb-1f6c-4351-8249-358fcf45b7fc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AutoTags" minOccurs="0"/>
                <xsd:element ref="ns2:MediaServiceOCR" minOccurs="0"/>
                <xsd:element ref="ns2:MediaServiceGenerationTime" minOccurs="0"/>
                <xsd:element ref="ns2:MediaServiceEventHashCode" minOccurs="0"/>
                <xsd:element ref="ns3:SharedWithUsers" minOccurs="0"/>
                <xsd:element ref="ns3:SharedWithDetails" minOccurs="0"/>
                <xsd:element ref="ns2:MediaServiceAutoKeyPoints" minOccurs="0"/>
                <xsd:element ref="ns2:MediaServiceKeyPoints" minOccurs="0"/>
                <xsd:element ref="ns2:MediaLengthInSeconds" minOccurs="0"/>
                <xsd:element ref="ns2:MediaServiceDateTaken" minOccurs="0"/>
                <xsd:element ref="ns2:MediaServiceLocation" minOccurs="0"/>
                <xsd:element ref="ns2:lcf76f155ced4ddcb4097134ff3c332f" minOccurs="0"/>
                <xsd:element ref="ns3:TaxCatchAll" minOccurs="0"/>
                <xsd:element ref="ns2:MediaServiceObjectDetectorVersions" minOccurs="0"/>
                <xsd:element ref="ns2:MediaServiceSearchProperties" minOccurs="0"/>
                <xsd:element ref="ns2:MediaServiceBillingMetadata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7929a623-948d-43bb-ab42-e67626f27a1b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Tags" ma:index="10" nillable="true" ma:displayName="Tags" ma:internalName="MediaServiceAutoTags" ma:readOnly="true">
      <xsd:simpleType>
        <xsd:restriction base="dms:Text"/>
      </xsd:simpleType>
    </xsd:element>
    <xsd:element name="MediaServiceOCR" ma:index="11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2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3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AutoKeyPoints" ma:index="16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7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  <xsd:element name="MediaLengthInSeconds" ma:index="18" nillable="true" ma:displayName="MediaLengthInSeconds" ma:hidden="true" ma:internalName="MediaLengthInSeconds" ma:readOnly="true">
      <xsd:simpleType>
        <xsd:restriction base="dms:Unknown"/>
      </xsd:simpleType>
    </xsd:element>
    <xsd:element name="MediaServiceDateTaken" ma:index="19" nillable="true" ma:displayName="MediaServiceDateTaken" ma:hidden="true" ma:internalName="MediaServiceDateTaken" ma:readOnly="true">
      <xsd:simpleType>
        <xsd:restriction base="dms:Text"/>
      </xsd:simpleType>
    </xsd:element>
    <xsd:element name="MediaServiceLocation" ma:index="20" nillable="true" ma:displayName="Location" ma:internalName="MediaServiceLocation" ma:readOnly="true">
      <xsd:simpleType>
        <xsd:restriction base="dms:Text"/>
      </xsd:simpleType>
    </xsd:element>
    <xsd:element name="lcf76f155ced4ddcb4097134ff3c332f" ma:index="22" nillable="true" ma:taxonomy="true" ma:internalName="lcf76f155ced4ddcb4097134ff3c332f" ma:taxonomyFieldName="MediaServiceImageTags" ma:displayName="影像標籤" ma:readOnly="false" ma:fieldId="{5cf76f15-5ced-4ddc-b409-7134ff3c332f}" ma:taxonomyMulti="true" ma:sspId="0d58c763-54a4-4901-bced-ee1ade3e32ca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ObjectDetectorVersions" ma:index="24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SearchProperties" ma:index="25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BillingMetadata" ma:index="26" nillable="true" ma:displayName="MediaServiceBillingMetadata" ma:hidden="true" ma:internalName="MediaServiceBillingMetadata" ma:readOnly="true">
      <xsd:simpleType>
        <xsd:restriction base="dms:Note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4176adcb-1f6c-4351-8249-358fcf45b7fc" elementFormDefault="qualified">
    <xsd:import namespace="http://schemas.microsoft.com/office/2006/documentManagement/types"/>
    <xsd:import namespace="http://schemas.microsoft.com/office/infopath/2007/PartnerControls"/>
    <xsd:element name="SharedWithUsers" ma:index="14" nillable="true" ma:displayName="共用對象: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5" nillable="true" ma:displayName="共用詳細資料" ma:internalName="SharedWithDetails" ma:readOnly="true">
      <xsd:simpleType>
        <xsd:restriction base="dms:Note">
          <xsd:maxLength value="255"/>
        </xsd:restriction>
      </xsd:simpleType>
    </xsd:element>
    <xsd:element name="TaxCatchAll" ma:index="23" nillable="true" ma:displayName="Taxonomy Catch All Column" ma:hidden="true" ma:list="{f323e6e0-b6d4-4241-bd3c-659ec2883d77}" ma:internalName="TaxCatchAll" ma:showField="CatchAllData" ma:web="4176adcb-1f6c-4351-8249-358fcf45b7fc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內容類型"/>
        <xsd:element ref="dc:title" minOccurs="0" maxOccurs="1" ma:index="4" ma:displayName="標題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FBB4A0A6-D5FE-42F3-A0D6-63EE6BA2FD6F}"/>
</file>

<file path=customXml/itemProps2.xml><?xml version="1.0" encoding="utf-8"?>
<ds:datastoreItem xmlns:ds="http://schemas.openxmlformats.org/officeDocument/2006/customXml" ds:itemID="{603426F5-C2A0-4544-81E2-B314AE8CC360}"/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 Online</Application>
  <Manager/>
  <Company/>
  <HyperlinkBase/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a7808332</dc:creator>
  <cp:keywords/>
  <dc:description/>
  <cp:lastModifiedBy>X</cp:lastModifiedBy>
  <cp:revision/>
  <dcterms:created xsi:type="dcterms:W3CDTF">2009-04-29T02:40:17Z</dcterms:created>
  <dcterms:modified xsi:type="dcterms:W3CDTF">2025-11-04T09:06:26Z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ce137033-a1bb-468a-bbb6-ddaa63308d20</vt:lpwstr>
  </property>
  <property fmtid="{D5CDD505-2E9C-101B-9397-08002B2CF9AE}" pid="3" name="lcf76f155ced4ddcb4097134ff3c332f">
    <vt:lpwstr/>
  </property>
  <property fmtid="{D5CDD505-2E9C-101B-9397-08002B2CF9AE}" pid="4" name="TaxCatchAll">
    <vt:lpwstr/>
  </property>
</Properties>
</file>